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EF6689E9-BB0D-4C7B-8E5B-21BF114C2E6F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Conversations" sheetId="2" r:id="rId2"/>
  </sheets>
  <definedNames>
    <definedName name="_xlnm._FilterDatabase" localSheetId="1" hidden="1">Conversations!$A$1:$O$48</definedName>
  </definedNames>
  <calcPr calcId="191029"/>
</workbook>
</file>

<file path=xl/calcChain.xml><?xml version="1.0" encoding="utf-8"?>
<calcChain xmlns="http://schemas.openxmlformats.org/spreadsheetml/2006/main">
  <c r="L32" i="2" l="1"/>
  <c r="L25" i="2"/>
  <c r="L24" i="2"/>
  <c r="L26" i="2"/>
  <c r="L23" i="2"/>
</calcChain>
</file>

<file path=xl/sharedStrings.xml><?xml version="1.0" encoding="utf-8"?>
<sst xmlns="http://schemas.openxmlformats.org/spreadsheetml/2006/main" count="600" uniqueCount="271">
  <si>
    <t>Game-Level Conversation List</t>
  </si>
  <si>
    <t>Single file covering every town (Town column distinguishes them) — no per-town splitting.</t>
  </si>
  <si>
    <t>Two separate concerns, don't conflate them:</t>
  </si>
  <si>
    <t xml:space="preserve">  • Trigger Type — WHAT CAUSES this row to fire: Proximity / Trade-completion / Level-reached.</t>
  </si>
  <si>
    <t xml:space="preserve">  • Content Type — WHAT FORM the content takes: Statement (just says something) / Question (a</t>
  </si>
  <si>
    <t xml:space="preserve">    yes/no or multi-choice prompt — no separate types needed, the number of rows sharing a</t>
  </si>
  <si>
    <t xml:space="preserve">    Villager/Trigger Type/Trigger Detail group already tells you how many options there are) /</t>
  </si>
  <si>
    <t xml:space="preserve">    Statement-Roll (variety — randomly picks one of several possible lines each time it fires).</t>
  </si>
  <si>
    <t>Row granularity — one row per atomic piece of content:</t>
  </si>
  <si>
    <t xml:space="preserve">  • Statement: usually 1 row per trigger occurrence.</t>
  </si>
  <si>
    <t xml:space="preserve">  • Question: 1 row per response option, all sharing the same Trigger Type/Detail — 2 rows for</t>
  </si>
  <si>
    <t xml:space="preserve">    yes/no, more for multi-choice. Question Response holds each option's label (Y/N, or</t>
  </si>
  <si>
    <t xml:space="preserve">    Red/Blue/Green, whatever fits). A Question can also be ONE option inside a Statement-Roll</t>
  </si>
  <si>
    <t xml:space="preserve">    group — its Y/N rows share the SAME Rolltable Weight (they're not competing against each</t>
  </si>
  <si>
    <t xml:space="preserve">    other in the roll, the roll just decides whether the question comes up at all this time).</t>
  </si>
  <si>
    <t xml:space="preserve">  • Statement-Roll: 1 row per possible variant, all sharing the same Trigger Type/Detail. Question</t>
  </si>
  <si>
    <t xml:space="preserve">    Response left BLANK (Content Type already says Statement-Roll). Rolltable Weight = that row's</t>
  </si>
  <si>
    <t xml:space="preserve">    relative chance (doesn't need to sum to 100 across the group). Each row is a COMPLETE</t>
  </si>
  <si>
    <t xml:space="preserve">    self-contained package — its own Title, Subtitle, and TellRaw all fire together when it wins.</t>
  </si>
  <si>
    <t>Columns:</t>
  </si>
  <si>
    <t xml:space="preserve">  • Trigger Type — dropdown: Proximity / Trade-completion / Level-reached.</t>
  </si>
  <si>
    <t xml:space="preserve">  • Trigger Detail — the trigger's own parameter only: distance for Proximity, which trade for</t>
  </si>
  <si>
    <t xml:space="preserve">    Trade-completion, which level (1-5) for Level-reached. Nothing about questions goes here.</t>
  </si>
  <si>
    <t xml:space="preserve">  • Content Type — dropdown: Statement / Question / Statement-Roll.</t>
  </si>
  <si>
    <t xml:space="preserve">  • Question Response — only used for Question rows (see above); blank otherwise.</t>
  </si>
  <si>
    <t xml:space="preserve">  • Rolltable Weight — only used for Statement-Roll rows (see above); blank otherwise.</t>
  </si>
  <si>
    <t xml:space="preserve">  • Title / Subtitle — optional. Leave both blank for ordinary lines (they'll just show as chat text</t>
  </si>
  <si>
    <t xml:space="preserve">    via TellRaw). Fill in for a small number of standalone, high-importance moments only — title/</t>
  </si>
  <si>
    <t xml:space="preserve">    subtitle is a single overwritable HUD slot per player, so if two NPCs' triggers fire close</t>
  </si>
  <si>
    <t xml:space="preserve">    together it clobbers. Title should be a few words max, it doesn't wrap.</t>
  </si>
  <si>
    <t xml:space="preserve">    For Question rows, the question itself IS whatever's in Subtitle (if using title/subtitle) or</t>
  </si>
  <si>
    <t xml:space="preserve">    TellRaw (if not) — don't duplicate it in both.</t>
  </si>
  <si>
    <t xml:space="preserve">  • TellRaw — chat-delivered text: the question/statement itself (if not using title/subtitle for</t>
  </si>
  <si>
    <t xml:space="preserve">    it), or the response to a specific choice. If you also want title/subtitle content echoed into</t>
  </si>
  <si>
    <t xml:space="preserve">    chat (so it isn't lost once the title fades), just put that same text in TellRaw too — no</t>
  </si>
  <si>
    <t xml:space="preserve">    separate flag needed, TellRaw already does this on its own.</t>
  </si>
  <si>
    <t xml:space="preserve">  • Repeat Count — how many times this fires AFTER the first: 0 = once ever, 1-4 = that many</t>
  </si>
  <si>
    <t xml:space="preserve">    additional times, -1 = unlimited (fires every time the trigger condition is met again). For</t>
  </si>
  <si>
    <t xml:space="preserve">    Proximity, 'repeat' means a fresh approach (leave the radius, come back) — not re-firing every</t>
  </si>
  <si>
    <t xml:space="preserve">    tick while standing still. Blank = treated as 0.</t>
  </si>
  <si>
    <t xml:space="preserve">  • villagerXP — XP granted to the villager's own NBT (accelerates their leveling). Positive only.</t>
  </si>
  <si>
    <t xml:space="preserve">  • playerXP — actual player XP points. Can be negative (e.g. a consequence for a wrong answer).</t>
  </si>
  <si>
    <t xml:space="preserve">  • Notes — referrals to other NPCs, item rewards, anything else.</t>
  </si>
  <si>
    <t>Town</t>
  </si>
  <si>
    <t>Villager Name</t>
  </si>
  <si>
    <t>Profession</t>
  </si>
  <si>
    <t>Trigger Type</t>
  </si>
  <si>
    <t>Trigger Detail</t>
  </si>
  <si>
    <t>Repeat Count</t>
  </si>
  <si>
    <t>Content Type</t>
  </si>
  <si>
    <t>Question Response</t>
  </si>
  <si>
    <t>Rolltable Weight</t>
  </si>
  <si>
    <t>Title</t>
  </si>
  <si>
    <t>Subtitle</t>
  </si>
  <si>
    <t>TellRaw</t>
  </si>
  <si>
    <t>villagerXP</t>
  </si>
  <si>
    <t>playerXP</t>
  </si>
  <si>
    <t>Notes</t>
  </si>
  <si>
    <t>Britain</t>
  </si>
  <si>
    <t>Welcomer</t>
  </si>
  <si>
    <t>Librarian</t>
  </si>
  <si>
    <t>Proximity</t>
  </si>
  <si>
    <t>3 blocks</t>
  </si>
  <si>
    <t>Statement-Roll</t>
  </si>
  <si>
    <t>Britain is the town of COMPASSION!</t>
  </si>
  <si>
    <t>Welcomer: Britain is the town of Compassion!</t>
  </si>
  <si>
    <t>Roll group of 6 (5 statements + 1 question).</t>
  </si>
  <si>
    <t>Compassion...</t>
  </si>
  <si>
    <t>..is a VIRTUE derived solely from the PRINCIPLE of LOVE</t>
  </si>
  <si>
    <t>Welcomer: Compassion is derived solely from the principle of LOVE</t>
  </si>
  <si>
    <t>Welcomer: Potions can teleport you TO moongates</t>
  </si>
  <si>
    <t>Welcomer: MOST of the day, Moongates will take you back to your stone circle!</t>
  </si>
  <si>
    <t>Question</t>
  </si>
  <si>
    <t>Y</t>
  </si>
  <si>
    <t>Tell me Stranger...</t>
  </si>
  <si>
    <t>Welcomer: Celest will trade ye for one!</t>
  </si>
  <si>
    <t>Part of the same roll group as the 5 statements above — Y/N share this weight.</t>
  </si>
  <si>
    <t>N</t>
  </si>
  <si>
    <t>Welcomer: Yeah, you're prolly not worth it...</t>
  </si>
  <si>
    <t>Trade-completion</t>
  </si>
  <si>
    <t>L1 Trade</t>
  </si>
  <si>
    <t>Statement</t>
  </si>
  <si>
    <t>"Much obliged."</t>
  </si>
  <si>
    <t>Welcomer: "Much obliged."</t>
  </si>
  <si>
    <t>L2 Trade</t>
  </si>
  <si>
    <t>Shapero</t>
  </si>
  <si>
    <t>Cleric</t>
  </si>
  <si>
    <t>I seek Julio...</t>
  </si>
  <si>
    <t>He knows the TRUE nature of Compassion.</t>
  </si>
  <si>
    <t>In Healing Shop</t>
  </si>
  <si>
    <t>Julio</t>
  </si>
  <si>
    <t>Butcher</t>
  </si>
  <si>
    <t>Any Trade</t>
  </si>
  <si>
    <t>Hidden in the Healing Shop. Blocked pending predicate fix (tag npc_julio applied).</t>
  </si>
  <si>
    <t>Sprite</t>
  </si>
  <si>
    <t>Nitwit ("Beggar")</t>
  </si>
  <si>
    <t>1 Block</t>
  </si>
  <si>
    <t>Remember!</t>
  </si>
  <si>
    <t>Always be nice to all gentle animals.</t>
  </si>
  <si>
    <t>Sprite: Always be nice to all gentle animals.</t>
  </si>
  <si>
    <t>"Dying" Beggar</t>
  </si>
  <si>
    <t>Sebastian</t>
  </si>
  <si>
    <t>Vegans...</t>
  </si>
  <si>
    <t>...show compassion in how they eat.</t>
  </si>
  <si>
    <t>"Injured" Beggar</t>
  </si>
  <si>
    <t>Celest</t>
  </si>
  <si>
    <t>Do you strive to be Compassionate?</t>
  </si>
  <si>
    <t>Celest: The Compassion potion returns you to us!</t>
  </si>
  <si>
    <t>Gives: Potion of Compassion. Blocked pending predicate fix (tag npc_celest applied).</t>
  </si>
  <si>
    <t>Celest: Oh, okay then.</t>
  </si>
  <si>
    <t>Iolo</t>
  </si>
  <si>
    <t>Shepherd</t>
  </si>
  <si>
    <t>"Moo..."</t>
  </si>
  <si>
    <t>As in, Roses are Red, Violets say "Moo.'"</t>
  </si>
  <si>
    <t>Iolo: "...Violets say 'Moo.'"</t>
  </si>
  <si>
    <t>Shepherd ("Bard")</t>
  </si>
  <si>
    <t>Cricket</t>
  </si>
  <si>
    <t>"Meh..."</t>
  </si>
  <si>
    <t>Pepper knows where the Rune Is!</t>
  </si>
  <si>
    <t>Cricket: Pepper knows where the Rune Is!</t>
  </si>
  <si>
    <t>Child</t>
  </si>
  <si>
    <t>Nitwit</t>
  </si>
  <si>
    <t>Meh!</t>
  </si>
  <si>
    <t>Nitwit ("Child")</t>
  </si>
  <si>
    <t>Tween</t>
  </si>
  <si>
    <t>Meh! Meh!</t>
  </si>
  <si>
    <t>Shalimar</t>
  </si>
  <si>
    <t>As in, I notice the Nitwits say "Meh" a lot.</t>
  </si>
  <si>
    <t>Shalimar: As in, I notice the Nitwits say "Meh" a lot.</t>
  </si>
  <si>
    <t>Pepper</t>
  </si>
  <si>
    <t>Hey, Psst...</t>
  </si>
  <si>
    <t>The Rune is at the end of a Hallway!</t>
  </si>
  <si>
    <t>Pepper: The Rune is at the end of a Hallway!</t>
  </si>
  <si>
    <t>Winston A.</t>
  </si>
  <si>
    <t>Armorer</t>
  </si>
  <si>
    <t>Shalimar and Cricket say the mantra.</t>
  </si>
  <si>
    <t>Winston T.</t>
  </si>
  <si>
    <t>Toolsmith</t>
  </si>
  <si>
    <t>The mantra is in Iolo's poem.</t>
  </si>
  <si>
    <t>Winston L.</t>
  </si>
  <si>
    <t>Leatherworker</t>
  </si>
  <si>
    <t>Winston W.</t>
  </si>
  <si>
    <t>Weaponsmith</t>
  </si>
  <si>
    <t>Would you like to know more of potions?</t>
  </si>
  <si>
    <t>Hello, My Friend!</t>
  </si>
  <si>
    <t>Compassion…</t>
  </si>
  <si>
    <t>Potions…</t>
  </si>
  <si>
    <t>…can teleport you TO moongates</t>
  </si>
  <si>
    <t>Moongates…</t>
  </si>
  <si>
    <t>…MOST of the day will take you back to your stone circle!</t>
  </si>
  <si>
    <t>Sebastian: Vegans show compassion in how they eat.</t>
  </si>
  <si>
    <t>Shapero: I seek Julio. He knows Compassion's TRUE nature.</t>
  </si>
  <si>
    <t>Julio: Compassion IS Love and it DAWNS in the SOUTHWEST!</t>
  </si>
  <si>
    <t>...derives from Love and its DAWN is in Southwest!</t>
  </si>
  <si>
    <t>2 Blocks</t>
  </si>
  <si>
    <t>Feeding others vegan stew shows compassion!</t>
  </si>
  <si>
    <t>Feeding others vegan soup shows compassion!</t>
  </si>
  <si>
    <t>Child: Meh! Giving soup shows Compassion!</t>
  </si>
  <si>
    <t>Tween: Meh! Meh!  Giving stew shows Compassion!</t>
  </si>
  <si>
    <t>Jason</t>
  </si>
  <si>
    <t>Need Rest?</t>
  </si>
  <si>
    <t>We offer a free bed in the upstairs hall!</t>
  </si>
  <si>
    <t>Jason: We offer a free bed in the upstairs hall!</t>
  </si>
  <si>
    <t>Hey, Psst…</t>
  </si>
  <si>
    <t>Pepper: Trade some wool from me…</t>
  </si>
  <si>
    <t>Trade some wool from me…</t>
  </si>
  <si>
    <t>Trades for a Secret..?</t>
  </si>
  <si>
    <t>The Armorer loves to tell the truth.</t>
  </si>
  <si>
    <t>The Toolsmith loves to lie.</t>
  </si>
  <si>
    <t>Winston L.: The Toolsmith loves to lie.</t>
  </si>
  <si>
    <t>Winston W.: The Armorer loves to tell the truth.</t>
  </si>
  <si>
    <t>Metallurgy…</t>
  </si>
  <si>
    <t>You can see that iron ingots aren't so easy to make, eh?</t>
  </si>
  <si>
    <t>Iron Smelting…</t>
  </si>
  <si>
    <t>L3 Trade or Above</t>
  </si>
  <si>
    <t>Until you KNOW iron, you're not fit to hold ingots!</t>
  </si>
  <si>
    <t>Towns…</t>
  </si>
  <si>
    <t>Librarian Books…</t>
  </si>
  <si>
    <t>Welcomer: BOOKS educate you on the LORE. I can trade you for one!</t>
  </si>
  <si>
    <t>…educate you on the LORE. I can trade you for one!</t>
  </si>
  <si>
    <t>Welcomer: This Land has 8 virtuous towns across 5 biomes!</t>
  </si>
  <si>
    <t>…This land has 8 virtuous towns across 5 biomes!</t>
  </si>
  <si>
    <t>Winston M.</t>
  </si>
  <si>
    <t>Mason</t>
  </si>
  <si>
    <t>I'm a Master Mason</t>
  </si>
  <si>
    <t>I can teach you how to mine cobblestones!</t>
  </si>
  <si>
    <t>About this bottle…</t>
  </si>
  <si>
    <t>Fill it with water and trade with Celest!</t>
  </si>
  <si>
    <t>Welcomer: Fill it with water and trade with Celest!</t>
  </si>
  <si>
    <t>Jhelom</t>
  </si>
  <si>
    <t>Swen</t>
  </si>
  <si>
    <t>I love Johnny Cash!</t>
  </si>
  <si>
    <t>A zillion doors with no matching key...</t>
  </si>
  <si>
    <t>Cuz I've been "everywhere", man...in Jhelom!</t>
  </si>
  <si>
    <t>Riddles</t>
  </si>
  <si>
    <t>Here's a riddle…</t>
  </si>
  <si>
    <t>Roses are red, pressure plates are blue…</t>
  </si>
  <si>
    <t>…paintings don't speak, but duplicates do.</t>
  </si>
  <si>
    <t>Not the band, but opening doors in Jhelom</t>
  </si>
  <si>
    <t>I love The Doors</t>
  </si>
  <si>
    <t>A zillion keys with no matching door…</t>
  </si>
  <si>
    <t>Here's a joke I'm working on…</t>
  </si>
  <si>
    <t>I looove making up riddles and jokes</t>
  </si>
  <si>
    <t>When is a HELMET a BUCKET…?</t>
  </si>
  <si>
    <t>When is a PUMPKIN a SQUASH…?</t>
  </si>
  <si>
    <t>Folks in Jhelom…</t>
  </si>
  <si>
    <t>are valiant but too serious, IMO.</t>
  </si>
  <si>
    <t>I love acronyms</t>
  </si>
  <si>
    <t xml:space="preserve">My name SWEN is an acronym for NEWS. </t>
  </si>
  <si>
    <t>Hero</t>
  </si>
  <si>
    <t>Lives in Hero's Lounge</t>
  </si>
  <si>
    <t>I'll trade a trial key for a Goat Horn!</t>
  </si>
  <si>
    <t>Trial keys are hard-earned!</t>
  </si>
  <si>
    <t>Goat Horns are magical!</t>
  </si>
  <si>
    <t>They'll return you to Jhelom's Moongate!</t>
  </si>
  <si>
    <t>Reveals Totem of Undying Trade</t>
  </si>
  <si>
    <t>Swen: Folks in Jhelom are valiant but too serious.</t>
  </si>
  <si>
    <t>Swen: My name SWEN is an acronym for NEWS.</t>
  </si>
  <si>
    <t>Swen: I've been everywhere, man…in Jhelom</t>
  </si>
  <si>
    <t>Swen: I've opened all the doors in Jhelom</t>
  </si>
  <si>
    <t>Swen: I looove making up riddles and jokes</t>
  </si>
  <si>
    <t>Swen: A zillion doors with no matching key...</t>
  </si>
  <si>
    <t>Swen: A zillion keys with no matching door…</t>
  </si>
  <si>
    <t>Swen: Roses are red, pressure plates are blue…</t>
  </si>
  <si>
    <t>Swen: Paintings don't speak, but duplicates do...</t>
  </si>
  <si>
    <t>Swen: When is a PUMPKIN a SQUASH…?</t>
  </si>
  <si>
    <t>Swen: When is a HELMET a BUCKET…?</t>
  </si>
  <si>
    <t>Hero: I'll trade a trial key for a Goat Horn!</t>
  </si>
  <si>
    <t>Hero: Goat Horns return you to Jhelom's Moongate</t>
  </si>
  <si>
    <t>Hero: Return to me with a totem of undying!</t>
  </si>
  <si>
    <t>Hero: Hmm.  I thought you looked kind of pale.</t>
  </si>
  <si>
    <t>Do thou strive to be valiant against evil?</t>
  </si>
  <si>
    <t>L2 Trade or higher</t>
  </si>
  <si>
    <t>A Totem of Undying!</t>
  </si>
  <si>
    <t>The rune is hidden in a corner of this city!</t>
  </si>
  <si>
    <t>Hero: The rune is hidden in a corner of this city!</t>
  </si>
  <si>
    <t>Others will tell of rune too but whatever.</t>
  </si>
  <si>
    <t>Hero doesn’t think much of this guy.</t>
  </si>
  <si>
    <t>Smith</t>
  </si>
  <si>
    <t>Horse</t>
  </si>
  <si>
    <t>Hi, I'm Mr Ed!</t>
  </si>
  <si>
    <t>Smith: I'm Mr Ed! Neighh, I'm a Smith!</t>
  </si>
  <si>
    <t>Neighh, just kidding. I'm a Smith</t>
  </si>
  <si>
    <t>Smith: Infinity was the final answer in Ultima 4.</t>
  </si>
  <si>
    <t>The Answer to Life is...</t>
  </si>
  <si>
    <t>...Infinity.  Well, it was in Ultima 4.</t>
  </si>
  <si>
    <t>Psst…</t>
  </si>
  <si>
    <t>Mind grabbing me an apple?</t>
  </si>
  <si>
    <t>Smith: Psst! Grab me an apple!</t>
  </si>
  <si>
    <t>A talking horse.</t>
  </si>
  <si>
    <t>Skara Brae</t>
  </si>
  <si>
    <t>Tyrone</t>
  </si>
  <si>
    <t>Innkeeper</t>
  </si>
  <si>
    <t>Welcome, stranger.</t>
  </si>
  <si>
    <t>I rent to only those with some gold to show.</t>
  </si>
  <si>
    <t>Tyrone: I rent to only those with some gold to show.</t>
  </si>
  <si>
    <t>Here's your change.</t>
  </si>
  <si>
    <t>Come back when you'd like a room.</t>
  </si>
  <si>
    <t>Tyrone: Here's your change.</t>
  </si>
  <si>
    <t>Proximity (L2, night only)</t>
  </si>
  <si>
    <t>Would you like a room rental?</t>
  </si>
  <si>
    <t>Tyrone: Then welcome — the room's yours for the night.</t>
  </si>
  <si>
    <t>Opens door; declines if room occupied</t>
  </si>
  <si>
    <t>Tyrone: Suit yourself.</t>
  </si>
  <si>
    <t>Proximity (L2, daytime)</t>
  </si>
  <si>
    <t>(no title)</t>
  </si>
  <si>
    <t>(no subtitle)</t>
  </si>
  <si>
    <t>Tyrone: I don't rent rooms during day!</t>
  </si>
  <si>
    <t>Placeholder text</t>
  </si>
  <si>
    <t>Proximity (L2, occupied)</t>
  </si>
  <si>
    <t>Tyrone: Sorry, the room's occupied right now.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</si>
</sst>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0" xfId="0" applyFont="1"/>
    <xf numFmtId="0" fontId="5" fillId="0" borderId="1" xfId="0" applyFont="1" applyBorder="1"/>
    <xf numFmtId="0" fontId="6" fillId="0" borderId="0" xfId="0" applyFont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5" borderId="1" xfId="0" applyFont="1" applyFill="1" applyBorder="1"/>
    <xf numFmtId="0" fontId="8" fillId="0" borderId="0" xfId="0" applyFont="1"/>
    <xf numFmtId="0" fontId="5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showGridLines="0" topLeftCell="A19" workbookViewId="0">
      <selection activeCell="A20" sqref="A20"/>
    </sheetView>
  </sheetViews>
  <sheetFormatPr defaultRowHeight="14.4" x14ac:dyDescent="0.3"/>
  <cols>
    <col min="1" max="1" width="10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 t="s">
        <v>5</v>
      </c>
    </row>
    <row r="8" spans="1:1" x14ac:dyDescent="0.3">
      <c r="A8" s="3" t="s">
        <v>6</v>
      </c>
    </row>
    <row r="9" spans="1:1" x14ac:dyDescent="0.3">
      <c r="A9" s="3" t="s">
        <v>7</v>
      </c>
    </row>
    <row r="10" spans="1:1" x14ac:dyDescent="0.3">
      <c r="A10" s="3"/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 t="s">
        <v>18</v>
      </c>
    </row>
    <row r="22" spans="1:1" x14ac:dyDescent="0.3">
      <c r="A22" s="3"/>
    </row>
    <row r="23" spans="1:1" x14ac:dyDescent="0.3">
      <c r="A23" s="3" t="s">
        <v>19</v>
      </c>
    </row>
    <row r="24" spans="1:1" x14ac:dyDescent="0.3">
      <c r="A24" s="3" t="s">
        <v>20</v>
      </c>
    </row>
    <row r="25" spans="1:1" x14ac:dyDescent="0.3">
      <c r="A25" s="3" t="s">
        <v>21</v>
      </c>
    </row>
    <row r="26" spans="1:1" x14ac:dyDescent="0.3">
      <c r="A26" s="3" t="s">
        <v>22</v>
      </c>
    </row>
    <row r="27" spans="1:1" x14ac:dyDescent="0.3">
      <c r="A27" s="3" t="s">
        <v>23</v>
      </c>
    </row>
    <row r="28" spans="1:1" x14ac:dyDescent="0.3">
      <c r="A28" s="3" t="s">
        <v>24</v>
      </c>
    </row>
    <row r="29" spans="1:1" x14ac:dyDescent="0.3">
      <c r="A29" s="3" t="s">
        <v>25</v>
      </c>
    </row>
    <row r="30" spans="1:1" x14ac:dyDescent="0.3">
      <c r="A30" s="3" t="s">
        <v>26</v>
      </c>
    </row>
    <row r="31" spans="1:1" x14ac:dyDescent="0.3">
      <c r="A31" s="3" t="s">
        <v>27</v>
      </c>
    </row>
    <row r="32" spans="1:1" x14ac:dyDescent="0.3">
      <c r="A32" s="3" t="s">
        <v>28</v>
      </c>
    </row>
    <row r="33" spans="1:1" x14ac:dyDescent="0.3">
      <c r="A33" s="3" t="s">
        <v>29</v>
      </c>
    </row>
    <row r="34" spans="1:1" x14ac:dyDescent="0.3">
      <c r="A34" s="3" t="s">
        <v>30</v>
      </c>
    </row>
    <row r="35" spans="1:1" x14ac:dyDescent="0.3">
      <c r="A35" s="3" t="s">
        <v>31</v>
      </c>
    </row>
    <row r="36" spans="1:1" x14ac:dyDescent="0.3">
      <c r="A36" s="3" t="s">
        <v>32</v>
      </c>
    </row>
    <row r="37" spans="1:1" x14ac:dyDescent="0.3">
      <c r="A37" s="3" t="s">
        <v>33</v>
      </c>
    </row>
    <row r="38" spans="1:1" x14ac:dyDescent="0.3">
      <c r="A38" s="3" t="s">
        <v>34</v>
      </c>
    </row>
    <row r="39" spans="1:1" x14ac:dyDescent="0.3">
      <c r="A39" s="3" t="s">
        <v>35</v>
      </c>
    </row>
    <row r="40" spans="1:1" x14ac:dyDescent="0.3">
      <c r="A40" s="3" t="s">
        <v>36</v>
      </c>
    </row>
    <row r="41" spans="1:1" x14ac:dyDescent="0.3">
      <c r="A41" s="3" t="s">
        <v>37</v>
      </c>
    </row>
    <row r="42" spans="1:1" x14ac:dyDescent="0.3">
      <c r="A42" s="3" t="s">
        <v>38</v>
      </c>
    </row>
    <row r="43" spans="1:1" x14ac:dyDescent="0.3">
      <c r="A43" s="3" t="s">
        <v>39</v>
      </c>
    </row>
    <row r="44" spans="1:1" x14ac:dyDescent="0.3">
      <c r="A44" s="3" t="s">
        <v>40</v>
      </c>
    </row>
    <row r="45" spans="1:1" x14ac:dyDescent="0.3">
      <c r="A45" s="3" t="s">
        <v>41</v>
      </c>
    </row>
    <row r="46" spans="1:1" x14ac:dyDescent="0.3">
      <c r="A46" s="3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9"/>
  <sheetViews>
    <sheetView tabSelected="1" topLeftCell="C1" zoomScale="85" zoomScaleNormal="85" workbookViewId="0">
      <pane ySplit="1" topLeftCell="A39" activePane="bottomLeft" state="frozen"/>
      <selection pane="bottomLeft" activeCell="A58" sqref="A58"/>
    </sheetView>
  </sheetViews>
  <sheetFormatPr defaultRowHeight="14.4" x14ac:dyDescent="0.3"/>
  <cols>
    <col min="1" max="1" width="10" customWidth="1"/>
    <col min="2" max="2" width="16" customWidth="1"/>
    <col min="3" max="3" width="14" customWidth="1"/>
    <col min="4" max="4" width="16" customWidth="1"/>
    <col min="5" max="5" width="14" customWidth="1"/>
    <col min="6" max="6" width="10" style="18" customWidth="1"/>
    <col min="7" max="8" width="14" customWidth="1"/>
    <col min="9" max="9" width="12" customWidth="1"/>
    <col min="10" max="10" width="20" customWidth="1"/>
    <col min="11" max="11" width="34" customWidth="1"/>
    <col min="12" max="12" width="40" customWidth="1"/>
    <col min="13" max="13" width="10" customWidth="1"/>
    <col min="14" max="14" width="9" customWidth="1"/>
    <col min="15" max="15" width="34" customWidth="1"/>
  </cols>
  <sheetData>
    <row r="1" spans="1:15" ht="25.95" customHeight="1" x14ac:dyDescent="0.3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16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</row>
    <row r="2" spans="1:15" ht="26.4" x14ac:dyDescent="0.3">
      <c r="A2" s="20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14">
        <v>-1</v>
      </c>
      <c r="G2" s="5" t="s">
        <v>63</v>
      </c>
      <c r="H2" s="5"/>
      <c r="I2" s="8">
        <v>15</v>
      </c>
      <c r="J2" s="8" t="s">
        <v>144</v>
      </c>
      <c r="K2" s="9" t="s">
        <v>64</v>
      </c>
      <c r="L2" s="9" t="s">
        <v>65</v>
      </c>
      <c r="M2" s="5"/>
      <c r="N2" s="5">
        <v>5</v>
      </c>
      <c r="O2" s="5" t="s">
        <v>66</v>
      </c>
    </row>
    <row r="3" spans="1:15" x14ac:dyDescent="0.3">
      <c r="A3" s="20" t="s">
        <v>58</v>
      </c>
      <c r="B3" s="5" t="s">
        <v>59</v>
      </c>
      <c r="C3" s="5" t="s">
        <v>60</v>
      </c>
      <c r="D3" s="5" t="s">
        <v>61</v>
      </c>
      <c r="E3" s="5" t="s">
        <v>62</v>
      </c>
      <c r="F3" s="14">
        <v>-1</v>
      </c>
      <c r="G3" s="5" t="s">
        <v>63</v>
      </c>
      <c r="H3" s="5"/>
      <c r="I3" s="8">
        <v>15</v>
      </c>
      <c r="J3" s="8" t="s">
        <v>145</v>
      </c>
      <c r="K3" s="9" t="s">
        <v>68</v>
      </c>
      <c r="L3" s="9" t="s">
        <v>69</v>
      </c>
      <c r="M3" s="5"/>
      <c r="N3" s="5">
        <v>5</v>
      </c>
      <c r="O3" s="5"/>
    </row>
    <row r="4" spans="1:15" x14ac:dyDescent="0.3">
      <c r="A4" s="20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14">
        <v>-1</v>
      </c>
      <c r="G4" s="5" t="s">
        <v>63</v>
      </c>
      <c r="H4" s="5"/>
      <c r="I4" s="8">
        <v>15</v>
      </c>
      <c r="J4" s="8" t="s">
        <v>176</v>
      </c>
      <c r="K4" s="9" t="s">
        <v>181</v>
      </c>
      <c r="L4" s="9" t="s">
        <v>180</v>
      </c>
      <c r="M4" s="5"/>
      <c r="N4" s="5">
        <v>5</v>
      </c>
      <c r="O4" s="5"/>
    </row>
    <row r="5" spans="1:15" x14ac:dyDescent="0.3">
      <c r="A5" s="20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14">
        <v>-1</v>
      </c>
      <c r="G5" s="5" t="s">
        <v>63</v>
      </c>
      <c r="H5" s="5"/>
      <c r="I5" s="8">
        <v>15</v>
      </c>
      <c r="J5" s="8" t="s">
        <v>146</v>
      </c>
      <c r="K5" s="9" t="s">
        <v>147</v>
      </c>
      <c r="L5" s="9" t="s">
        <v>70</v>
      </c>
      <c r="M5" s="5"/>
      <c r="N5" s="5">
        <v>5</v>
      </c>
      <c r="O5" s="5"/>
    </row>
    <row r="6" spans="1:15" x14ac:dyDescent="0.3">
      <c r="A6" s="20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14">
        <v>-1</v>
      </c>
      <c r="G6" s="5" t="s">
        <v>63</v>
      </c>
      <c r="H6" s="5"/>
      <c r="I6" s="8">
        <v>15</v>
      </c>
      <c r="J6" s="8" t="s">
        <v>148</v>
      </c>
      <c r="K6" s="9" t="s">
        <v>149</v>
      </c>
      <c r="L6" s="9" t="s">
        <v>71</v>
      </c>
      <c r="M6" s="5"/>
      <c r="N6" s="5">
        <v>5</v>
      </c>
      <c r="O6" s="5"/>
    </row>
    <row r="7" spans="1:15" x14ac:dyDescent="0.3">
      <c r="A7" s="20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14">
        <v>-1</v>
      </c>
      <c r="G7" s="5" t="s">
        <v>63</v>
      </c>
      <c r="H7" s="5"/>
      <c r="I7" s="8">
        <v>10</v>
      </c>
      <c r="J7" s="8" t="s">
        <v>177</v>
      </c>
      <c r="K7" s="9" t="s">
        <v>179</v>
      </c>
      <c r="L7" s="9" t="s">
        <v>178</v>
      </c>
      <c r="M7" s="5"/>
      <c r="N7" s="5">
        <v>5</v>
      </c>
      <c r="O7" s="5"/>
    </row>
    <row r="8" spans="1:15" ht="39.6" x14ac:dyDescent="0.3">
      <c r="A8" s="20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14">
        <v>-1</v>
      </c>
      <c r="G8" s="7" t="s">
        <v>72</v>
      </c>
      <c r="H8" s="7" t="s">
        <v>73</v>
      </c>
      <c r="I8" s="7">
        <v>15</v>
      </c>
      <c r="J8" s="7" t="s">
        <v>74</v>
      </c>
      <c r="K8" s="5" t="s">
        <v>143</v>
      </c>
      <c r="L8" s="5" t="s">
        <v>75</v>
      </c>
      <c r="M8" s="5">
        <v>1</v>
      </c>
      <c r="N8" s="5">
        <v>5</v>
      </c>
      <c r="O8" s="5" t="s">
        <v>76</v>
      </c>
    </row>
    <row r="9" spans="1:15" ht="26.4" x14ac:dyDescent="0.3">
      <c r="A9" s="20" t="s">
        <v>58</v>
      </c>
      <c r="B9" s="5" t="s">
        <v>59</v>
      </c>
      <c r="C9" s="5" t="s">
        <v>60</v>
      </c>
      <c r="D9" s="5" t="s">
        <v>61</v>
      </c>
      <c r="E9" s="5" t="s">
        <v>62</v>
      </c>
      <c r="F9" s="14">
        <v>-1</v>
      </c>
      <c r="G9" s="7" t="s">
        <v>72</v>
      </c>
      <c r="H9" s="7" t="s">
        <v>77</v>
      </c>
      <c r="I9" s="7">
        <v>15</v>
      </c>
      <c r="J9" s="7" t="s">
        <v>74</v>
      </c>
      <c r="K9" s="5" t="s">
        <v>143</v>
      </c>
      <c r="L9" s="5" t="s">
        <v>78</v>
      </c>
      <c r="M9" s="5"/>
      <c r="N9" s="5">
        <v>-50</v>
      </c>
      <c r="O9" s="5"/>
    </row>
    <row r="10" spans="1:15" x14ac:dyDescent="0.3">
      <c r="A10" s="20" t="s">
        <v>58</v>
      </c>
      <c r="B10" s="5" t="s">
        <v>59</v>
      </c>
      <c r="C10" s="5" t="s">
        <v>60</v>
      </c>
      <c r="D10" s="5" t="s">
        <v>79</v>
      </c>
      <c r="E10" s="5" t="s">
        <v>80</v>
      </c>
      <c r="F10" s="14">
        <v>-1</v>
      </c>
      <c r="G10" s="5" t="s">
        <v>81</v>
      </c>
      <c r="H10" s="5"/>
      <c r="I10" s="5"/>
      <c r="J10" s="5"/>
      <c r="K10" s="5" t="s">
        <v>82</v>
      </c>
      <c r="L10" s="5" t="s">
        <v>83</v>
      </c>
      <c r="M10" s="5">
        <v>10</v>
      </c>
      <c r="N10" s="5">
        <v>4</v>
      </c>
      <c r="O10" s="5"/>
    </row>
    <row r="11" spans="1:15" ht="26.4" x14ac:dyDescent="0.3">
      <c r="A11" s="20" t="s">
        <v>58</v>
      </c>
      <c r="B11" s="5" t="s">
        <v>59</v>
      </c>
      <c r="C11" s="5" t="s">
        <v>60</v>
      </c>
      <c r="D11" s="5" t="s">
        <v>79</v>
      </c>
      <c r="E11" s="5" t="s">
        <v>84</v>
      </c>
      <c r="F11" s="14">
        <v>-1</v>
      </c>
      <c r="G11" s="5" t="s">
        <v>81</v>
      </c>
      <c r="H11" s="5"/>
      <c r="I11" s="5"/>
      <c r="J11" s="5" t="s">
        <v>186</v>
      </c>
      <c r="K11" s="5" t="s">
        <v>187</v>
      </c>
      <c r="L11" s="5" t="s">
        <v>188</v>
      </c>
      <c r="M11" s="5">
        <v>1</v>
      </c>
      <c r="N11" s="5">
        <v>4</v>
      </c>
      <c r="O11" s="5"/>
    </row>
    <row r="12" spans="1:15" ht="26.4" x14ac:dyDescent="0.3">
      <c r="A12" s="20" t="s">
        <v>58</v>
      </c>
      <c r="B12" s="5" t="s">
        <v>85</v>
      </c>
      <c r="C12" s="5" t="s">
        <v>86</v>
      </c>
      <c r="D12" s="5" t="s">
        <v>61</v>
      </c>
      <c r="E12" s="5" t="s">
        <v>96</v>
      </c>
      <c r="F12" s="14">
        <v>-1</v>
      </c>
      <c r="G12" s="5" t="s">
        <v>81</v>
      </c>
      <c r="H12" s="5"/>
      <c r="I12" s="5"/>
      <c r="J12" s="5" t="s">
        <v>87</v>
      </c>
      <c r="K12" s="5" t="s">
        <v>88</v>
      </c>
      <c r="L12" s="5" t="s">
        <v>151</v>
      </c>
      <c r="M12" s="5"/>
      <c r="N12" s="5">
        <v>5</v>
      </c>
      <c r="O12" s="5" t="s">
        <v>89</v>
      </c>
    </row>
    <row r="13" spans="1:15" s="10" customFormat="1" ht="39.6" x14ac:dyDescent="0.3">
      <c r="A13" s="21" t="s">
        <v>58</v>
      </c>
      <c r="B13" s="7" t="s">
        <v>90</v>
      </c>
      <c r="C13" s="7" t="s">
        <v>91</v>
      </c>
      <c r="D13" s="7" t="s">
        <v>79</v>
      </c>
      <c r="E13" s="7" t="s">
        <v>92</v>
      </c>
      <c r="F13" s="14">
        <v>-1</v>
      </c>
      <c r="G13" s="7" t="s">
        <v>81</v>
      </c>
      <c r="H13" s="7"/>
      <c r="I13" s="7"/>
      <c r="J13" s="7" t="s">
        <v>67</v>
      </c>
      <c r="K13" s="7" t="s">
        <v>153</v>
      </c>
      <c r="L13" s="7" t="s">
        <v>152</v>
      </c>
      <c r="M13" s="7"/>
      <c r="N13" s="7">
        <v>20</v>
      </c>
      <c r="O13" s="7" t="s">
        <v>93</v>
      </c>
    </row>
    <row r="14" spans="1:15" ht="26.4" x14ac:dyDescent="0.3">
      <c r="A14" s="20" t="s">
        <v>58</v>
      </c>
      <c r="B14" s="5" t="s">
        <v>94</v>
      </c>
      <c r="C14" s="5" t="s">
        <v>95</v>
      </c>
      <c r="D14" s="5" t="s">
        <v>61</v>
      </c>
      <c r="E14" s="5" t="s">
        <v>96</v>
      </c>
      <c r="F14" s="14">
        <v>-1</v>
      </c>
      <c r="G14" s="5" t="s">
        <v>81</v>
      </c>
      <c r="H14" s="5"/>
      <c r="I14" s="5"/>
      <c r="J14" s="5" t="s">
        <v>97</v>
      </c>
      <c r="K14" s="5" t="s">
        <v>98</v>
      </c>
      <c r="L14" s="5" t="s">
        <v>99</v>
      </c>
      <c r="M14" s="5"/>
      <c r="N14" s="5">
        <v>5</v>
      </c>
      <c r="O14" s="5" t="s">
        <v>100</v>
      </c>
    </row>
    <row r="15" spans="1:15" ht="26.4" x14ac:dyDescent="0.3">
      <c r="A15" s="20" t="s">
        <v>58</v>
      </c>
      <c r="B15" s="5" t="s">
        <v>101</v>
      </c>
      <c r="C15" s="5" t="s">
        <v>95</v>
      </c>
      <c r="D15" s="5" t="s">
        <v>61</v>
      </c>
      <c r="E15" s="5" t="s">
        <v>96</v>
      </c>
      <c r="F15" s="14">
        <v>-1</v>
      </c>
      <c r="G15" s="5" t="s">
        <v>81</v>
      </c>
      <c r="H15" s="5"/>
      <c r="I15" s="5"/>
      <c r="J15" s="5" t="s">
        <v>102</v>
      </c>
      <c r="K15" s="5" t="s">
        <v>103</v>
      </c>
      <c r="L15" s="7" t="s">
        <v>150</v>
      </c>
      <c r="M15" s="5"/>
      <c r="N15" s="5">
        <v>5</v>
      </c>
      <c r="O15" s="5" t="s">
        <v>104</v>
      </c>
    </row>
    <row r="16" spans="1:15" ht="39.6" x14ac:dyDescent="0.3">
      <c r="A16" s="20" t="s">
        <v>58</v>
      </c>
      <c r="B16" s="5" t="s">
        <v>105</v>
      </c>
      <c r="C16" s="5" t="s">
        <v>86</v>
      </c>
      <c r="D16" s="5" t="s">
        <v>79</v>
      </c>
      <c r="E16" s="5" t="s">
        <v>92</v>
      </c>
      <c r="F16" s="14">
        <v>-1</v>
      </c>
      <c r="G16" s="7" t="s">
        <v>72</v>
      </c>
      <c r="H16" s="7" t="s">
        <v>73</v>
      </c>
      <c r="I16" s="7"/>
      <c r="J16" s="7" t="s">
        <v>74</v>
      </c>
      <c r="K16" s="5" t="s">
        <v>106</v>
      </c>
      <c r="L16" s="5" t="s">
        <v>107</v>
      </c>
      <c r="M16" s="5">
        <v>5</v>
      </c>
      <c r="N16" s="5">
        <v>5</v>
      </c>
      <c r="O16" s="5" t="s">
        <v>108</v>
      </c>
    </row>
    <row r="17" spans="1:15" x14ac:dyDescent="0.3">
      <c r="A17" s="20" t="s">
        <v>58</v>
      </c>
      <c r="B17" s="5" t="s">
        <v>105</v>
      </c>
      <c r="C17" s="5" t="s">
        <v>86</v>
      </c>
      <c r="D17" s="5" t="s">
        <v>79</v>
      </c>
      <c r="E17" s="5" t="s">
        <v>92</v>
      </c>
      <c r="F17" s="14">
        <v>-1</v>
      </c>
      <c r="G17" s="7" t="s">
        <v>72</v>
      </c>
      <c r="H17" s="7" t="s">
        <v>77</v>
      </c>
      <c r="I17" s="7"/>
      <c r="J17" s="7" t="s">
        <v>74</v>
      </c>
      <c r="K17" s="5" t="s">
        <v>106</v>
      </c>
      <c r="L17" s="5" t="s">
        <v>109</v>
      </c>
      <c r="M17" s="5"/>
      <c r="N17" s="5">
        <v>-5</v>
      </c>
      <c r="O17" s="5"/>
    </row>
    <row r="18" spans="1:15" ht="26.4" x14ac:dyDescent="0.3">
      <c r="A18" s="20" t="s">
        <v>58</v>
      </c>
      <c r="B18" s="5" t="s">
        <v>110</v>
      </c>
      <c r="C18" s="5" t="s">
        <v>111</v>
      </c>
      <c r="D18" s="5" t="s">
        <v>61</v>
      </c>
      <c r="E18" s="5" t="s">
        <v>96</v>
      </c>
      <c r="F18" s="14">
        <v>-1</v>
      </c>
      <c r="G18" s="5" t="s">
        <v>81</v>
      </c>
      <c r="H18" s="5"/>
      <c r="I18" s="5"/>
      <c r="J18" s="5" t="s">
        <v>112</v>
      </c>
      <c r="K18" s="5" t="s">
        <v>113</v>
      </c>
      <c r="L18" s="5" t="s">
        <v>114</v>
      </c>
      <c r="M18" s="5"/>
      <c r="N18" s="5">
        <v>5</v>
      </c>
      <c r="O18" s="5" t="s">
        <v>115</v>
      </c>
    </row>
    <row r="19" spans="1:15" x14ac:dyDescent="0.3">
      <c r="A19" s="20" t="s">
        <v>58</v>
      </c>
      <c r="B19" s="5" t="s">
        <v>116</v>
      </c>
      <c r="C19" s="5" t="s">
        <v>111</v>
      </c>
      <c r="D19" s="5" t="s">
        <v>61</v>
      </c>
      <c r="E19" s="5" t="s">
        <v>96</v>
      </c>
      <c r="F19" s="14">
        <v>-1</v>
      </c>
      <c r="G19" s="5" t="s">
        <v>81</v>
      </c>
      <c r="H19" s="5"/>
      <c r="I19" s="5"/>
      <c r="J19" s="5" t="s">
        <v>117</v>
      </c>
      <c r="K19" s="5" t="s">
        <v>118</v>
      </c>
      <c r="L19" s="5" t="s">
        <v>119</v>
      </c>
      <c r="M19" s="5"/>
      <c r="N19" s="5">
        <v>5</v>
      </c>
      <c r="O19" s="5" t="s">
        <v>115</v>
      </c>
    </row>
    <row r="20" spans="1:15" ht="26.4" x14ac:dyDescent="0.3">
      <c r="A20" s="20" t="s">
        <v>58</v>
      </c>
      <c r="B20" s="5" t="s">
        <v>120</v>
      </c>
      <c r="C20" s="5" t="s">
        <v>121</v>
      </c>
      <c r="D20" s="5" t="s">
        <v>61</v>
      </c>
      <c r="E20" s="5" t="s">
        <v>96</v>
      </c>
      <c r="F20" s="14">
        <v>-1</v>
      </c>
      <c r="G20" s="5" t="s">
        <v>81</v>
      </c>
      <c r="H20" s="5"/>
      <c r="I20" s="5"/>
      <c r="J20" s="7" t="s">
        <v>122</v>
      </c>
      <c r="K20" s="7" t="s">
        <v>156</v>
      </c>
      <c r="L20" s="7" t="s">
        <v>157</v>
      </c>
      <c r="M20" s="5"/>
      <c r="N20" s="5">
        <v>5</v>
      </c>
      <c r="O20" s="5" t="s">
        <v>123</v>
      </c>
    </row>
    <row r="21" spans="1:15" ht="26.4" x14ac:dyDescent="0.3">
      <c r="A21" s="20" t="s">
        <v>58</v>
      </c>
      <c r="B21" s="5" t="s">
        <v>124</v>
      </c>
      <c r="C21" s="5" t="s">
        <v>121</v>
      </c>
      <c r="D21" s="5" t="s">
        <v>61</v>
      </c>
      <c r="E21" s="5" t="s">
        <v>96</v>
      </c>
      <c r="F21" s="14">
        <v>-1</v>
      </c>
      <c r="G21" s="5" t="s">
        <v>81</v>
      </c>
      <c r="H21" s="5"/>
      <c r="I21" s="5"/>
      <c r="J21" s="7" t="s">
        <v>125</v>
      </c>
      <c r="K21" s="7" t="s">
        <v>155</v>
      </c>
      <c r="L21" s="7" t="s">
        <v>158</v>
      </c>
      <c r="M21" s="5"/>
      <c r="N21" s="5">
        <v>5</v>
      </c>
      <c r="O21" s="5" t="s">
        <v>123</v>
      </c>
    </row>
    <row r="22" spans="1:15" ht="26.4" x14ac:dyDescent="0.3">
      <c r="A22" s="20" t="s">
        <v>58</v>
      </c>
      <c r="B22" s="5" t="s">
        <v>126</v>
      </c>
      <c r="C22" s="5" t="s">
        <v>111</v>
      </c>
      <c r="D22" s="5" t="s">
        <v>61</v>
      </c>
      <c r="E22" s="5" t="s">
        <v>96</v>
      </c>
      <c r="F22" s="14">
        <v>-1</v>
      </c>
      <c r="G22" s="5" t="s">
        <v>81</v>
      </c>
      <c r="H22" s="5"/>
      <c r="I22" s="5"/>
      <c r="J22" s="5" t="s">
        <v>117</v>
      </c>
      <c r="K22" s="5" t="s">
        <v>127</v>
      </c>
      <c r="L22" s="5" t="s">
        <v>128</v>
      </c>
      <c r="M22" s="5"/>
      <c r="N22" s="5">
        <v>5</v>
      </c>
      <c r="O22" s="5"/>
    </row>
    <row r="23" spans="1:15" x14ac:dyDescent="0.3">
      <c r="A23" s="20" t="s">
        <v>58</v>
      </c>
      <c r="B23" s="5" t="s">
        <v>133</v>
      </c>
      <c r="C23" s="5" t="s">
        <v>134</v>
      </c>
      <c r="D23" s="5" t="s">
        <v>79</v>
      </c>
      <c r="E23" s="5" t="s">
        <v>80</v>
      </c>
      <c r="F23" s="14">
        <v>-1</v>
      </c>
      <c r="G23" s="5" t="s">
        <v>81</v>
      </c>
      <c r="H23" s="5"/>
      <c r="I23" s="5"/>
      <c r="J23" s="5" t="s">
        <v>130</v>
      </c>
      <c r="K23" s="5" t="s">
        <v>138</v>
      </c>
      <c r="L23" s="5" t="str">
        <f>B23&amp;": "&amp;K23</f>
        <v>Winston A.: The mantra is in Iolo's poem.</v>
      </c>
      <c r="M23" s="5"/>
      <c r="N23" s="5">
        <v>5</v>
      </c>
      <c r="O23" s="5"/>
    </row>
    <row r="24" spans="1:15" ht="26.4" x14ac:dyDescent="0.3">
      <c r="A24" s="20" t="s">
        <v>58</v>
      </c>
      <c r="B24" s="5" t="s">
        <v>133</v>
      </c>
      <c r="C24" s="5" t="s">
        <v>134</v>
      </c>
      <c r="D24" s="5" t="s">
        <v>79</v>
      </c>
      <c r="E24" s="5" t="s">
        <v>84</v>
      </c>
      <c r="F24" s="14">
        <v>-1</v>
      </c>
      <c r="G24" s="5" t="s">
        <v>81</v>
      </c>
      <c r="H24" s="5"/>
      <c r="I24" s="5"/>
      <c r="J24" s="5" t="s">
        <v>173</v>
      </c>
      <c r="K24" s="5" t="s">
        <v>172</v>
      </c>
      <c r="L24" s="5" t="str">
        <f>B24&amp;": "&amp;K24</f>
        <v>Winston A.: You can see that iron ingots aren't so easy to make, eh?</v>
      </c>
      <c r="M24" s="5"/>
      <c r="N24" s="5">
        <v>5</v>
      </c>
      <c r="O24" s="5"/>
    </row>
    <row r="25" spans="1:15" ht="26.4" x14ac:dyDescent="0.3">
      <c r="A25" s="20" t="s">
        <v>58</v>
      </c>
      <c r="B25" s="5" t="s">
        <v>133</v>
      </c>
      <c r="C25" s="5" t="s">
        <v>134</v>
      </c>
      <c r="D25" s="5" t="s">
        <v>79</v>
      </c>
      <c r="E25" s="5" t="s">
        <v>174</v>
      </c>
      <c r="F25" s="14">
        <v>-1</v>
      </c>
      <c r="G25" s="5" t="s">
        <v>81</v>
      </c>
      <c r="H25" s="5"/>
      <c r="I25" s="5"/>
      <c r="J25" s="5" t="s">
        <v>171</v>
      </c>
      <c r="K25" s="5" t="s">
        <v>175</v>
      </c>
      <c r="L25" s="5" t="str">
        <f>B25&amp;": "&amp;K25</f>
        <v>Winston A.: Until you KNOW iron, you're not fit to hold ingots!</v>
      </c>
      <c r="M25" s="5"/>
      <c r="N25" s="5">
        <v>5</v>
      </c>
      <c r="O25" s="5"/>
    </row>
    <row r="26" spans="1:15" ht="26.4" x14ac:dyDescent="0.3">
      <c r="A26" s="20" t="s">
        <v>58</v>
      </c>
      <c r="B26" s="5" t="s">
        <v>136</v>
      </c>
      <c r="C26" s="5" t="s">
        <v>137</v>
      </c>
      <c r="D26" s="5" t="s">
        <v>79</v>
      </c>
      <c r="E26" s="5" t="s">
        <v>92</v>
      </c>
      <c r="F26" s="14">
        <v>-1</v>
      </c>
      <c r="G26" s="5" t="s">
        <v>81</v>
      </c>
      <c r="H26" s="5"/>
      <c r="I26" s="5"/>
      <c r="J26" s="5" t="s">
        <v>130</v>
      </c>
      <c r="K26" s="5" t="s">
        <v>135</v>
      </c>
      <c r="L26" s="5" t="str">
        <f>B26&amp;": "&amp;K26</f>
        <v>Winston T.: Shalimar and Cricket say the mantra.</v>
      </c>
      <c r="M26" s="5"/>
      <c r="N26" s="5">
        <v>5</v>
      </c>
      <c r="O26" s="5"/>
    </row>
    <row r="27" spans="1:15" x14ac:dyDescent="0.3">
      <c r="A27" s="20" t="s">
        <v>58</v>
      </c>
      <c r="B27" s="5" t="s">
        <v>139</v>
      </c>
      <c r="C27" s="5" t="s">
        <v>140</v>
      </c>
      <c r="D27" s="5" t="s">
        <v>79</v>
      </c>
      <c r="E27" s="5" t="s">
        <v>92</v>
      </c>
      <c r="F27" s="14">
        <v>-1</v>
      </c>
      <c r="G27" s="5" t="s">
        <v>81</v>
      </c>
      <c r="H27" s="5"/>
      <c r="I27" s="5"/>
      <c r="J27" s="5" t="s">
        <v>130</v>
      </c>
      <c r="K27" s="5" t="s">
        <v>168</v>
      </c>
      <c r="L27" s="5" t="s">
        <v>169</v>
      </c>
      <c r="M27" s="5"/>
      <c r="N27" s="5">
        <v>5</v>
      </c>
      <c r="O27" s="5"/>
    </row>
    <row r="28" spans="1:15" x14ac:dyDescent="0.3">
      <c r="A28" s="20" t="s">
        <v>58</v>
      </c>
      <c r="B28" s="5" t="s">
        <v>141</v>
      </c>
      <c r="C28" s="5" t="s">
        <v>142</v>
      </c>
      <c r="D28" s="5" t="s">
        <v>79</v>
      </c>
      <c r="E28" s="5" t="s">
        <v>92</v>
      </c>
      <c r="F28" s="14">
        <v>-1</v>
      </c>
      <c r="G28" s="5" t="s">
        <v>81</v>
      </c>
      <c r="H28" s="5"/>
      <c r="I28" s="5"/>
      <c r="J28" s="5" t="s">
        <v>130</v>
      </c>
      <c r="K28" s="5" t="s">
        <v>167</v>
      </c>
      <c r="L28" s="5" t="s">
        <v>170</v>
      </c>
      <c r="M28" s="5"/>
      <c r="N28" s="5">
        <v>5</v>
      </c>
      <c r="O28" s="5"/>
    </row>
    <row r="29" spans="1:15" s="12" customFormat="1" ht="26.4" x14ac:dyDescent="0.3">
      <c r="A29" s="22" t="s">
        <v>58</v>
      </c>
      <c r="B29" s="9" t="s">
        <v>159</v>
      </c>
      <c r="C29" s="8" t="s">
        <v>111</v>
      </c>
      <c r="D29" s="8" t="s">
        <v>61</v>
      </c>
      <c r="E29" s="8" t="s">
        <v>154</v>
      </c>
      <c r="F29" s="17">
        <v>-1</v>
      </c>
      <c r="G29" s="8" t="s">
        <v>81</v>
      </c>
      <c r="H29" s="8"/>
      <c r="I29" s="8"/>
      <c r="J29" s="8" t="s">
        <v>160</v>
      </c>
      <c r="K29" s="8" t="s">
        <v>161</v>
      </c>
      <c r="L29" s="8" t="s">
        <v>162</v>
      </c>
      <c r="M29" s="8"/>
      <c r="N29" s="8">
        <v>5</v>
      </c>
      <c r="O29" s="8" t="s">
        <v>111</v>
      </c>
    </row>
    <row r="30" spans="1:15" s="10" customFormat="1" x14ac:dyDescent="0.3">
      <c r="A30" s="22" t="s">
        <v>58</v>
      </c>
      <c r="B30" s="10" t="s">
        <v>129</v>
      </c>
      <c r="C30" s="10" t="s">
        <v>111</v>
      </c>
      <c r="D30" s="8" t="s">
        <v>61</v>
      </c>
      <c r="E30" s="8" t="s">
        <v>154</v>
      </c>
      <c r="F30" s="18">
        <v>3</v>
      </c>
      <c r="G30" s="11" t="s">
        <v>81</v>
      </c>
      <c r="H30" s="11"/>
      <c r="I30" s="11"/>
      <c r="J30" s="11" t="s">
        <v>166</v>
      </c>
      <c r="K30" s="11" t="s">
        <v>165</v>
      </c>
      <c r="L30" s="11" t="s">
        <v>164</v>
      </c>
      <c r="M30" s="11"/>
      <c r="N30" s="8">
        <v>5</v>
      </c>
      <c r="O30" s="12" t="s">
        <v>115</v>
      </c>
    </row>
    <row r="31" spans="1:15" s="12" customFormat="1" ht="26.4" x14ac:dyDescent="0.3">
      <c r="A31" s="22" t="s">
        <v>58</v>
      </c>
      <c r="B31" s="12" t="s">
        <v>129</v>
      </c>
      <c r="C31" s="12" t="s">
        <v>111</v>
      </c>
      <c r="D31" s="13" t="s">
        <v>79</v>
      </c>
      <c r="E31" s="9" t="s">
        <v>92</v>
      </c>
      <c r="F31" s="19">
        <v>-1</v>
      </c>
      <c r="G31" s="9" t="s">
        <v>81</v>
      </c>
      <c r="H31" s="9"/>
      <c r="J31" s="9" t="s">
        <v>163</v>
      </c>
      <c r="K31" s="12" t="s">
        <v>131</v>
      </c>
      <c r="L31" s="7" t="s">
        <v>132</v>
      </c>
      <c r="M31" s="9"/>
      <c r="N31" s="8">
        <v>5</v>
      </c>
      <c r="O31" s="12" t="s">
        <v>115</v>
      </c>
    </row>
    <row r="32" spans="1:15" ht="26.4" x14ac:dyDescent="0.3">
      <c r="A32" s="21" t="s">
        <v>58</v>
      </c>
      <c r="B32" s="7" t="s">
        <v>182</v>
      </c>
      <c r="C32" s="7" t="s">
        <v>183</v>
      </c>
      <c r="D32" s="7" t="s">
        <v>61</v>
      </c>
      <c r="E32" s="7" t="s">
        <v>154</v>
      </c>
      <c r="F32" s="14">
        <v>3</v>
      </c>
      <c r="G32" s="7" t="s">
        <v>81</v>
      </c>
      <c r="H32" s="7"/>
      <c r="I32" s="7"/>
      <c r="J32" s="7" t="s">
        <v>184</v>
      </c>
      <c r="K32" s="7" t="s">
        <v>185</v>
      </c>
      <c r="L32" s="7" t="str">
        <f>B32&amp;": "&amp;K32</f>
        <v>Winston M.: I can teach you how to mine cobblestones!</v>
      </c>
      <c r="M32" s="6"/>
      <c r="N32" s="5">
        <v>10</v>
      </c>
      <c r="O32" s="5" t="s">
        <v>183</v>
      </c>
    </row>
    <row r="33" spans="1:15" s="24" customFormat="1" x14ac:dyDescent="0.3">
      <c r="A33" s="23" t="s">
        <v>189</v>
      </c>
      <c r="B33" s="6" t="s">
        <v>190</v>
      </c>
      <c r="C33" s="6" t="s">
        <v>121</v>
      </c>
      <c r="D33" s="8" t="s">
        <v>61</v>
      </c>
      <c r="E33" s="8" t="s">
        <v>154</v>
      </c>
      <c r="F33" s="14">
        <v>-1</v>
      </c>
      <c r="G33" s="5" t="s">
        <v>63</v>
      </c>
      <c r="H33" s="5"/>
      <c r="I33" s="8">
        <v>8</v>
      </c>
      <c r="J33" s="6" t="s">
        <v>205</v>
      </c>
      <c r="K33" s="6" t="s">
        <v>206</v>
      </c>
      <c r="L33" s="6" t="s">
        <v>216</v>
      </c>
      <c r="M33" s="6"/>
      <c r="N33" s="6">
        <v>0</v>
      </c>
      <c r="O33" s="6" t="s">
        <v>121</v>
      </c>
    </row>
    <row r="34" spans="1:15" s="24" customFormat="1" x14ac:dyDescent="0.3">
      <c r="A34" s="23" t="s">
        <v>189</v>
      </c>
      <c r="B34" s="6" t="s">
        <v>190</v>
      </c>
      <c r="C34" s="6" t="s">
        <v>121</v>
      </c>
      <c r="D34" s="8" t="s">
        <v>61</v>
      </c>
      <c r="E34" s="8" t="s">
        <v>154</v>
      </c>
      <c r="F34" s="14">
        <v>-1</v>
      </c>
      <c r="G34" s="5" t="s">
        <v>63</v>
      </c>
      <c r="H34" s="5"/>
      <c r="I34" s="8">
        <v>16</v>
      </c>
      <c r="J34" s="6" t="s">
        <v>207</v>
      </c>
      <c r="K34" s="6" t="s">
        <v>208</v>
      </c>
      <c r="L34" s="6" t="s">
        <v>217</v>
      </c>
      <c r="M34" s="6"/>
      <c r="N34" s="6">
        <v>0</v>
      </c>
      <c r="O34" s="6" t="s">
        <v>121</v>
      </c>
    </row>
    <row r="35" spans="1:15" s="24" customFormat="1" x14ac:dyDescent="0.3">
      <c r="A35" s="23" t="s">
        <v>189</v>
      </c>
      <c r="B35" s="6" t="s">
        <v>190</v>
      </c>
      <c r="C35" s="6" t="s">
        <v>121</v>
      </c>
      <c r="D35" s="8" t="s">
        <v>61</v>
      </c>
      <c r="E35" s="8" t="s">
        <v>154</v>
      </c>
      <c r="F35" s="14">
        <v>-1</v>
      </c>
      <c r="G35" s="5" t="s">
        <v>63</v>
      </c>
      <c r="H35" s="5"/>
      <c r="I35" s="8">
        <v>8</v>
      </c>
      <c r="J35" s="6" t="s">
        <v>191</v>
      </c>
      <c r="K35" s="6" t="s">
        <v>193</v>
      </c>
      <c r="L35" s="6" t="s">
        <v>218</v>
      </c>
      <c r="M35" s="6"/>
      <c r="N35" s="6">
        <v>0</v>
      </c>
      <c r="O35" s="6" t="s">
        <v>121</v>
      </c>
    </row>
    <row r="36" spans="1:15" s="24" customFormat="1" x14ac:dyDescent="0.3">
      <c r="A36" s="23" t="s">
        <v>189</v>
      </c>
      <c r="B36" s="6" t="s">
        <v>190</v>
      </c>
      <c r="C36" s="6" t="s">
        <v>121</v>
      </c>
      <c r="D36" s="8" t="s">
        <v>61</v>
      </c>
      <c r="E36" s="8" t="s">
        <v>154</v>
      </c>
      <c r="F36" s="14">
        <v>-1</v>
      </c>
      <c r="G36" s="5" t="s">
        <v>63</v>
      </c>
      <c r="H36" s="5"/>
      <c r="I36" s="8">
        <v>8</v>
      </c>
      <c r="J36" s="6" t="s">
        <v>199</v>
      </c>
      <c r="K36" s="6" t="s">
        <v>198</v>
      </c>
      <c r="L36" s="6" t="s">
        <v>219</v>
      </c>
      <c r="M36" s="6"/>
      <c r="N36" s="6">
        <v>5</v>
      </c>
      <c r="O36" s="6" t="s">
        <v>121</v>
      </c>
    </row>
    <row r="37" spans="1:15" s="24" customFormat="1" x14ac:dyDescent="0.3">
      <c r="A37" s="23" t="s">
        <v>189</v>
      </c>
      <c r="B37" s="6" t="s">
        <v>190</v>
      </c>
      <c r="C37" s="6" t="s">
        <v>121</v>
      </c>
      <c r="D37" s="8" t="s">
        <v>61</v>
      </c>
      <c r="E37" s="8" t="s">
        <v>154</v>
      </c>
      <c r="F37" s="14">
        <v>-1</v>
      </c>
      <c r="G37" s="5" t="s">
        <v>63</v>
      </c>
      <c r="H37" s="5"/>
      <c r="I37" s="8">
        <v>12</v>
      </c>
      <c r="J37" s="6" t="s">
        <v>194</v>
      </c>
      <c r="K37" s="6" t="s">
        <v>202</v>
      </c>
      <c r="L37" s="6" t="s">
        <v>220</v>
      </c>
      <c r="M37" s="6"/>
      <c r="N37" s="6">
        <v>5</v>
      </c>
      <c r="O37" s="6" t="s">
        <v>121</v>
      </c>
    </row>
    <row r="38" spans="1:15" s="24" customFormat="1" x14ac:dyDescent="0.3">
      <c r="A38" s="23" t="s">
        <v>189</v>
      </c>
      <c r="B38" s="6" t="s">
        <v>190</v>
      </c>
      <c r="C38" s="6" t="s">
        <v>121</v>
      </c>
      <c r="D38" s="8" t="s">
        <v>61</v>
      </c>
      <c r="E38" s="8" t="s">
        <v>154</v>
      </c>
      <c r="F38" s="14">
        <v>-1</v>
      </c>
      <c r="G38" s="5" t="s">
        <v>63</v>
      </c>
      <c r="H38" s="6"/>
      <c r="I38" s="8">
        <v>8</v>
      </c>
      <c r="J38" s="6" t="s">
        <v>195</v>
      </c>
      <c r="K38" s="6" t="s">
        <v>192</v>
      </c>
      <c r="L38" s="6" t="s">
        <v>221</v>
      </c>
      <c r="M38" s="6"/>
      <c r="N38" s="6">
        <v>5</v>
      </c>
      <c r="O38" s="6" t="s">
        <v>121</v>
      </c>
    </row>
    <row r="39" spans="1:15" s="24" customFormat="1" x14ac:dyDescent="0.3">
      <c r="A39" s="23" t="s">
        <v>189</v>
      </c>
      <c r="B39" s="6" t="s">
        <v>190</v>
      </c>
      <c r="C39" s="6" t="s">
        <v>121</v>
      </c>
      <c r="D39" s="8" t="s">
        <v>61</v>
      </c>
      <c r="E39" s="8" t="s">
        <v>154</v>
      </c>
      <c r="F39" s="14">
        <v>-1</v>
      </c>
      <c r="G39" s="5" t="s">
        <v>63</v>
      </c>
      <c r="H39" s="6"/>
      <c r="I39" s="8">
        <v>8</v>
      </c>
      <c r="J39" s="6" t="s">
        <v>195</v>
      </c>
      <c r="K39" s="6" t="s">
        <v>200</v>
      </c>
      <c r="L39" s="6" t="s">
        <v>222</v>
      </c>
      <c r="M39" s="6"/>
      <c r="N39" s="6">
        <v>5</v>
      </c>
      <c r="O39" s="6" t="s">
        <v>121</v>
      </c>
    </row>
    <row r="40" spans="1:15" s="24" customFormat="1" x14ac:dyDescent="0.3">
      <c r="A40" s="23" t="s">
        <v>189</v>
      </c>
      <c r="B40" s="6" t="s">
        <v>190</v>
      </c>
      <c r="C40" s="6" t="s">
        <v>121</v>
      </c>
      <c r="D40" s="8" t="s">
        <v>61</v>
      </c>
      <c r="E40" s="8" t="s">
        <v>154</v>
      </c>
      <c r="F40" s="14">
        <v>-1</v>
      </c>
      <c r="G40" s="5" t="s">
        <v>63</v>
      </c>
      <c r="H40" s="6"/>
      <c r="I40" s="8">
        <v>8</v>
      </c>
      <c r="J40" s="6" t="s">
        <v>195</v>
      </c>
      <c r="K40" s="6" t="s">
        <v>196</v>
      </c>
      <c r="L40" s="6" t="s">
        <v>223</v>
      </c>
      <c r="M40" s="6"/>
      <c r="N40" s="6">
        <v>5</v>
      </c>
      <c r="O40" s="6" t="s">
        <v>121</v>
      </c>
    </row>
    <row r="41" spans="1:15" s="24" customFormat="1" x14ac:dyDescent="0.3">
      <c r="A41" s="23" t="s">
        <v>189</v>
      </c>
      <c r="B41" s="6" t="s">
        <v>190</v>
      </c>
      <c r="C41" s="6" t="s">
        <v>121</v>
      </c>
      <c r="D41" s="8" t="s">
        <v>61</v>
      </c>
      <c r="E41" s="8" t="s">
        <v>154</v>
      </c>
      <c r="F41" s="14">
        <v>-1</v>
      </c>
      <c r="G41" s="5" t="s">
        <v>63</v>
      </c>
      <c r="H41" s="6"/>
      <c r="I41" s="8">
        <v>8</v>
      </c>
      <c r="J41" s="6" t="s">
        <v>195</v>
      </c>
      <c r="K41" s="6" t="s">
        <v>197</v>
      </c>
      <c r="L41" s="6" t="s">
        <v>224</v>
      </c>
      <c r="M41" s="6"/>
      <c r="N41" s="6">
        <v>5</v>
      </c>
      <c r="O41" s="6" t="s">
        <v>121</v>
      </c>
    </row>
    <row r="42" spans="1:15" s="24" customFormat="1" x14ac:dyDescent="0.3">
      <c r="A42" s="23" t="s">
        <v>189</v>
      </c>
      <c r="B42" s="6" t="s">
        <v>190</v>
      </c>
      <c r="C42" s="6" t="s">
        <v>121</v>
      </c>
      <c r="D42" s="8" t="s">
        <v>61</v>
      </c>
      <c r="E42" s="8" t="s">
        <v>154</v>
      </c>
      <c r="F42" s="14">
        <v>-1</v>
      </c>
      <c r="G42" s="5" t="s">
        <v>63</v>
      </c>
      <c r="H42" s="6"/>
      <c r="I42" s="8">
        <v>8</v>
      </c>
      <c r="J42" s="6" t="s">
        <v>201</v>
      </c>
      <c r="K42" s="6" t="s">
        <v>204</v>
      </c>
      <c r="L42" s="6" t="s">
        <v>225</v>
      </c>
      <c r="M42" s="6"/>
      <c r="N42" s="6">
        <v>5</v>
      </c>
      <c r="O42" s="6" t="s">
        <v>121</v>
      </c>
    </row>
    <row r="43" spans="1:15" s="24" customFormat="1" x14ac:dyDescent="0.3">
      <c r="A43" s="23" t="s">
        <v>189</v>
      </c>
      <c r="B43" s="6" t="s">
        <v>190</v>
      </c>
      <c r="C43" s="6" t="s">
        <v>121</v>
      </c>
      <c r="D43" s="8" t="s">
        <v>61</v>
      </c>
      <c r="E43" s="8" t="s">
        <v>154</v>
      </c>
      <c r="F43" s="14">
        <v>-1</v>
      </c>
      <c r="G43" s="5" t="s">
        <v>63</v>
      </c>
      <c r="H43" s="6"/>
      <c r="I43" s="8">
        <v>8</v>
      </c>
      <c r="J43" s="6" t="s">
        <v>201</v>
      </c>
      <c r="K43" s="6" t="s">
        <v>203</v>
      </c>
      <c r="L43" s="6" t="s">
        <v>226</v>
      </c>
      <c r="M43" s="6"/>
      <c r="N43" s="6">
        <v>5</v>
      </c>
      <c r="O43" s="6" t="s">
        <v>121</v>
      </c>
    </row>
    <row r="44" spans="1:15" s="24" customFormat="1" x14ac:dyDescent="0.3">
      <c r="A44" s="23" t="s">
        <v>189</v>
      </c>
      <c r="B44" s="6" t="s">
        <v>209</v>
      </c>
      <c r="C44" s="6" t="s">
        <v>142</v>
      </c>
      <c r="D44" s="8" t="s">
        <v>61</v>
      </c>
      <c r="E44" s="8" t="s">
        <v>154</v>
      </c>
      <c r="F44" s="14">
        <v>-1</v>
      </c>
      <c r="G44" s="5" t="s">
        <v>63</v>
      </c>
      <c r="H44" s="6"/>
      <c r="I44" s="6">
        <v>40</v>
      </c>
      <c r="J44" s="6" t="s">
        <v>212</v>
      </c>
      <c r="K44" s="6" t="s">
        <v>211</v>
      </c>
      <c r="L44" s="6" t="s">
        <v>227</v>
      </c>
      <c r="M44" s="6"/>
      <c r="N44" s="6">
        <v>5</v>
      </c>
      <c r="O44" s="6" t="s">
        <v>210</v>
      </c>
    </row>
    <row r="45" spans="1:15" s="24" customFormat="1" x14ac:dyDescent="0.3">
      <c r="A45" s="23" t="s">
        <v>189</v>
      </c>
      <c r="B45" s="6" t="s">
        <v>209</v>
      </c>
      <c r="C45" s="6" t="s">
        <v>142</v>
      </c>
      <c r="D45" s="8" t="s">
        <v>61</v>
      </c>
      <c r="E45" s="8" t="s">
        <v>154</v>
      </c>
      <c r="F45" s="14">
        <v>-1</v>
      </c>
      <c r="G45" s="5" t="s">
        <v>63</v>
      </c>
      <c r="H45" s="6"/>
      <c r="I45" s="6">
        <v>40</v>
      </c>
      <c r="J45" s="6" t="s">
        <v>213</v>
      </c>
      <c r="K45" s="6" t="s">
        <v>214</v>
      </c>
      <c r="L45" s="6" t="s">
        <v>228</v>
      </c>
      <c r="M45" s="6"/>
      <c r="N45" s="6">
        <v>5</v>
      </c>
      <c r="O45" s="6" t="s">
        <v>210</v>
      </c>
    </row>
    <row r="46" spans="1:15" s="24" customFormat="1" x14ac:dyDescent="0.3">
      <c r="A46" s="23" t="s">
        <v>189</v>
      </c>
      <c r="B46" s="6" t="s">
        <v>209</v>
      </c>
      <c r="C46" s="6" t="s">
        <v>142</v>
      </c>
      <c r="D46" s="8" t="s">
        <v>61</v>
      </c>
      <c r="E46" s="8" t="s">
        <v>154</v>
      </c>
      <c r="F46" s="14">
        <v>3</v>
      </c>
      <c r="G46" s="7" t="s">
        <v>72</v>
      </c>
      <c r="H46" s="7" t="s">
        <v>73</v>
      </c>
      <c r="I46" s="5">
        <v>20</v>
      </c>
      <c r="J46" s="7" t="s">
        <v>74</v>
      </c>
      <c r="K46" s="5" t="s">
        <v>231</v>
      </c>
      <c r="L46" s="5" t="s">
        <v>229</v>
      </c>
      <c r="M46" s="5">
        <v>100</v>
      </c>
      <c r="N46" s="5">
        <v>20</v>
      </c>
      <c r="O46" s="5" t="s">
        <v>215</v>
      </c>
    </row>
    <row r="47" spans="1:15" s="24" customFormat="1" x14ac:dyDescent="0.3">
      <c r="A47" s="23" t="s">
        <v>189</v>
      </c>
      <c r="B47" s="6" t="s">
        <v>209</v>
      </c>
      <c r="C47" s="6" t="s">
        <v>142</v>
      </c>
      <c r="D47" s="8" t="s">
        <v>61</v>
      </c>
      <c r="E47" s="8" t="s">
        <v>154</v>
      </c>
      <c r="F47" s="14">
        <v>3</v>
      </c>
      <c r="G47" s="7" t="s">
        <v>72</v>
      </c>
      <c r="H47" s="7" t="s">
        <v>77</v>
      </c>
      <c r="I47" s="5">
        <v>20</v>
      </c>
      <c r="J47" s="7" t="s">
        <v>74</v>
      </c>
      <c r="K47" s="5" t="s">
        <v>231</v>
      </c>
      <c r="L47" s="5" t="s">
        <v>230</v>
      </c>
      <c r="M47" s="5"/>
      <c r="N47" s="5">
        <v>-100</v>
      </c>
      <c r="O47" s="6" t="s">
        <v>237</v>
      </c>
    </row>
    <row r="48" spans="1:15" s="24" customFormat="1" ht="26.4" x14ac:dyDescent="0.3">
      <c r="A48" s="23" t="s">
        <v>189</v>
      </c>
      <c r="B48" s="6" t="s">
        <v>209</v>
      </c>
      <c r="C48" s="6" t="s">
        <v>142</v>
      </c>
      <c r="D48" s="13" t="s">
        <v>79</v>
      </c>
      <c r="E48" s="9" t="s">
        <v>232</v>
      </c>
      <c r="F48" s="14">
        <v>-1</v>
      </c>
      <c r="G48" s="5" t="s">
        <v>81</v>
      </c>
      <c r="H48" s="6"/>
      <c r="I48" s="6"/>
      <c r="J48" s="6" t="s">
        <v>233</v>
      </c>
      <c r="K48" s="6" t="s">
        <v>234</v>
      </c>
      <c r="L48" s="6" t="s">
        <v>235</v>
      </c>
      <c r="M48" s="6"/>
      <c r="N48" s="6">
        <v>5</v>
      </c>
      <c r="O48" s="6" t="s">
        <v>236</v>
      </c>
    </row>
    <row r="49" spans="1:15" x14ac:dyDescent="0.3">
      <c r="A49" s="23" t="s">
        <v>189</v>
      </c>
      <c r="B49" s="6" t="s">
        <v>238</v>
      </c>
      <c r="C49" s="6" t="s">
        <v>239</v>
      </c>
      <c r="D49" s="8" t="s">
        <v>61</v>
      </c>
      <c r="E49" s="8" t="s">
        <v>96</v>
      </c>
      <c r="F49" s="15">
        <v>-1</v>
      </c>
      <c r="G49" s="5" t="s">
        <v>63</v>
      </c>
      <c r="H49" s="6"/>
      <c r="I49" s="6">
        <v>30</v>
      </c>
      <c r="J49" s="6" t="s">
        <v>240</v>
      </c>
      <c r="K49" s="6" t="s">
        <v>242</v>
      </c>
      <c r="L49" s="6" t="s">
        <v>241</v>
      </c>
      <c r="M49" s="6"/>
      <c r="N49" s="6">
        <v>0</v>
      </c>
      <c r="O49" s="6" t="s">
        <v>249</v>
      </c>
    </row>
    <row r="50" spans="1:15" x14ac:dyDescent="0.3">
      <c r="A50" s="23" t="s">
        <v>189</v>
      </c>
      <c r="B50" s="6" t="s">
        <v>238</v>
      </c>
      <c r="C50" s="6" t="s">
        <v>239</v>
      </c>
      <c r="D50" s="8" t="s">
        <v>61</v>
      </c>
      <c r="E50" s="8" t="s">
        <v>96</v>
      </c>
      <c r="F50" s="15">
        <v>-1</v>
      </c>
      <c r="G50" s="5" t="s">
        <v>63</v>
      </c>
      <c r="H50" s="6"/>
      <c r="I50" s="6">
        <v>30</v>
      </c>
      <c r="J50" s="6" t="s">
        <v>244</v>
      </c>
      <c r="K50" s="6" t="s">
        <v>245</v>
      </c>
      <c r="L50" s="6" t="s">
        <v>243</v>
      </c>
      <c r="M50" s="6"/>
      <c r="N50" s="6">
        <v>0</v>
      </c>
      <c r="O50" s="6" t="s">
        <v>249</v>
      </c>
    </row>
    <row r="51" spans="1:15" x14ac:dyDescent="0.3">
      <c r="A51" s="23" t="s">
        <v>189</v>
      </c>
      <c r="B51" s="6" t="s">
        <v>238</v>
      </c>
      <c r="C51" s="6" t="s">
        <v>239</v>
      </c>
      <c r="D51" s="8" t="s">
        <v>61</v>
      </c>
      <c r="E51" s="8" t="s">
        <v>96</v>
      </c>
      <c r="F51" s="15">
        <v>-1</v>
      </c>
      <c r="G51" s="5" t="s">
        <v>63</v>
      </c>
      <c r="H51" s="6"/>
      <c r="I51" s="6">
        <v>40</v>
      </c>
      <c r="J51" s="6" t="s">
        <v>246</v>
      </c>
      <c r="K51" s="6" t="s">
        <v>247</v>
      </c>
      <c r="L51" s="6" t="s">
        <v>248</v>
      </c>
      <c r="M51" s="6"/>
      <c r="N51" s="6">
        <v>0</v>
      </c>
      <c r="O51" s="6" t="s">
        <v>249</v>
      </c>
    </row>
    <row r="52" spans="1:15" x14ac:dyDescent="0.3">
      <c r="A52" s="25" t="s">
        <v>250</v>
      </c>
      <c r="B52" s="11" t="s">
        <v>251</v>
      </c>
      <c r="C52" s="6" t="s">
        <v>252</v>
      </c>
      <c r="D52" s="6" t="s">
        <v>61</v>
      </c>
      <c r="E52" s="6" t="s">
        <v>154</v>
      </c>
      <c r="F52" s="15">
        <v>-1</v>
      </c>
      <c r="G52" s="6" t="s">
        <v>63</v>
      </c>
      <c r="H52" s="6"/>
      <c r="I52" s="6">
        <v>100</v>
      </c>
      <c r="J52" s="6" t="s">
        <v>253</v>
      </c>
      <c r="K52" s="6" t="s">
        <v>254</v>
      </c>
      <c r="L52" s="6" t="s">
        <v>255</v>
      </c>
      <c r="M52" s="6"/>
      <c r="N52" s="6"/>
      <c r="O52" s="6"/>
    </row>
    <row r="53" spans="1:15" x14ac:dyDescent="0.3">
      <c r="A53" s="25" t="s">
        <v>250</v>
      </c>
      <c r="B53" s="11" t="s">
        <v>251</v>
      </c>
      <c r="C53" s="6" t="s">
        <v>252</v>
      </c>
      <c r="D53" s="6" t="s">
        <v>79</v>
      </c>
      <c r="E53" s="6" t="s">
        <v>80</v>
      </c>
      <c r="F53" s="15">
        <v>-1</v>
      </c>
      <c r="G53" s="6" t="s">
        <v>63</v>
      </c>
      <c r="H53" s="6"/>
      <c r="I53" s="6"/>
      <c r="J53" s="6" t="s">
        <v>256</v>
      </c>
      <c r="K53" s="6" t="s">
        <v>257</v>
      </c>
      <c r="L53" s="6" t="s">
        <v>258</v>
      </c>
      <c r="M53" s="6"/>
      <c r="N53" s="6">
        <v>5</v>
      </c>
      <c r="O53" s="6"/>
    </row>
    <row r="54" spans="1:15" x14ac:dyDescent="0.3">
      <c r="A54" s="25" t="s">
        <v>250</v>
      </c>
      <c r="B54" s="11" t="s">
        <v>251</v>
      </c>
      <c r="C54" s="6" t="s">
        <v>252</v>
      </c>
      <c r="D54" s="6" t="s">
        <v>259</v>
      </c>
      <c r="E54" s="6" t="s">
        <v>154</v>
      </c>
      <c r="F54" s="15">
        <v>-1</v>
      </c>
      <c r="G54" s="6" t="s">
        <v>72</v>
      </c>
      <c r="H54" s="6" t="s">
        <v>73</v>
      </c>
      <c r="I54" s="6"/>
      <c r="J54" s="6" t="s">
        <v>251</v>
      </c>
      <c r="K54" s="6" t="s">
        <v>260</v>
      </c>
      <c r="L54" s="6" t="s">
        <v>261</v>
      </c>
      <c r="M54" s="6"/>
      <c r="N54" s="6">
        <v>20</v>
      </c>
      <c r="O54" s="6" t="s">
        <v>262</v>
      </c>
    </row>
    <row r="55" spans="1:15" x14ac:dyDescent="0.3">
      <c r="A55" s="25" t="s">
        <v>250</v>
      </c>
      <c r="B55" s="11" t="s">
        <v>251</v>
      </c>
      <c r="C55" s="6" t="s">
        <v>252</v>
      </c>
      <c r="D55" s="6" t="s">
        <v>259</v>
      </c>
      <c r="E55" s="6" t="s">
        <v>154</v>
      </c>
      <c r="F55" s="15">
        <v>-1</v>
      </c>
      <c r="G55" s="6" t="s">
        <v>72</v>
      </c>
      <c r="H55" s="6" t="s">
        <v>77</v>
      </c>
      <c r="I55" s="6"/>
      <c r="J55" s="6" t="s">
        <v>251</v>
      </c>
      <c r="K55" s="6" t="s">
        <v>260</v>
      </c>
      <c r="L55" s="6" t="s">
        <v>263</v>
      </c>
      <c r="M55" s="6"/>
      <c r="N55" s="6"/>
      <c r="O55" s="6"/>
    </row>
    <row r="56" spans="1:15" x14ac:dyDescent="0.3">
      <c r="A56" s="25" t="s">
        <v>250</v>
      </c>
      <c r="B56" s="11" t="s">
        <v>251</v>
      </c>
      <c r="C56" s="6" t="s">
        <v>252</v>
      </c>
      <c r="D56" s="6" t="s">
        <v>264</v>
      </c>
      <c r="E56" s="6" t="s">
        <v>154</v>
      </c>
      <c r="F56" s="15">
        <v>-1</v>
      </c>
      <c r="G56" s="6" t="s">
        <v>63</v>
      </c>
      <c r="H56" s="6"/>
      <c r="I56" s="6"/>
      <c r="J56" s="6" t="s">
        <v>265</v>
      </c>
      <c r="K56" s="6" t="s">
        <v>266</v>
      </c>
      <c r="L56" s="6" t="s">
        <v>267</v>
      </c>
      <c r="M56" s="6"/>
      <c r="N56" s="6"/>
      <c r="O56" s="6" t="s">
        <v>268</v>
      </c>
    </row>
    <row r="57" spans="1:15" x14ac:dyDescent="0.3">
      <c r="A57" s="25" t="s">
        <v>250</v>
      </c>
      <c r="B57" s="11" t="s">
        <v>251</v>
      </c>
      <c r="C57" s="6" t="s">
        <v>252</v>
      </c>
      <c r="D57" s="6" t="s">
        <v>269</v>
      </c>
      <c r="E57" s="6" t="s">
        <v>154</v>
      </c>
      <c r="F57" s="15">
        <v>-1</v>
      </c>
      <c r="G57" s="6" t="s">
        <v>63</v>
      </c>
      <c r="H57" s="6"/>
      <c r="I57" s="6"/>
      <c r="J57" s="6" t="s">
        <v>265</v>
      </c>
      <c r="K57" s="6" t="s">
        <v>266</v>
      </c>
      <c r="L57" s="6" t="s">
        <v>270</v>
      </c>
      <c r="M57" s="6"/>
      <c r="N57" s="6"/>
      <c r="O57" s="6"/>
    </row>
    <row r="58" spans="1:15" x14ac:dyDescent="0.3">
      <c r="A58" s="6"/>
      <c r="B58" s="6"/>
      <c r="C58" s="6"/>
      <c r="D58" s="6"/>
      <c r="E58" s="6"/>
      <c r="F58" s="15"/>
      <c r="G58" s="6"/>
      <c r="H58" s="6"/>
      <c r="I58" s="6"/>
      <c r="J58" s="6"/>
      <c r="K58" s="6"/>
      <c r="L58" s="6"/>
      <c r="M58" s="6"/>
      <c r="N58" s="6"/>
      <c r="O58" s="6"/>
    </row>
    <row r="59" spans="1:15" x14ac:dyDescent="0.3">
      <c r="A59" s="6"/>
      <c r="B59" s="6"/>
      <c r="C59" s="6"/>
      <c r="D59" s="6"/>
      <c r="E59" s="6"/>
      <c r="F59" s="15"/>
      <c r="G59" s="6"/>
      <c r="H59" s="6"/>
      <c r="I59" s="6"/>
      <c r="J59" s="6"/>
      <c r="K59" s="6"/>
      <c r="L59" s="6"/>
      <c r="M59" s="6"/>
      <c r="N59" s="6"/>
      <c r="O59" s="6"/>
    </row>
    <row r="60" spans="1:15" x14ac:dyDescent="0.3">
      <c r="A60" s="6"/>
      <c r="B60" s="6"/>
      <c r="C60" s="6"/>
      <c r="D60" s="6"/>
      <c r="E60" s="6"/>
      <c r="F60" s="15"/>
      <c r="G60" s="6"/>
      <c r="H60" s="6"/>
      <c r="I60" s="6"/>
      <c r="J60" s="6"/>
      <c r="K60" s="6"/>
      <c r="L60" s="6"/>
      <c r="M60" s="6"/>
      <c r="N60" s="6"/>
      <c r="O60" s="6"/>
    </row>
    <row r="61" spans="1:15" x14ac:dyDescent="0.3">
      <c r="A61" s="6"/>
      <c r="B61" s="6"/>
      <c r="C61" s="6"/>
      <c r="D61" s="6"/>
      <c r="E61" s="6"/>
      <c r="F61" s="15"/>
      <c r="G61" s="6"/>
      <c r="H61" s="6"/>
      <c r="I61" s="6"/>
      <c r="J61" s="6"/>
      <c r="K61" s="6"/>
      <c r="L61" s="6"/>
      <c r="M61" s="6"/>
      <c r="N61" s="6"/>
      <c r="O61" s="6"/>
    </row>
    <row r="62" spans="1:15" x14ac:dyDescent="0.3">
      <c r="A62" s="6"/>
      <c r="B62" s="6"/>
      <c r="C62" s="6"/>
      <c r="D62" s="6"/>
      <c r="E62" s="6"/>
      <c r="F62" s="15"/>
      <c r="G62" s="6"/>
      <c r="H62" s="6"/>
      <c r="I62" s="6"/>
      <c r="J62" s="6"/>
      <c r="K62" s="6"/>
      <c r="L62" s="6"/>
      <c r="M62" s="6"/>
      <c r="N62" s="6"/>
      <c r="O62" s="6"/>
    </row>
    <row r="63" spans="1:15" x14ac:dyDescent="0.3">
      <c r="A63" s="6"/>
      <c r="B63" s="6"/>
      <c r="C63" s="6"/>
      <c r="D63" s="6"/>
      <c r="E63" s="6"/>
      <c r="F63" s="15"/>
      <c r="G63" s="6"/>
      <c r="H63" s="6"/>
      <c r="I63" s="6"/>
      <c r="J63" s="6"/>
      <c r="K63" s="6"/>
      <c r="L63" s="6"/>
      <c r="M63" s="6"/>
      <c r="N63" s="6"/>
      <c r="O63" s="6"/>
    </row>
    <row r="64" spans="1:15" x14ac:dyDescent="0.3">
      <c r="A64" s="6"/>
      <c r="B64" s="6"/>
      <c r="C64" s="6"/>
      <c r="D64" s="6"/>
      <c r="E64" s="6"/>
      <c r="F64" s="15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3">
      <c r="A65" s="6"/>
      <c r="B65" s="6"/>
      <c r="C65" s="6"/>
      <c r="D65" s="6"/>
      <c r="E65" s="6"/>
      <c r="F65" s="15"/>
      <c r="G65" s="6"/>
      <c r="H65" s="6"/>
      <c r="I65" s="6"/>
      <c r="J65" s="6"/>
      <c r="K65" s="6"/>
      <c r="L65" s="6"/>
      <c r="M65" s="6"/>
      <c r="N65" s="6"/>
      <c r="O65" s="6"/>
    </row>
    <row r="66" spans="1:15" x14ac:dyDescent="0.3">
      <c r="A66" s="6"/>
      <c r="B66" s="6"/>
      <c r="C66" s="6"/>
      <c r="D66" s="6"/>
      <c r="E66" s="6"/>
      <c r="F66" s="15"/>
      <c r="G66" s="6"/>
      <c r="H66" s="6"/>
      <c r="I66" s="6"/>
      <c r="J66" s="6"/>
      <c r="K66" s="6"/>
      <c r="L66" s="6"/>
      <c r="M66" s="6"/>
      <c r="N66" s="6"/>
      <c r="O66" s="6"/>
    </row>
    <row r="67" spans="1:15" x14ac:dyDescent="0.3">
      <c r="A67" s="6"/>
      <c r="B67" s="6"/>
      <c r="C67" s="6"/>
      <c r="D67" s="6"/>
      <c r="E67" s="6"/>
      <c r="F67" s="15"/>
      <c r="G67" s="6"/>
      <c r="H67" s="6"/>
      <c r="I67" s="6"/>
      <c r="J67" s="6"/>
      <c r="K67" s="6"/>
      <c r="L67" s="6"/>
      <c r="M67" s="6"/>
      <c r="N67" s="6"/>
      <c r="O67" s="6"/>
    </row>
    <row r="68" spans="1:15" x14ac:dyDescent="0.3">
      <c r="A68" s="6"/>
      <c r="B68" s="6"/>
      <c r="C68" s="6"/>
      <c r="D68" s="6"/>
      <c r="E68" s="6"/>
      <c r="F68" s="15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3">
      <c r="A69" s="6"/>
      <c r="B69" s="6"/>
      <c r="C69" s="6"/>
      <c r="D69" s="6"/>
      <c r="E69" s="6"/>
      <c r="F69" s="15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3">
      <c r="A70" s="6"/>
      <c r="B70" s="6"/>
      <c r="C70" s="6"/>
      <c r="D70" s="6"/>
      <c r="E70" s="6"/>
      <c r="F70" s="15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3">
      <c r="A71" s="6"/>
      <c r="B71" s="6"/>
      <c r="C71" s="6"/>
      <c r="D71" s="6"/>
      <c r="E71" s="6"/>
      <c r="F71" s="15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3">
      <c r="A72" s="6"/>
      <c r="B72" s="6"/>
      <c r="C72" s="6"/>
      <c r="D72" s="6"/>
      <c r="E72" s="6"/>
      <c r="F72" s="15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3">
      <c r="A73" s="6"/>
      <c r="B73" s="6"/>
      <c r="C73" s="6"/>
      <c r="D73" s="6"/>
      <c r="E73" s="6"/>
      <c r="F73" s="15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3">
      <c r="A74" s="6"/>
      <c r="B74" s="6"/>
      <c r="C74" s="6"/>
      <c r="D74" s="6"/>
      <c r="E74" s="6"/>
      <c r="F74" s="15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3">
      <c r="A75" s="6"/>
      <c r="B75" s="6"/>
      <c r="C75" s="6"/>
      <c r="D75" s="6"/>
      <c r="E75" s="6"/>
      <c r="F75" s="15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3">
      <c r="A76" s="6"/>
      <c r="B76" s="6"/>
      <c r="C76" s="6"/>
      <c r="D76" s="6"/>
      <c r="E76" s="6"/>
      <c r="F76" s="15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3">
      <c r="A77" s="6"/>
      <c r="B77" s="6"/>
      <c r="C77" s="6"/>
      <c r="D77" s="6"/>
      <c r="E77" s="6"/>
      <c r="F77" s="15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3">
      <c r="A78" s="6"/>
      <c r="B78" s="6"/>
      <c r="C78" s="6"/>
      <c r="D78" s="6"/>
      <c r="E78" s="6"/>
      <c r="F78" s="15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3">
      <c r="A79" s="6"/>
      <c r="B79" s="6"/>
      <c r="C79" s="6"/>
      <c r="D79" s="6"/>
      <c r="E79" s="6"/>
      <c r="F79" s="15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3">
      <c r="A80" s="6"/>
      <c r="B80" s="6"/>
      <c r="C80" s="6"/>
      <c r="D80" s="6"/>
      <c r="E80" s="6"/>
      <c r="F80" s="15"/>
      <c r="G80" s="6"/>
      <c r="H80" s="6"/>
      <c r="I80" s="6"/>
      <c r="J80" s="6"/>
      <c r="K80" s="6"/>
      <c r="L80" s="6"/>
      <c r="M80" s="6"/>
      <c r="N80" s="6"/>
      <c r="O80" s="6"/>
    </row>
    <row r="81" spans="1:15" x14ac:dyDescent="0.3">
      <c r="A81" s="6"/>
      <c r="B81" s="6"/>
      <c r="C81" s="6"/>
      <c r="D81" s="6"/>
      <c r="E81" s="6"/>
      <c r="F81" s="15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3">
      <c r="A82" s="6"/>
      <c r="B82" s="6"/>
      <c r="C82" s="6"/>
      <c r="D82" s="6"/>
      <c r="E82" s="6"/>
      <c r="F82" s="15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3">
      <c r="A83" s="6"/>
      <c r="B83" s="6"/>
      <c r="C83" s="6"/>
      <c r="D83" s="6"/>
      <c r="E83" s="6"/>
      <c r="F83" s="15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3">
      <c r="A84" s="6"/>
      <c r="B84" s="6"/>
      <c r="C84" s="6"/>
      <c r="D84" s="6"/>
      <c r="E84" s="6"/>
      <c r="F84" s="15"/>
      <c r="G84" s="6"/>
      <c r="H84" s="6"/>
      <c r="I84" s="6"/>
      <c r="J84" s="6"/>
      <c r="K84" s="6"/>
      <c r="L84" s="6"/>
      <c r="M84" s="6"/>
      <c r="N84" s="6"/>
      <c r="O84" s="6"/>
    </row>
    <row r="85" spans="1:15" x14ac:dyDescent="0.3">
      <c r="A85" s="6"/>
      <c r="B85" s="6"/>
      <c r="C85" s="6"/>
      <c r="D85" s="6"/>
      <c r="E85" s="6"/>
      <c r="F85" s="15"/>
      <c r="G85" s="6"/>
      <c r="H85" s="6"/>
      <c r="I85" s="6"/>
      <c r="J85" s="6"/>
      <c r="K85" s="6"/>
      <c r="L85" s="6"/>
      <c r="M85" s="6"/>
      <c r="N85" s="6"/>
      <c r="O85" s="6"/>
    </row>
    <row r="86" spans="1:15" x14ac:dyDescent="0.3">
      <c r="A86" s="6"/>
      <c r="B86" s="6"/>
      <c r="C86" s="6"/>
      <c r="D86" s="6"/>
      <c r="E86" s="6"/>
      <c r="F86" s="15"/>
      <c r="G86" s="6"/>
      <c r="H86" s="6"/>
      <c r="I86" s="6"/>
      <c r="J86" s="6"/>
      <c r="K86" s="6"/>
      <c r="L86" s="6"/>
      <c r="M86" s="6"/>
      <c r="N86" s="6"/>
      <c r="O86" s="6"/>
    </row>
    <row r="87" spans="1:15" x14ac:dyDescent="0.3">
      <c r="A87" s="6"/>
      <c r="B87" s="6"/>
      <c r="C87" s="6"/>
      <c r="D87" s="6"/>
      <c r="E87" s="6"/>
      <c r="F87" s="15"/>
      <c r="G87" s="6"/>
      <c r="H87" s="6"/>
      <c r="I87" s="6"/>
      <c r="J87" s="6"/>
      <c r="K87" s="6"/>
      <c r="L87" s="6"/>
      <c r="M87" s="6"/>
      <c r="N87" s="6"/>
      <c r="O87" s="6"/>
    </row>
    <row r="88" spans="1:15" x14ac:dyDescent="0.3">
      <c r="A88" s="6"/>
      <c r="B88" s="6"/>
      <c r="C88" s="6"/>
      <c r="D88" s="6"/>
      <c r="E88" s="6"/>
      <c r="F88" s="15"/>
      <c r="G88" s="6"/>
      <c r="H88" s="6"/>
      <c r="I88" s="6"/>
      <c r="J88" s="6"/>
      <c r="K88" s="6"/>
      <c r="L88" s="6"/>
      <c r="M88" s="6"/>
      <c r="N88" s="6"/>
      <c r="O88" s="6"/>
    </row>
    <row r="89" spans="1:15" x14ac:dyDescent="0.3">
      <c r="A89" s="6"/>
      <c r="B89" s="6"/>
      <c r="C89" s="6"/>
      <c r="D89" s="6"/>
      <c r="E89" s="6"/>
      <c r="F89" s="15"/>
      <c r="G89" s="6"/>
      <c r="H89" s="6"/>
      <c r="I89" s="6"/>
      <c r="J89" s="6"/>
      <c r="K89" s="6"/>
      <c r="L89" s="6"/>
      <c r="M89" s="6"/>
      <c r="N89" s="6"/>
      <c r="O89" s="6"/>
    </row>
    <row r="90" spans="1:15" x14ac:dyDescent="0.3">
      <c r="A90" s="6"/>
      <c r="B90" s="6"/>
      <c r="C90" s="6"/>
      <c r="D90" s="6"/>
      <c r="E90" s="6"/>
      <c r="F90" s="15"/>
      <c r="G90" s="6"/>
      <c r="H90" s="6"/>
      <c r="I90" s="6"/>
      <c r="J90" s="6"/>
      <c r="K90" s="6"/>
      <c r="L90" s="6"/>
      <c r="M90" s="6"/>
      <c r="N90" s="6"/>
      <c r="O90" s="6"/>
    </row>
    <row r="91" spans="1:15" x14ac:dyDescent="0.3">
      <c r="A91" s="6"/>
      <c r="B91" s="6"/>
      <c r="C91" s="6"/>
      <c r="D91" s="6"/>
      <c r="E91" s="6"/>
      <c r="F91" s="15"/>
      <c r="G91" s="6"/>
      <c r="H91" s="6"/>
      <c r="I91" s="6"/>
      <c r="J91" s="6"/>
      <c r="K91" s="6"/>
      <c r="L91" s="6"/>
      <c r="M91" s="6"/>
      <c r="N91" s="6"/>
      <c r="O91" s="6"/>
    </row>
    <row r="92" spans="1:15" x14ac:dyDescent="0.3">
      <c r="A92" s="6"/>
      <c r="B92" s="6"/>
      <c r="C92" s="6"/>
      <c r="D92" s="6"/>
      <c r="E92" s="6"/>
      <c r="F92" s="15"/>
      <c r="G92" s="6"/>
      <c r="H92" s="6"/>
      <c r="I92" s="6"/>
      <c r="J92" s="6"/>
      <c r="K92" s="6"/>
      <c r="L92" s="6"/>
      <c r="M92" s="6"/>
      <c r="N92" s="6"/>
      <c r="O92" s="6"/>
    </row>
    <row r="93" spans="1:15" x14ac:dyDescent="0.3">
      <c r="A93" s="6"/>
      <c r="B93" s="6"/>
      <c r="C93" s="6"/>
      <c r="D93" s="6"/>
      <c r="E93" s="6"/>
      <c r="F93" s="15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3">
      <c r="A94" s="6"/>
      <c r="B94" s="6"/>
      <c r="C94" s="6"/>
      <c r="D94" s="6"/>
      <c r="E94" s="6"/>
      <c r="F94" s="15"/>
      <c r="G94" s="6"/>
      <c r="H94" s="6"/>
      <c r="I94" s="6"/>
      <c r="J94" s="6"/>
      <c r="K94" s="6"/>
      <c r="L94" s="6"/>
      <c r="M94" s="6"/>
      <c r="N94" s="6"/>
      <c r="O94" s="6"/>
    </row>
    <row r="95" spans="1:15" x14ac:dyDescent="0.3">
      <c r="A95" s="6"/>
      <c r="B95" s="6"/>
      <c r="C95" s="6"/>
      <c r="D95" s="6"/>
      <c r="E95" s="6"/>
      <c r="F95" s="15"/>
      <c r="G95" s="6"/>
      <c r="H95" s="6"/>
      <c r="I95" s="6"/>
      <c r="J95" s="6"/>
      <c r="K95" s="6"/>
      <c r="L95" s="6"/>
      <c r="M95" s="6"/>
      <c r="N95" s="6"/>
      <c r="O95" s="6"/>
    </row>
    <row r="96" spans="1:15" x14ac:dyDescent="0.3">
      <c r="A96" s="6"/>
      <c r="B96" s="6"/>
      <c r="C96" s="6"/>
      <c r="D96" s="6"/>
      <c r="E96" s="6"/>
      <c r="F96" s="15"/>
      <c r="G96" s="6"/>
      <c r="H96" s="6"/>
      <c r="I96" s="6"/>
      <c r="J96" s="6"/>
      <c r="K96" s="6"/>
      <c r="L96" s="6"/>
      <c r="M96" s="6"/>
      <c r="N96" s="6"/>
      <c r="O96" s="6"/>
    </row>
    <row r="97" spans="1:15" x14ac:dyDescent="0.3">
      <c r="A97" s="6"/>
      <c r="B97" s="6"/>
      <c r="C97" s="6"/>
      <c r="D97" s="6"/>
      <c r="E97" s="6"/>
      <c r="F97" s="15"/>
      <c r="G97" s="6"/>
      <c r="H97" s="6"/>
      <c r="I97" s="6"/>
      <c r="J97" s="6"/>
      <c r="K97" s="6"/>
      <c r="L97" s="6"/>
      <c r="M97" s="6"/>
      <c r="N97" s="6"/>
      <c r="O97" s="6"/>
    </row>
    <row r="98" spans="1:15" x14ac:dyDescent="0.3">
      <c r="A98" s="6"/>
      <c r="B98" s="6"/>
      <c r="C98" s="6"/>
      <c r="D98" s="6"/>
      <c r="E98" s="6"/>
      <c r="F98" s="15"/>
      <c r="G98" s="6"/>
      <c r="H98" s="6"/>
      <c r="I98" s="6"/>
      <c r="J98" s="6"/>
      <c r="K98" s="6"/>
      <c r="L98" s="6"/>
      <c r="M98" s="6"/>
      <c r="N98" s="6"/>
      <c r="O98" s="6"/>
    </row>
    <row r="99" spans="1:15" x14ac:dyDescent="0.3">
      <c r="A99" s="6"/>
      <c r="B99" s="6"/>
      <c r="C99" s="6"/>
      <c r="D99" s="6"/>
      <c r="E99" s="6"/>
      <c r="F99" s="15"/>
      <c r="G99" s="6"/>
      <c r="H99" s="6"/>
      <c r="I99" s="6"/>
      <c r="J99" s="6"/>
      <c r="K99" s="6"/>
      <c r="L99" s="6"/>
      <c r="M99" s="6"/>
      <c r="N99" s="6"/>
      <c r="O99" s="6"/>
    </row>
    <row r="100" spans="1:15" x14ac:dyDescent="0.3">
      <c r="A100" s="6"/>
      <c r="B100" s="6"/>
      <c r="C100" s="6"/>
      <c r="D100" s="6"/>
      <c r="E100" s="6"/>
      <c r="F100" s="15"/>
      <c r="G100" s="6"/>
      <c r="H100" s="6"/>
      <c r="I100" s="6"/>
      <c r="J100" s="6"/>
      <c r="K100" s="6"/>
      <c r="L100" s="6"/>
      <c r="M100" s="6"/>
      <c r="N100" s="6"/>
      <c r="O100" s="6"/>
    </row>
    <row r="101" spans="1:15" x14ac:dyDescent="0.3">
      <c r="A101" s="6"/>
      <c r="B101" s="6"/>
      <c r="C101" s="6"/>
      <c r="D101" s="6"/>
      <c r="E101" s="6"/>
      <c r="F101" s="15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3">
      <c r="A102" s="6"/>
      <c r="B102" s="6"/>
      <c r="C102" s="6"/>
      <c r="D102" s="6"/>
      <c r="E102" s="6"/>
      <c r="F102" s="15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3">
      <c r="A103" s="6"/>
      <c r="B103" s="6"/>
      <c r="C103" s="6"/>
      <c r="D103" s="6"/>
      <c r="E103" s="6"/>
      <c r="F103" s="15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3">
      <c r="A104" s="6"/>
      <c r="B104" s="6"/>
      <c r="C104" s="6"/>
      <c r="D104" s="6"/>
      <c r="E104" s="6"/>
      <c r="F104" s="15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3">
      <c r="A105" s="6"/>
      <c r="B105" s="6"/>
      <c r="C105" s="6"/>
      <c r="D105" s="6"/>
      <c r="E105" s="6"/>
      <c r="F105" s="15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3">
      <c r="A106" s="6"/>
      <c r="B106" s="6"/>
      <c r="C106" s="6"/>
      <c r="D106" s="6"/>
      <c r="E106" s="6"/>
      <c r="F106" s="15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3">
      <c r="A107" s="6"/>
      <c r="B107" s="6"/>
      <c r="C107" s="6"/>
      <c r="D107" s="6"/>
      <c r="E107" s="6"/>
      <c r="F107" s="15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3">
      <c r="A108" s="6"/>
      <c r="B108" s="6"/>
      <c r="C108" s="6"/>
      <c r="D108" s="6"/>
      <c r="E108" s="6"/>
      <c r="F108" s="15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3">
      <c r="A109" s="6"/>
      <c r="B109" s="6"/>
      <c r="C109" s="6"/>
      <c r="D109" s="6"/>
      <c r="E109" s="6"/>
      <c r="F109" s="15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3">
      <c r="A110" s="6"/>
      <c r="B110" s="6"/>
      <c r="C110" s="6"/>
      <c r="D110" s="6"/>
      <c r="E110" s="6"/>
      <c r="F110" s="15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3">
      <c r="A111" s="6"/>
      <c r="B111" s="6"/>
      <c r="C111" s="6"/>
      <c r="D111" s="6"/>
      <c r="E111" s="6"/>
      <c r="F111" s="15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3">
      <c r="A112" s="6"/>
      <c r="B112" s="6"/>
      <c r="C112" s="6"/>
      <c r="D112" s="6"/>
      <c r="E112" s="6"/>
      <c r="F112" s="15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3">
      <c r="A113" s="6"/>
      <c r="B113" s="6"/>
      <c r="C113" s="6"/>
      <c r="D113" s="6"/>
      <c r="E113" s="6"/>
      <c r="F113" s="15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3">
      <c r="A114" s="6"/>
      <c r="B114" s="6"/>
      <c r="C114" s="6"/>
      <c r="D114" s="6"/>
      <c r="E114" s="6"/>
      <c r="F114" s="15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3">
      <c r="A115" s="6"/>
      <c r="B115" s="6"/>
      <c r="C115" s="6"/>
      <c r="D115" s="6"/>
      <c r="E115" s="6"/>
      <c r="F115" s="15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3">
      <c r="A116" s="6"/>
      <c r="B116" s="6"/>
      <c r="C116" s="6"/>
      <c r="D116" s="6"/>
      <c r="E116" s="6"/>
      <c r="F116" s="15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3">
      <c r="A117" s="6"/>
      <c r="B117" s="6"/>
      <c r="C117" s="6"/>
      <c r="D117" s="6"/>
      <c r="E117" s="6"/>
      <c r="F117" s="15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3">
      <c r="A118" s="6"/>
      <c r="B118" s="6"/>
      <c r="C118" s="6"/>
      <c r="D118" s="6"/>
      <c r="E118" s="6"/>
      <c r="F118" s="15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3">
      <c r="A119" s="6"/>
      <c r="B119" s="6"/>
      <c r="C119" s="6"/>
      <c r="D119" s="6"/>
      <c r="E119" s="6"/>
      <c r="F119" s="15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3">
      <c r="A120" s="6"/>
      <c r="B120" s="6"/>
      <c r="C120" s="6"/>
      <c r="D120" s="6"/>
      <c r="E120" s="6"/>
      <c r="F120" s="15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3">
      <c r="A121" s="6"/>
      <c r="B121" s="6"/>
      <c r="C121" s="6"/>
      <c r="D121" s="6"/>
      <c r="E121" s="6"/>
      <c r="F121" s="15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3">
      <c r="A122" s="6"/>
      <c r="B122" s="6"/>
      <c r="C122" s="6"/>
      <c r="D122" s="6"/>
      <c r="E122" s="6"/>
      <c r="F122" s="15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3">
      <c r="A123" s="6"/>
      <c r="B123" s="6"/>
      <c r="C123" s="6"/>
      <c r="D123" s="6"/>
      <c r="E123" s="6"/>
      <c r="F123" s="15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3">
      <c r="A124" s="6"/>
      <c r="B124" s="6"/>
      <c r="C124" s="6"/>
      <c r="D124" s="6"/>
      <c r="E124" s="6"/>
      <c r="F124" s="15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3">
      <c r="A125" s="6"/>
      <c r="B125" s="6"/>
      <c r="C125" s="6"/>
      <c r="D125" s="6"/>
      <c r="E125" s="6"/>
      <c r="F125" s="15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3">
      <c r="A126" s="6"/>
      <c r="B126" s="6"/>
      <c r="C126" s="6"/>
      <c r="D126" s="6"/>
      <c r="E126" s="6"/>
      <c r="F126" s="15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3">
      <c r="A127" s="6"/>
      <c r="B127" s="6"/>
      <c r="C127" s="6"/>
      <c r="D127" s="6"/>
      <c r="E127" s="6"/>
      <c r="F127" s="15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3">
      <c r="A128" s="6"/>
      <c r="B128" s="6"/>
      <c r="C128" s="6"/>
      <c r="D128" s="6"/>
      <c r="E128" s="6"/>
      <c r="F128" s="15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3">
      <c r="A129" s="6"/>
      <c r="B129" s="6"/>
      <c r="C129" s="6"/>
      <c r="D129" s="6"/>
      <c r="E129" s="6"/>
      <c r="F129" s="15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3">
      <c r="A130" s="6"/>
      <c r="B130" s="6"/>
      <c r="C130" s="6"/>
      <c r="D130" s="6"/>
      <c r="E130" s="6"/>
      <c r="F130" s="15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3">
      <c r="A131" s="6"/>
      <c r="B131" s="6"/>
      <c r="C131" s="6"/>
      <c r="D131" s="6"/>
      <c r="E131" s="6"/>
      <c r="F131" s="15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3">
      <c r="A132" s="6"/>
      <c r="B132" s="6"/>
      <c r="C132" s="6"/>
      <c r="D132" s="6"/>
      <c r="E132" s="6"/>
      <c r="F132" s="15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3">
      <c r="A133" s="6"/>
      <c r="B133" s="6"/>
      <c r="C133" s="6"/>
      <c r="D133" s="6"/>
      <c r="E133" s="6"/>
      <c r="F133" s="15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3">
      <c r="A134" s="6"/>
      <c r="B134" s="6"/>
      <c r="C134" s="6"/>
      <c r="D134" s="6"/>
      <c r="E134" s="6"/>
      <c r="F134" s="15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3">
      <c r="A135" s="6"/>
      <c r="B135" s="6"/>
      <c r="C135" s="6"/>
      <c r="D135" s="6"/>
      <c r="E135" s="6"/>
      <c r="F135" s="15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3">
      <c r="A136" s="6"/>
      <c r="B136" s="6"/>
      <c r="C136" s="6"/>
      <c r="D136" s="6"/>
      <c r="E136" s="6"/>
      <c r="F136" s="15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3">
      <c r="A137" s="6"/>
      <c r="B137" s="6"/>
      <c r="C137" s="6"/>
      <c r="D137" s="6"/>
      <c r="E137" s="6"/>
      <c r="F137" s="15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3">
      <c r="A138" s="6"/>
      <c r="B138" s="6"/>
      <c r="C138" s="6"/>
      <c r="D138" s="6"/>
      <c r="E138" s="6"/>
      <c r="F138" s="15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3">
      <c r="A139" s="6"/>
      <c r="B139" s="6"/>
      <c r="C139" s="6"/>
      <c r="D139" s="6"/>
      <c r="E139" s="6"/>
      <c r="F139" s="15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3">
      <c r="A140" s="6"/>
      <c r="B140" s="6"/>
      <c r="C140" s="6"/>
      <c r="D140" s="6"/>
      <c r="E140" s="6"/>
      <c r="F140" s="15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3">
      <c r="A141" s="6"/>
      <c r="B141" s="6"/>
      <c r="C141" s="6"/>
      <c r="D141" s="6"/>
      <c r="E141" s="6"/>
      <c r="F141" s="15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3">
      <c r="A142" s="6"/>
      <c r="B142" s="6"/>
      <c r="C142" s="6"/>
      <c r="D142" s="6"/>
      <c r="E142" s="6"/>
      <c r="F142" s="15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3">
      <c r="A143" s="6"/>
      <c r="B143" s="6"/>
      <c r="C143" s="6"/>
      <c r="D143" s="6"/>
      <c r="E143" s="6"/>
      <c r="F143" s="15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3">
      <c r="A144" s="6"/>
      <c r="B144" s="6"/>
      <c r="C144" s="6"/>
      <c r="D144" s="6"/>
      <c r="E144" s="6"/>
      <c r="F144" s="15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3">
      <c r="A145" s="6"/>
      <c r="B145" s="6"/>
      <c r="C145" s="6"/>
      <c r="D145" s="6"/>
      <c r="E145" s="6"/>
      <c r="F145" s="15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3">
      <c r="A146" s="6"/>
      <c r="B146" s="6"/>
      <c r="C146" s="6"/>
      <c r="D146" s="6"/>
      <c r="E146" s="6"/>
      <c r="F146" s="15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3">
      <c r="A147" s="6"/>
      <c r="B147" s="6"/>
      <c r="C147" s="6"/>
      <c r="D147" s="6"/>
      <c r="E147" s="6"/>
      <c r="F147" s="15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3">
      <c r="A148" s="6"/>
      <c r="B148" s="6"/>
      <c r="C148" s="6"/>
      <c r="D148" s="6"/>
      <c r="E148" s="6"/>
      <c r="F148" s="15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3">
      <c r="A149" s="6"/>
      <c r="B149" s="6"/>
      <c r="C149" s="6"/>
      <c r="D149" s="6"/>
      <c r="E149" s="6"/>
      <c r="F149" s="15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3">
      <c r="A150" s="6"/>
      <c r="B150" s="6"/>
      <c r="C150" s="6"/>
      <c r="D150" s="6"/>
      <c r="E150" s="6"/>
      <c r="F150" s="15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3">
      <c r="A151" s="6"/>
      <c r="B151" s="6"/>
      <c r="C151" s="6"/>
      <c r="D151" s="6"/>
      <c r="E151" s="6"/>
      <c r="F151" s="15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3">
      <c r="A152" s="6"/>
      <c r="B152" s="6"/>
      <c r="C152" s="6"/>
      <c r="D152" s="6"/>
      <c r="E152" s="6"/>
      <c r="F152" s="15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3">
      <c r="A153" s="6"/>
      <c r="B153" s="6"/>
      <c r="C153" s="6"/>
      <c r="D153" s="6"/>
      <c r="E153" s="6"/>
      <c r="F153" s="15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3">
      <c r="A154" s="6"/>
      <c r="B154" s="6"/>
      <c r="C154" s="6"/>
      <c r="D154" s="6"/>
      <c r="E154" s="6"/>
      <c r="F154" s="15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3">
      <c r="A155" s="6"/>
      <c r="B155" s="6"/>
      <c r="C155" s="6"/>
      <c r="D155" s="6"/>
      <c r="E155" s="6"/>
      <c r="F155" s="15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3">
      <c r="A156" s="6"/>
      <c r="B156" s="6"/>
      <c r="C156" s="6"/>
      <c r="D156" s="6"/>
      <c r="E156" s="6"/>
      <c r="F156" s="15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3">
      <c r="A157" s="6"/>
      <c r="B157" s="6"/>
      <c r="C157" s="6"/>
      <c r="D157" s="6"/>
      <c r="E157" s="6"/>
      <c r="F157" s="15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3">
      <c r="A158" s="6"/>
      <c r="B158" s="6"/>
      <c r="C158" s="6"/>
      <c r="D158" s="6"/>
      <c r="E158" s="6"/>
      <c r="F158" s="15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3">
      <c r="A159" s="6"/>
      <c r="B159" s="6"/>
      <c r="C159" s="6"/>
      <c r="D159" s="6"/>
      <c r="E159" s="6"/>
      <c r="F159" s="15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3">
      <c r="A160" s="6"/>
      <c r="B160" s="6"/>
      <c r="C160" s="6"/>
      <c r="D160" s="6"/>
      <c r="E160" s="6"/>
      <c r="F160" s="15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3">
      <c r="A161" s="6"/>
      <c r="B161" s="6"/>
      <c r="C161" s="6"/>
      <c r="D161" s="6"/>
      <c r="E161" s="6"/>
      <c r="F161" s="15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3">
      <c r="A162" s="6"/>
      <c r="B162" s="6"/>
      <c r="C162" s="6"/>
      <c r="D162" s="6"/>
      <c r="E162" s="6"/>
      <c r="F162" s="15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3">
      <c r="A163" s="6"/>
      <c r="B163" s="6"/>
      <c r="C163" s="6"/>
      <c r="D163" s="6"/>
      <c r="E163" s="6"/>
      <c r="F163" s="15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3">
      <c r="A164" s="6"/>
      <c r="B164" s="6"/>
      <c r="C164" s="6"/>
      <c r="D164" s="6"/>
      <c r="E164" s="6"/>
      <c r="F164" s="15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3">
      <c r="A165" s="6"/>
      <c r="B165" s="6"/>
      <c r="C165" s="6"/>
      <c r="D165" s="6"/>
      <c r="E165" s="6"/>
      <c r="F165" s="15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3">
      <c r="A166" s="6"/>
      <c r="B166" s="6"/>
      <c r="C166" s="6"/>
      <c r="D166" s="6"/>
      <c r="E166" s="6"/>
      <c r="F166" s="15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3">
      <c r="A167" s="6"/>
      <c r="B167" s="6"/>
      <c r="C167" s="6"/>
      <c r="D167" s="6"/>
      <c r="E167" s="6"/>
      <c r="F167" s="15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3">
      <c r="A168" s="6"/>
      <c r="B168" s="6"/>
      <c r="C168" s="6"/>
      <c r="D168" s="6"/>
      <c r="E168" s="6"/>
      <c r="F168" s="15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3">
      <c r="A169" s="6"/>
      <c r="B169" s="6"/>
      <c r="C169" s="6"/>
      <c r="D169" s="6"/>
      <c r="E169" s="6"/>
      <c r="F169" s="15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3">
      <c r="A170" s="6"/>
      <c r="B170" s="6"/>
      <c r="C170" s="6"/>
      <c r="D170" s="6"/>
      <c r="E170" s="6"/>
      <c r="F170" s="15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3">
      <c r="A171" s="6"/>
      <c r="B171" s="6"/>
      <c r="C171" s="6"/>
      <c r="D171" s="6"/>
      <c r="E171" s="6"/>
      <c r="F171" s="15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3">
      <c r="A172" s="6"/>
      <c r="B172" s="6"/>
      <c r="C172" s="6"/>
      <c r="D172" s="6"/>
      <c r="E172" s="6"/>
      <c r="F172" s="15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3">
      <c r="A173" s="6"/>
      <c r="B173" s="6"/>
      <c r="C173" s="6"/>
      <c r="D173" s="6"/>
      <c r="E173" s="6"/>
      <c r="F173" s="15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3">
      <c r="A174" s="6"/>
      <c r="B174" s="6"/>
      <c r="C174" s="6"/>
      <c r="D174" s="6"/>
      <c r="E174" s="6"/>
      <c r="F174" s="15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3">
      <c r="A175" s="6"/>
      <c r="B175" s="6"/>
      <c r="C175" s="6"/>
      <c r="D175" s="6"/>
      <c r="E175" s="6"/>
      <c r="F175" s="15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3">
      <c r="A176" s="6"/>
      <c r="B176" s="6"/>
      <c r="C176" s="6"/>
      <c r="D176" s="6"/>
      <c r="E176" s="6"/>
      <c r="F176" s="15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3">
      <c r="A177" s="6"/>
      <c r="B177" s="6"/>
      <c r="C177" s="6"/>
      <c r="D177" s="6"/>
      <c r="E177" s="6"/>
      <c r="F177" s="15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3">
      <c r="A178" s="6"/>
      <c r="B178" s="6"/>
      <c r="C178" s="6"/>
      <c r="D178" s="6"/>
      <c r="E178" s="6"/>
      <c r="F178" s="15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3">
      <c r="A179" s="6"/>
      <c r="B179" s="6"/>
      <c r="C179" s="6"/>
      <c r="D179" s="6"/>
      <c r="E179" s="6"/>
      <c r="F179" s="15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3">
      <c r="A180" s="6"/>
      <c r="B180" s="6"/>
      <c r="C180" s="6"/>
      <c r="D180" s="6"/>
      <c r="E180" s="6"/>
      <c r="F180" s="15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3">
      <c r="A181" s="6"/>
      <c r="B181" s="6"/>
      <c r="C181" s="6"/>
      <c r="D181" s="6"/>
      <c r="E181" s="6"/>
      <c r="F181" s="15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3">
      <c r="A182" s="6"/>
      <c r="B182" s="6"/>
      <c r="C182" s="6"/>
      <c r="D182" s="6"/>
      <c r="E182" s="6"/>
      <c r="F182" s="15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3">
      <c r="A183" s="6"/>
      <c r="B183" s="6"/>
      <c r="C183" s="6"/>
      <c r="D183" s="6"/>
      <c r="E183" s="6"/>
      <c r="F183" s="15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3">
      <c r="A184" s="6"/>
      <c r="B184" s="6"/>
      <c r="C184" s="6"/>
      <c r="D184" s="6"/>
      <c r="E184" s="6"/>
      <c r="F184" s="15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3">
      <c r="A185" s="6"/>
      <c r="B185" s="6"/>
      <c r="C185" s="6"/>
      <c r="D185" s="6"/>
      <c r="E185" s="6"/>
      <c r="F185" s="15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3">
      <c r="A186" s="6"/>
      <c r="B186" s="6"/>
      <c r="C186" s="6"/>
      <c r="D186" s="6"/>
      <c r="E186" s="6"/>
      <c r="F186" s="15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3">
      <c r="A187" s="6"/>
      <c r="B187" s="6"/>
      <c r="C187" s="6"/>
      <c r="D187" s="6"/>
      <c r="E187" s="6"/>
      <c r="F187" s="15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3">
      <c r="A188" s="6"/>
      <c r="B188" s="6"/>
      <c r="C188" s="6"/>
      <c r="D188" s="6"/>
      <c r="E188" s="6"/>
      <c r="F188" s="15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3">
      <c r="A189" s="6"/>
      <c r="B189" s="6"/>
      <c r="C189" s="6"/>
      <c r="D189" s="6"/>
      <c r="E189" s="6"/>
      <c r="F189" s="15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3">
      <c r="A190" s="6"/>
      <c r="B190" s="6"/>
      <c r="C190" s="6"/>
      <c r="D190" s="6"/>
      <c r="E190" s="6"/>
      <c r="F190" s="15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3">
      <c r="A191" s="6"/>
      <c r="B191" s="6"/>
      <c r="C191" s="6"/>
      <c r="D191" s="6"/>
      <c r="E191" s="6"/>
      <c r="F191" s="15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3">
      <c r="A192" s="6"/>
      <c r="B192" s="6"/>
      <c r="C192" s="6"/>
      <c r="D192" s="6"/>
      <c r="E192" s="6"/>
      <c r="F192" s="15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3">
      <c r="A193" s="6"/>
      <c r="B193" s="6"/>
      <c r="C193" s="6"/>
      <c r="D193" s="6"/>
      <c r="E193" s="6"/>
      <c r="F193" s="15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3">
      <c r="A194" s="6"/>
      <c r="B194" s="6"/>
      <c r="C194" s="6"/>
      <c r="D194" s="6"/>
      <c r="E194" s="6"/>
      <c r="F194" s="15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3">
      <c r="A195" s="6"/>
      <c r="B195" s="6"/>
      <c r="C195" s="6"/>
      <c r="D195" s="6"/>
      <c r="E195" s="6"/>
      <c r="F195" s="15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3">
      <c r="A196" s="6"/>
      <c r="B196" s="6"/>
      <c r="C196" s="6"/>
      <c r="D196" s="6"/>
      <c r="E196" s="6"/>
      <c r="F196" s="15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3">
      <c r="A197" s="6"/>
      <c r="B197" s="6"/>
      <c r="C197" s="6"/>
      <c r="D197" s="6"/>
      <c r="E197" s="6"/>
      <c r="F197" s="15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3">
      <c r="A198" s="6"/>
      <c r="B198" s="6"/>
      <c r="C198" s="6"/>
      <c r="D198" s="6"/>
      <c r="E198" s="6"/>
      <c r="F198" s="15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3">
      <c r="A199" s="6"/>
      <c r="B199" s="6"/>
      <c r="C199" s="6"/>
      <c r="D199" s="6"/>
      <c r="E199" s="6"/>
      <c r="F199" s="15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3">
      <c r="A200" s="6"/>
      <c r="B200" s="6"/>
      <c r="C200" s="6"/>
      <c r="D200" s="6"/>
      <c r="E200" s="6"/>
      <c r="F200" s="15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3">
      <c r="A201" s="6"/>
      <c r="B201" s="6"/>
      <c r="C201" s="6"/>
      <c r="D201" s="6"/>
      <c r="E201" s="6"/>
      <c r="F201" s="15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3">
      <c r="A202" s="6"/>
      <c r="B202" s="6"/>
      <c r="C202" s="6"/>
      <c r="D202" s="6"/>
      <c r="E202" s="6"/>
      <c r="F202" s="15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3">
      <c r="A203" s="6"/>
      <c r="B203" s="6"/>
      <c r="C203" s="6"/>
      <c r="D203" s="6"/>
      <c r="E203" s="6"/>
      <c r="F203" s="15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3">
      <c r="A204" s="6"/>
      <c r="B204" s="6"/>
      <c r="C204" s="6"/>
      <c r="D204" s="6"/>
      <c r="E204" s="6"/>
      <c r="F204" s="15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3">
      <c r="A205" s="6"/>
      <c r="B205" s="6"/>
      <c r="C205" s="6"/>
      <c r="D205" s="6"/>
      <c r="E205" s="6"/>
      <c r="F205" s="15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3">
      <c r="A206" s="6"/>
      <c r="B206" s="6"/>
      <c r="C206" s="6"/>
      <c r="D206" s="6"/>
      <c r="E206" s="6"/>
      <c r="F206" s="15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3">
      <c r="A207" s="6"/>
      <c r="B207" s="6"/>
      <c r="C207" s="6"/>
      <c r="D207" s="6"/>
      <c r="E207" s="6"/>
      <c r="F207" s="15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3">
      <c r="A208" s="6"/>
      <c r="B208" s="6"/>
      <c r="C208" s="6"/>
      <c r="D208" s="6"/>
      <c r="E208" s="6"/>
      <c r="F208" s="15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3">
      <c r="A209" s="6"/>
      <c r="B209" s="6"/>
      <c r="C209" s="6"/>
      <c r="D209" s="6"/>
      <c r="E209" s="6"/>
      <c r="F209" s="15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3">
      <c r="A210" s="6"/>
      <c r="B210" s="6"/>
      <c r="C210" s="6"/>
      <c r="D210" s="6"/>
      <c r="E210" s="6"/>
      <c r="F210" s="15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3">
      <c r="A211" s="6"/>
      <c r="B211" s="6"/>
      <c r="C211" s="6"/>
      <c r="D211" s="6"/>
      <c r="E211" s="6"/>
      <c r="F211" s="15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3">
      <c r="A212" s="6"/>
      <c r="B212" s="6"/>
      <c r="C212" s="6"/>
      <c r="D212" s="6"/>
      <c r="E212" s="6"/>
      <c r="F212" s="15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3">
      <c r="A213" s="6"/>
      <c r="B213" s="6"/>
      <c r="C213" s="6"/>
      <c r="D213" s="6"/>
      <c r="E213" s="6"/>
      <c r="F213" s="15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3">
      <c r="A214" s="6"/>
      <c r="B214" s="6"/>
      <c r="C214" s="6"/>
      <c r="D214" s="6"/>
      <c r="E214" s="6"/>
      <c r="F214" s="15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3">
      <c r="A215" s="6"/>
      <c r="B215" s="6"/>
      <c r="C215" s="6"/>
      <c r="D215" s="6"/>
      <c r="E215" s="6"/>
      <c r="F215" s="15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3">
      <c r="A216" s="6"/>
      <c r="B216" s="6"/>
      <c r="C216" s="6"/>
      <c r="D216" s="6"/>
      <c r="E216" s="6"/>
      <c r="F216" s="15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3">
      <c r="A217" s="6"/>
      <c r="B217" s="6"/>
      <c r="C217" s="6"/>
      <c r="D217" s="6"/>
      <c r="E217" s="6"/>
      <c r="F217" s="15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3">
      <c r="A218" s="6"/>
      <c r="B218" s="6"/>
      <c r="C218" s="6"/>
      <c r="D218" s="6"/>
      <c r="E218" s="6"/>
      <c r="F218" s="15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3">
      <c r="A219" s="6"/>
      <c r="B219" s="6"/>
      <c r="C219" s="6"/>
      <c r="D219" s="6"/>
      <c r="E219" s="6"/>
      <c r="F219" s="15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3">
      <c r="A220" s="6"/>
      <c r="B220" s="6"/>
      <c r="C220" s="6"/>
      <c r="D220" s="6"/>
      <c r="E220" s="6"/>
      <c r="F220" s="15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3">
      <c r="A221" s="6"/>
      <c r="B221" s="6"/>
      <c r="C221" s="6"/>
      <c r="D221" s="6"/>
      <c r="E221" s="6"/>
      <c r="F221" s="15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3">
      <c r="A222" s="6"/>
      <c r="B222" s="6"/>
      <c r="C222" s="6"/>
      <c r="D222" s="6"/>
      <c r="E222" s="6"/>
      <c r="F222" s="15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3">
      <c r="A223" s="6"/>
      <c r="B223" s="6"/>
      <c r="C223" s="6"/>
      <c r="D223" s="6"/>
      <c r="E223" s="6"/>
      <c r="F223" s="15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3">
      <c r="A224" s="6"/>
      <c r="B224" s="6"/>
      <c r="C224" s="6"/>
      <c r="D224" s="6"/>
      <c r="E224" s="6"/>
      <c r="F224" s="15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3">
      <c r="A225" s="6"/>
      <c r="B225" s="6"/>
      <c r="C225" s="6"/>
      <c r="D225" s="6"/>
      <c r="E225" s="6"/>
      <c r="F225" s="15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3">
      <c r="A226" s="6"/>
      <c r="B226" s="6"/>
      <c r="C226" s="6"/>
      <c r="D226" s="6"/>
      <c r="E226" s="6"/>
      <c r="F226" s="15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3">
      <c r="A227" s="6"/>
      <c r="B227" s="6"/>
      <c r="C227" s="6"/>
      <c r="D227" s="6"/>
      <c r="E227" s="6"/>
      <c r="F227" s="15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3">
      <c r="A228" s="6"/>
      <c r="B228" s="6"/>
      <c r="C228" s="6"/>
      <c r="D228" s="6"/>
      <c r="E228" s="6"/>
      <c r="F228" s="15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3">
      <c r="A229" s="6"/>
      <c r="B229" s="6"/>
      <c r="C229" s="6"/>
      <c r="D229" s="6"/>
      <c r="E229" s="6"/>
      <c r="F229" s="15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3">
      <c r="A230" s="6"/>
      <c r="B230" s="6"/>
      <c r="C230" s="6"/>
      <c r="D230" s="6"/>
      <c r="E230" s="6"/>
      <c r="F230" s="15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3">
      <c r="A231" s="6"/>
      <c r="B231" s="6"/>
      <c r="C231" s="6"/>
      <c r="D231" s="6"/>
      <c r="E231" s="6"/>
      <c r="F231" s="15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3">
      <c r="A232" s="6"/>
      <c r="B232" s="6"/>
      <c r="C232" s="6"/>
      <c r="D232" s="6"/>
      <c r="E232" s="6"/>
      <c r="F232" s="15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3">
      <c r="A233" s="6"/>
      <c r="B233" s="6"/>
      <c r="C233" s="6"/>
      <c r="D233" s="6"/>
      <c r="E233" s="6"/>
      <c r="F233" s="15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3">
      <c r="A234" s="6"/>
      <c r="B234" s="6"/>
      <c r="C234" s="6"/>
      <c r="D234" s="6"/>
      <c r="E234" s="6"/>
      <c r="F234" s="15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3">
      <c r="A235" s="6"/>
      <c r="B235" s="6"/>
      <c r="C235" s="6"/>
      <c r="D235" s="6"/>
      <c r="E235" s="6"/>
      <c r="F235" s="15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3">
      <c r="A236" s="6"/>
      <c r="B236" s="6"/>
      <c r="C236" s="6"/>
      <c r="D236" s="6"/>
      <c r="E236" s="6"/>
      <c r="F236" s="15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3">
      <c r="A237" s="6"/>
      <c r="B237" s="6"/>
      <c r="C237" s="6"/>
      <c r="D237" s="6"/>
      <c r="E237" s="6"/>
      <c r="F237" s="15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3">
      <c r="A238" s="6"/>
      <c r="B238" s="6"/>
      <c r="C238" s="6"/>
      <c r="D238" s="6"/>
      <c r="E238" s="6"/>
      <c r="F238" s="15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3">
      <c r="A239" s="6"/>
      <c r="B239" s="6"/>
      <c r="C239" s="6"/>
      <c r="D239" s="6"/>
      <c r="E239" s="6"/>
      <c r="F239" s="15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3">
      <c r="A240" s="6"/>
      <c r="B240" s="6"/>
      <c r="C240" s="6"/>
      <c r="D240" s="6"/>
      <c r="E240" s="6"/>
      <c r="F240" s="15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3">
      <c r="A241" s="6"/>
      <c r="B241" s="6"/>
      <c r="C241" s="6"/>
      <c r="D241" s="6"/>
      <c r="E241" s="6"/>
      <c r="F241" s="15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3">
      <c r="A242" s="6"/>
      <c r="B242" s="6"/>
      <c r="C242" s="6"/>
      <c r="D242" s="6"/>
      <c r="E242" s="6"/>
      <c r="F242" s="15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3">
      <c r="A243" s="6"/>
      <c r="B243" s="6"/>
      <c r="C243" s="6"/>
      <c r="D243" s="6"/>
      <c r="E243" s="6"/>
      <c r="F243" s="15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3">
      <c r="A244" s="6"/>
      <c r="B244" s="6"/>
      <c r="C244" s="6"/>
      <c r="D244" s="6"/>
      <c r="E244" s="6"/>
      <c r="F244" s="15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3">
      <c r="A245" s="6"/>
      <c r="B245" s="6"/>
      <c r="C245" s="6"/>
      <c r="D245" s="6"/>
      <c r="E245" s="6"/>
      <c r="F245" s="15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3">
      <c r="A246" s="6"/>
      <c r="B246" s="6"/>
      <c r="C246" s="6"/>
      <c r="D246" s="6"/>
      <c r="E246" s="6"/>
      <c r="F246" s="15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3">
      <c r="A247" s="6"/>
      <c r="B247" s="6"/>
      <c r="C247" s="6"/>
      <c r="D247" s="6"/>
      <c r="E247" s="6"/>
      <c r="F247" s="15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3">
      <c r="A248" s="6"/>
      <c r="B248" s="6"/>
      <c r="C248" s="6"/>
      <c r="D248" s="6"/>
      <c r="E248" s="6"/>
      <c r="F248" s="15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3">
      <c r="A249" s="6"/>
      <c r="B249" s="6"/>
      <c r="C249" s="6"/>
      <c r="D249" s="6"/>
      <c r="E249" s="6"/>
      <c r="F249" s="15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3">
      <c r="A250" s="6"/>
      <c r="B250" s="6"/>
      <c r="C250" s="6"/>
      <c r="D250" s="6"/>
      <c r="E250" s="6"/>
      <c r="F250" s="15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3">
      <c r="A251" s="6"/>
      <c r="B251" s="6"/>
      <c r="C251" s="6"/>
      <c r="D251" s="6"/>
      <c r="E251" s="6"/>
      <c r="F251" s="15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3">
      <c r="A252" s="6"/>
      <c r="B252" s="6"/>
      <c r="C252" s="6"/>
      <c r="D252" s="6"/>
      <c r="E252" s="6"/>
      <c r="F252" s="15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3">
      <c r="A253" s="6"/>
      <c r="B253" s="6"/>
      <c r="C253" s="6"/>
      <c r="D253" s="6"/>
      <c r="E253" s="6"/>
      <c r="F253" s="15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3">
      <c r="A254" s="6"/>
      <c r="B254" s="6"/>
      <c r="C254" s="6"/>
      <c r="D254" s="6"/>
      <c r="E254" s="6"/>
      <c r="F254" s="15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3">
      <c r="A255" s="6"/>
      <c r="B255" s="6"/>
      <c r="C255" s="6"/>
      <c r="D255" s="6"/>
      <c r="E255" s="6"/>
      <c r="F255" s="15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3">
      <c r="A256" s="6"/>
      <c r="B256" s="6"/>
      <c r="C256" s="6"/>
      <c r="D256" s="6"/>
      <c r="E256" s="6"/>
      <c r="F256" s="15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3">
      <c r="A257" s="6"/>
      <c r="B257" s="6"/>
      <c r="C257" s="6"/>
      <c r="D257" s="6"/>
      <c r="E257" s="6"/>
      <c r="F257" s="15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3">
      <c r="A258" s="6"/>
      <c r="B258" s="6"/>
      <c r="C258" s="6"/>
      <c r="D258" s="6"/>
      <c r="E258" s="6"/>
      <c r="F258" s="15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3">
      <c r="A259" s="6"/>
      <c r="B259" s="6"/>
      <c r="C259" s="6"/>
      <c r="D259" s="6"/>
      <c r="E259" s="6"/>
      <c r="F259" s="15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3">
      <c r="A260" s="6"/>
      <c r="B260" s="6"/>
      <c r="C260" s="6"/>
      <c r="D260" s="6"/>
      <c r="E260" s="6"/>
      <c r="F260" s="15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3">
      <c r="A261" s="6"/>
      <c r="B261" s="6"/>
      <c r="C261" s="6"/>
      <c r="D261" s="6"/>
      <c r="E261" s="6"/>
      <c r="F261" s="15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3">
      <c r="A262" s="6"/>
      <c r="B262" s="6"/>
      <c r="C262" s="6"/>
      <c r="D262" s="6"/>
      <c r="E262" s="6"/>
      <c r="F262" s="15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3">
      <c r="A263" s="6"/>
      <c r="B263" s="6"/>
      <c r="C263" s="6"/>
      <c r="D263" s="6"/>
      <c r="E263" s="6"/>
      <c r="F263" s="15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3">
      <c r="A264" s="6"/>
      <c r="B264" s="6"/>
      <c r="C264" s="6"/>
      <c r="D264" s="6"/>
      <c r="E264" s="6"/>
      <c r="F264" s="15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3">
      <c r="A265" s="6"/>
      <c r="B265" s="6"/>
      <c r="C265" s="6"/>
      <c r="D265" s="6"/>
      <c r="E265" s="6"/>
      <c r="F265" s="15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3">
      <c r="A266" s="6"/>
      <c r="B266" s="6"/>
      <c r="C266" s="6"/>
      <c r="D266" s="6"/>
      <c r="E266" s="6"/>
      <c r="F266" s="15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3">
      <c r="A267" s="6"/>
      <c r="B267" s="6"/>
      <c r="C267" s="6"/>
      <c r="D267" s="6"/>
      <c r="E267" s="6"/>
      <c r="F267" s="15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3">
      <c r="A268" s="6"/>
      <c r="B268" s="6"/>
      <c r="C268" s="6"/>
      <c r="D268" s="6"/>
      <c r="E268" s="6"/>
      <c r="F268" s="15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3">
      <c r="A269" s="6"/>
      <c r="B269" s="6"/>
      <c r="C269" s="6"/>
      <c r="D269" s="6"/>
      <c r="E269" s="6"/>
      <c r="F269" s="15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3">
      <c r="A270" s="6"/>
      <c r="B270" s="6"/>
      <c r="C270" s="6"/>
      <c r="D270" s="6"/>
      <c r="E270" s="6"/>
      <c r="F270" s="15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3">
      <c r="A271" s="6"/>
      <c r="B271" s="6"/>
      <c r="C271" s="6"/>
      <c r="D271" s="6"/>
      <c r="E271" s="6"/>
      <c r="F271" s="15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3">
      <c r="A272" s="6"/>
      <c r="B272" s="6"/>
      <c r="C272" s="6"/>
      <c r="D272" s="6"/>
      <c r="E272" s="6"/>
      <c r="F272" s="15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3">
      <c r="A273" s="6"/>
      <c r="B273" s="6"/>
      <c r="C273" s="6"/>
      <c r="D273" s="6"/>
      <c r="E273" s="6"/>
      <c r="F273" s="15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3">
      <c r="A274" s="6"/>
      <c r="B274" s="6"/>
      <c r="C274" s="6"/>
      <c r="D274" s="6"/>
      <c r="E274" s="6"/>
      <c r="F274" s="15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3">
      <c r="A275" s="6"/>
      <c r="B275" s="6"/>
      <c r="C275" s="6"/>
      <c r="D275" s="6"/>
      <c r="E275" s="6"/>
      <c r="F275" s="15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3">
      <c r="A276" s="6"/>
      <c r="B276" s="6"/>
      <c r="C276" s="6"/>
      <c r="D276" s="6"/>
      <c r="E276" s="6"/>
      <c r="F276" s="15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3">
      <c r="A277" s="6"/>
      <c r="B277" s="6"/>
      <c r="C277" s="6"/>
      <c r="D277" s="6"/>
      <c r="E277" s="6"/>
      <c r="F277" s="15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3">
      <c r="A278" s="6"/>
      <c r="B278" s="6"/>
      <c r="C278" s="6"/>
      <c r="D278" s="6"/>
      <c r="E278" s="6"/>
      <c r="F278" s="15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3">
      <c r="A279" s="6"/>
      <c r="B279" s="6"/>
      <c r="C279" s="6"/>
      <c r="D279" s="6"/>
      <c r="E279" s="6"/>
      <c r="F279" s="15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3">
      <c r="A280" s="6"/>
      <c r="B280" s="6"/>
      <c r="C280" s="6"/>
      <c r="D280" s="6"/>
      <c r="E280" s="6"/>
      <c r="F280" s="15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3">
      <c r="A281" s="6"/>
      <c r="B281" s="6"/>
      <c r="C281" s="6"/>
      <c r="D281" s="6"/>
      <c r="E281" s="6"/>
      <c r="F281" s="15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3">
      <c r="A282" s="6"/>
      <c r="B282" s="6"/>
      <c r="C282" s="6"/>
      <c r="D282" s="6"/>
      <c r="E282" s="6"/>
      <c r="F282" s="15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3">
      <c r="A283" s="6"/>
      <c r="B283" s="6"/>
      <c r="C283" s="6"/>
      <c r="D283" s="6"/>
      <c r="E283" s="6"/>
      <c r="F283" s="15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3">
      <c r="A284" s="6"/>
      <c r="B284" s="6"/>
      <c r="C284" s="6"/>
      <c r="D284" s="6"/>
      <c r="E284" s="6"/>
      <c r="F284" s="15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3">
      <c r="A285" s="6"/>
      <c r="B285" s="6"/>
      <c r="C285" s="6"/>
      <c r="D285" s="6"/>
      <c r="E285" s="6"/>
      <c r="F285" s="15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3">
      <c r="A286" s="6"/>
      <c r="B286" s="6"/>
      <c r="C286" s="6"/>
      <c r="D286" s="6"/>
      <c r="E286" s="6"/>
      <c r="F286" s="15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3">
      <c r="A287" s="6"/>
      <c r="B287" s="6"/>
      <c r="C287" s="6"/>
      <c r="D287" s="6"/>
      <c r="E287" s="6"/>
      <c r="F287" s="15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3">
      <c r="A288" s="6"/>
      <c r="B288" s="6"/>
      <c r="C288" s="6"/>
      <c r="D288" s="6"/>
      <c r="E288" s="6"/>
      <c r="F288" s="15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3">
      <c r="A289" s="6"/>
      <c r="B289" s="6"/>
      <c r="C289" s="6"/>
      <c r="D289" s="6"/>
      <c r="E289" s="6"/>
      <c r="F289" s="15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3">
      <c r="A290" s="6"/>
      <c r="B290" s="6"/>
      <c r="C290" s="6"/>
      <c r="D290" s="6"/>
      <c r="E290" s="6"/>
      <c r="F290" s="15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3">
      <c r="A291" s="6"/>
      <c r="B291" s="6"/>
      <c r="C291" s="6"/>
      <c r="D291" s="6"/>
      <c r="E291" s="6"/>
      <c r="F291" s="15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3">
      <c r="A292" s="6"/>
      <c r="B292" s="6"/>
      <c r="C292" s="6"/>
      <c r="D292" s="6"/>
      <c r="E292" s="6"/>
      <c r="F292" s="15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3">
      <c r="A293" s="6"/>
      <c r="B293" s="6"/>
      <c r="C293" s="6"/>
      <c r="D293" s="6"/>
      <c r="E293" s="6"/>
      <c r="F293" s="15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3">
      <c r="A294" s="6"/>
      <c r="B294" s="6"/>
      <c r="C294" s="6"/>
      <c r="D294" s="6"/>
      <c r="E294" s="6"/>
      <c r="F294" s="15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3">
      <c r="A295" s="6"/>
      <c r="B295" s="6"/>
      <c r="C295" s="6"/>
      <c r="D295" s="6"/>
      <c r="E295" s="6"/>
      <c r="F295" s="15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3">
      <c r="A296" s="6"/>
      <c r="B296" s="6"/>
      <c r="C296" s="6"/>
      <c r="D296" s="6"/>
      <c r="E296" s="6"/>
      <c r="F296" s="15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3">
      <c r="A297" s="6"/>
      <c r="B297" s="6"/>
      <c r="C297" s="6"/>
      <c r="D297" s="6"/>
      <c r="E297" s="6"/>
      <c r="F297" s="15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3">
      <c r="A298" s="6"/>
      <c r="B298" s="6"/>
      <c r="C298" s="6"/>
      <c r="D298" s="6"/>
      <c r="E298" s="6"/>
      <c r="F298" s="15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3">
      <c r="A299" s="6"/>
      <c r="B299" s="6"/>
      <c r="C299" s="6"/>
      <c r="D299" s="6"/>
      <c r="E299" s="6"/>
      <c r="F299" s="15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3">
      <c r="A300" s="6"/>
      <c r="B300" s="6"/>
      <c r="C300" s="6"/>
      <c r="D300" s="6"/>
      <c r="E300" s="6"/>
      <c r="F300" s="15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3">
      <c r="A301" s="6"/>
      <c r="B301" s="6"/>
      <c r="C301" s="6"/>
      <c r="D301" s="6"/>
      <c r="E301" s="6"/>
      <c r="F301" s="15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3">
      <c r="A302" s="6"/>
      <c r="B302" s="6"/>
      <c r="C302" s="6"/>
      <c r="D302" s="6"/>
      <c r="E302" s="6"/>
      <c r="F302" s="15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3">
      <c r="A303" s="6"/>
      <c r="B303" s="6"/>
      <c r="C303" s="6"/>
      <c r="D303" s="6"/>
      <c r="E303" s="6"/>
      <c r="F303" s="15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3">
      <c r="A304" s="6"/>
      <c r="B304" s="6"/>
      <c r="C304" s="6"/>
      <c r="D304" s="6"/>
      <c r="E304" s="6"/>
      <c r="F304" s="15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3">
      <c r="A305" s="6"/>
      <c r="B305" s="6"/>
      <c r="C305" s="6"/>
      <c r="D305" s="6"/>
      <c r="E305" s="6"/>
      <c r="F305" s="15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3">
      <c r="A306" s="6"/>
      <c r="B306" s="6"/>
      <c r="C306" s="6"/>
      <c r="D306" s="6"/>
      <c r="E306" s="6"/>
      <c r="F306" s="15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3">
      <c r="A307" s="6"/>
      <c r="B307" s="6"/>
      <c r="C307" s="6"/>
      <c r="D307" s="6"/>
      <c r="E307" s="6"/>
      <c r="F307" s="15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3">
      <c r="A308" s="6"/>
      <c r="B308" s="6"/>
      <c r="C308" s="6"/>
      <c r="D308" s="6"/>
      <c r="E308" s="6"/>
      <c r="F308" s="15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3">
      <c r="A309" s="6"/>
      <c r="B309" s="6"/>
      <c r="C309" s="6"/>
      <c r="D309" s="6"/>
      <c r="E309" s="6"/>
      <c r="F309" s="15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3">
      <c r="A310" s="6"/>
      <c r="B310" s="6"/>
      <c r="C310" s="6"/>
      <c r="D310" s="6"/>
      <c r="E310" s="6"/>
      <c r="F310" s="15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3">
      <c r="A311" s="6"/>
      <c r="B311" s="6"/>
      <c r="C311" s="6"/>
      <c r="D311" s="6"/>
      <c r="E311" s="6"/>
      <c r="F311" s="15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3">
      <c r="A312" s="6"/>
      <c r="B312" s="6"/>
      <c r="C312" s="6"/>
      <c r="D312" s="6"/>
      <c r="E312" s="6"/>
      <c r="F312" s="15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3">
      <c r="A313" s="6"/>
      <c r="B313" s="6"/>
      <c r="C313" s="6"/>
      <c r="D313" s="6"/>
      <c r="E313" s="6"/>
      <c r="F313" s="15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3">
      <c r="A314" s="6"/>
      <c r="B314" s="6"/>
      <c r="C314" s="6"/>
      <c r="D314" s="6"/>
      <c r="E314" s="6"/>
      <c r="F314" s="15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3">
      <c r="A315" s="6"/>
      <c r="B315" s="6"/>
      <c r="C315" s="6"/>
      <c r="D315" s="6"/>
      <c r="E315" s="6"/>
      <c r="F315" s="15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3">
      <c r="A316" s="6"/>
      <c r="B316" s="6"/>
      <c r="C316" s="6"/>
      <c r="D316" s="6"/>
      <c r="E316" s="6"/>
      <c r="F316" s="15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3">
      <c r="A317" s="6"/>
      <c r="B317" s="6"/>
      <c r="C317" s="6"/>
      <c r="D317" s="6"/>
      <c r="E317" s="6"/>
      <c r="F317" s="15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3">
      <c r="A318" s="6"/>
      <c r="B318" s="6"/>
      <c r="C318" s="6"/>
      <c r="D318" s="6"/>
      <c r="E318" s="6"/>
      <c r="F318" s="15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3">
      <c r="A319" s="6"/>
      <c r="B319" s="6"/>
      <c r="C319" s="6"/>
      <c r="D319" s="6"/>
      <c r="E319" s="6"/>
      <c r="F319" s="15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3">
      <c r="A320" s="6"/>
      <c r="B320" s="6"/>
      <c r="C320" s="6"/>
      <c r="D320" s="6"/>
      <c r="E320" s="6"/>
      <c r="F320" s="15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3">
      <c r="A321" s="6"/>
      <c r="B321" s="6"/>
      <c r="C321" s="6"/>
      <c r="D321" s="6"/>
      <c r="E321" s="6"/>
      <c r="F321" s="15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3">
      <c r="A322" s="6"/>
      <c r="B322" s="6"/>
      <c r="C322" s="6"/>
      <c r="D322" s="6"/>
      <c r="E322" s="6"/>
      <c r="F322" s="15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3">
      <c r="A323" s="6"/>
      <c r="B323" s="6"/>
      <c r="C323" s="6"/>
      <c r="D323" s="6"/>
      <c r="E323" s="6"/>
      <c r="F323" s="15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3">
      <c r="A324" s="6"/>
      <c r="B324" s="6"/>
      <c r="C324" s="6"/>
      <c r="D324" s="6"/>
      <c r="E324" s="6"/>
      <c r="F324" s="15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3">
      <c r="A325" s="6"/>
      <c r="B325" s="6"/>
      <c r="C325" s="6"/>
      <c r="D325" s="6"/>
      <c r="E325" s="6"/>
      <c r="F325" s="15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3">
      <c r="A326" s="6"/>
      <c r="B326" s="6"/>
      <c r="C326" s="6"/>
      <c r="D326" s="6"/>
      <c r="E326" s="6"/>
      <c r="F326" s="15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3">
      <c r="A327" s="6"/>
      <c r="B327" s="6"/>
      <c r="C327" s="6"/>
      <c r="D327" s="6"/>
      <c r="E327" s="6"/>
      <c r="F327" s="15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3">
      <c r="A328" s="6"/>
      <c r="B328" s="6"/>
      <c r="C328" s="6"/>
      <c r="D328" s="6"/>
      <c r="E328" s="6"/>
      <c r="F328" s="15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3">
      <c r="A329" s="6"/>
      <c r="B329" s="6"/>
      <c r="C329" s="6"/>
      <c r="D329" s="6"/>
      <c r="E329" s="6"/>
      <c r="F329" s="15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3">
      <c r="A330" s="6"/>
      <c r="B330" s="6"/>
      <c r="C330" s="6"/>
      <c r="D330" s="6"/>
      <c r="E330" s="6"/>
      <c r="F330" s="15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3">
      <c r="A331" s="6"/>
      <c r="B331" s="6"/>
      <c r="C331" s="6"/>
      <c r="D331" s="6"/>
      <c r="E331" s="6"/>
      <c r="F331" s="15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3">
      <c r="A332" s="6"/>
      <c r="B332" s="6"/>
      <c r="C332" s="6"/>
      <c r="D332" s="6"/>
      <c r="E332" s="6"/>
      <c r="F332" s="15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3">
      <c r="A333" s="6"/>
      <c r="B333" s="6"/>
      <c r="C333" s="6"/>
      <c r="D333" s="6"/>
      <c r="E333" s="6"/>
      <c r="F333" s="15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3">
      <c r="A334" s="6"/>
      <c r="B334" s="6"/>
      <c r="C334" s="6"/>
      <c r="D334" s="6"/>
      <c r="E334" s="6"/>
      <c r="F334" s="15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3">
      <c r="A335" s="6"/>
      <c r="B335" s="6"/>
      <c r="C335" s="6"/>
      <c r="D335" s="6"/>
      <c r="E335" s="6"/>
      <c r="F335" s="15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3">
      <c r="A336" s="6"/>
      <c r="B336" s="6"/>
      <c r="C336" s="6"/>
      <c r="D336" s="6"/>
      <c r="E336" s="6"/>
      <c r="F336" s="15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3">
      <c r="A337" s="6"/>
      <c r="B337" s="6"/>
      <c r="C337" s="6"/>
      <c r="D337" s="6"/>
      <c r="E337" s="6"/>
      <c r="F337" s="15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3">
      <c r="A338" s="6"/>
      <c r="B338" s="6"/>
      <c r="C338" s="6"/>
      <c r="D338" s="6"/>
      <c r="E338" s="6"/>
      <c r="F338" s="15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3">
      <c r="A339" s="6"/>
      <c r="B339" s="6"/>
      <c r="C339" s="6"/>
      <c r="D339" s="6"/>
      <c r="E339" s="6"/>
      <c r="F339" s="15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3">
      <c r="A340" s="6"/>
      <c r="B340" s="6"/>
      <c r="C340" s="6"/>
      <c r="D340" s="6"/>
      <c r="E340" s="6"/>
      <c r="F340" s="15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3">
      <c r="A341" s="6"/>
      <c r="B341" s="6"/>
      <c r="C341" s="6"/>
      <c r="D341" s="6"/>
      <c r="E341" s="6"/>
      <c r="F341" s="15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3">
      <c r="A342" s="6"/>
      <c r="B342" s="6"/>
      <c r="C342" s="6"/>
      <c r="D342" s="6"/>
      <c r="E342" s="6"/>
      <c r="F342" s="15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3">
      <c r="A343" s="6"/>
      <c r="B343" s="6"/>
      <c r="C343" s="6"/>
      <c r="D343" s="6"/>
      <c r="E343" s="6"/>
      <c r="F343" s="15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3">
      <c r="A344" s="6"/>
      <c r="B344" s="6"/>
      <c r="C344" s="6"/>
      <c r="D344" s="6"/>
      <c r="E344" s="6"/>
      <c r="F344" s="15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3">
      <c r="A345" s="6"/>
      <c r="B345" s="6"/>
      <c r="C345" s="6"/>
      <c r="D345" s="6"/>
      <c r="E345" s="6"/>
      <c r="F345" s="15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3">
      <c r="A346" s="6"/>
      <c r="B346" s="6"/>
      <c r="C346" s="6"/>
      <c r="D346" s="6"/>
      <c r="E346" s="6"/>
      <c r="F346" s="15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3">
      <c r="A347" s="6"/>
      <c r="B347" s="6"/>
      <c r="C347" s="6"/>
      <c r="D347" s="6"/>
      <c r="E347" s="6"/>
      <c r="F347" s="15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3">
      <c r="A348" s="6"/>
      <c r="B348" s="6"/>
      <c r="C348" s="6"/>
      <c r="D348" s="6"/>
      <c r="E348" s="6"/>
      <c r="F348" s="15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3">
      <c r="A349" s="6"/>
      <c r="B349" s="6"/>
      <c r="C349" s="6"/>
      <c r="D349" s="6"/>
      <c r="E349" s="6"/>
      <c r="F349" s="15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3">
      <c r="A350" s="6"/>
      <c r="B350" s="6"/>
      <c r="C350" s="6"/>
      <c r="D350" s="6"/>
      <c r="E350" s="6"/>
      <c r="F350" s="15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3">
      <c r="A351" s="6"/>
      <c r="B351" s="6"/>
      <c r="C351" s="6"/>
      <c r="D351" s="6"/>
      <c r="E351" s="6"/>
      <c r="F351" s="15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3">
      <c r="A352" s="6"/>
      <c r="B352" s="6"/>
      <c r="C352" s="6"/>
      <c r="D352" s="6"/>
      <c r="E352" s="6"/>
      <c r="F352" s="15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3">
      <c r="A353" s="6"/>
      <c r="B353" s="6"/>
      <c r="C353" s="6"/>
      <c r="D353" s="6"/>
      <c r="E353" s="6"/>
      <c r="F353" s="15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3">
      <c r="A354" s="6"/>
      <c r="B354" s="6"/>
      <c r="C354" s="6"/>
      <c r="D354" s="6"/>
      <c r="E354" s="6"/>
      <c r="F354" s="15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3">
      <c r="A355" s="6"/>
      <c r="B355" s="6"/>
      <c r="C355" s="6"/>
      <c r="D355" s="6"/>
      <c r="E355" s="6"/>
      <c r="F355" s="15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3">
      <c r="A356" s="6"/>
      <c r="B356" s="6"/>
      <c r="C356" s="6"/>
      <c r="D356" s="6"/>
      <c r="E356" s="6"/>
      <c r="F356" s="15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3">
      <c r="A357" s="6"/>
      <c r="B357" s="6"/>
      <c r="C357" s="6"/>
      <c r="D357" s="6"/>
      <c r="E357" s="6"/>
      <c r="F357" s="15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3">
      <c r="A358" s="6"/>
      <c r="B358" s="6"/>
      <c r="C358" s="6"/>
      <c r="D358" s="6"/>
      <c r="E358" s="6"/>
      <c r="F358" s="15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3">
      <c r="A359" s="6"/>
      <c r="B359" s="6"/>
      <c r="C359" s="6"/>
      <c r="D359" s="6"/>
      <c r="E359" s="6"/>
      <c r="F359" s="15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3">
      <c r="A360" s="6"/>
      <c r="B360" s="6"/>
      <c r="C360" s="6"/>
      <c r="D360" s="6"/>
      <c r="E360" s="6"/>
      <c r="F360" s="15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3">
      <c r="A361" s="6"/>
      <c r="B361" s="6"/>
      <c r="C361" s="6"/>
      <c r="D361" s="6"/>
      <c r="E361" s="6"/>
      <c r="F361" s="15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3">
      <c r="A362" s="6"/>
      <c r="B362" s="6"/>
      <c r="C362" s="6"/>
      <c r="D362" s="6"/>
      <c r="E362" s="6"/>
      <c r="F362" s="15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3">
      <c r="A363" s="6"/>
      <c r="B363" s="6"/>
      <c r="C363" s="6"/>
      <c r="D363" s="6"/>
      <c r="E363" s="6"/>
      <c r="F363" s="15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3">
      <c r="A364" s="6"/>
      <c r="B364" s="6"/>
      <c r="C364" s="6"/>
      <c r="D364" s="6"/>
      <c r="E364" s="6"/>
      <c r="F364" s="15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3">
      <c r="A365" s="6"/>
      <c r="B365" s="6"/>
      <c r="C365" s="6"/>
      <c r="D365" s="6"/>
      <c r="E365" s="6"/>
      <c r="F365" s="15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3">
      <c r="A366" s="6"/>
      <c r="B366" s="6"/>
      <c r="C366" s="6"/>
      <c r="D366" s="6"/>
      <c r="E366" s="6"/>
      <c r="F366" s="15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3">
      <c r="A367" s="6"/>
      <c r="B367" s="6"/>
      <c r="C367" s="6"/>
      <c r="D367" s="6"/>
      <c r="E367" s="6"/>
      <c r="F367" s="15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3">
      <c r="A368" s="6"/>
      <c r="B368" s="6"/>
      <c r="C368" s="6"/>
      <c r="D368" s="6"/>
      <c r="E368" s="6"/>
      <c r="F368" s="15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3">
      <c r="A369" s="6"/>
      <c r="B369" s="6"/>
      <c r="C369" s="6"/>
      <c r="D369" s="6"/>
      <c r="E369" s="6"/>
      <c r="F369" s="15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3">
      <c r="A370" s="6"/>
      <c r="B370" s="6"/>
      <c r="C370" s="6"/>
      <c r="D370" s="6"/>
      <c r="E370" s="6"/>
      <c r="F370" s="15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3">
      <c r="A371" s="6"/>
      <c r="B371" s="6"/>
      <c r="C371" s="6"/>
      <c r="D371" s="6"/>
      <c r="E371" s="6"/>
      <c r="F371" s="15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3">
      <c r="A372" s="6"/>
      <c r="B372" s="6"/>
      <c r="C372" s="6"/>
      <c r="D372" s="6"/>
      <c r="E372" s="6"/>
      <c r="F372" s="15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3">
      <c r="A373" s="6"/>
      <c r="B373" s="6"/>
      <c r="C373" s="6"/>
      <c r="D373" s="6"/>
      <c r="E373" s="6"/>
      <c r="F373" s="15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3">
      <c r="A374" s="6"/>
      <c r="B374" s="6"/>
      <c r="C374" s="6"/>
      <c r="D374" s="6"/>
      <c r="E374" s="6"/>
      <c r="F374" s="15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3">
      <c r="A375" s="6"/>
      <c r="B375" s="6"/>
      <c r="C375" s="6"/>
      <c r="D375" s="6"/>
      <c r="E375" s="6"/>
      <c r="F375" s="15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3">
      <c r="A376" s="6"/>
      <c r="B376" s="6"/>
      <c r="C376" s="6"/>
      <c r="D376" s="6"/>
      <c r="E376" s="6"/>
      <c r="F376" s="15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3">
      <c r="A377" s="6"/>
      <c r="B377" s="6"/>
      <c r="C377" s="6"/>
      <c r="D377" s="6"/>
      <c r="E377" s="6"/>
      <c r="F377" s="15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3">
      <c r="A378" s="6"/>
      <c r="B378" s="6"/>
      <c r="C378" s="6"/>
      <c r="D378" s="6"/>
      <c r="E378" s="6"/>
      <c r="F378" s="15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3">
      <c r="A379" s="6"/>
      <c r="B379" s="6"/>
      <c r="C379" s="6"/>
      <c r="D379" s="6"/>
      <c r="E379" s="6"/>
      <c r="F379" s="15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3">
      <c r="A380" s="6"/>
      <c r="B380" s="6"/>
      <c r="C380" s="6"/>
      <c r="D380" s="6"/>
      <c r="E380" s="6"/>
      <c r="F380" s="15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3">
      <c r="A381" s="6"/>
      <c r="B381" s="6"/>
      <c r="C381" s="6"/>
      <c r="D381" s="6"/>
      <c r="E381" s="6"/>
      <c r="F381" s="15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3">
      <c r="A382" s="6"/>
      <c r="B382" s="6"/>
      <c r="C382" s="6"/>
      <c r="D382" s="6"/>
      <c r="E382" s="6"/>
      <c r="F382" s="15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3">
      <c r="A383" s="6"/>
      <c r="B383" s="6"/>
      <c r="C383" s="6"/>
      <c r="D383" s="6"/>
      <c r="E383" s="6"/>
      <c r="F383" s="15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3">
      <c r="A384" s="6"/>
      <c r="B384" s="6"/>
      <c r="C384" s="6"/>
      <c r="D384" s="6"/>
      <c r="E384" s="6"/>
      <c r="F384" s="15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3">
      <c r="A385" s="6"/>
      <c r="B385" s="6"/>
      <c r="C385" s="6"/>
      <c r="D385" s="6"/>
      <c r="E385" s="6"/>
      <c r="F385" s="15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3">
      <c r="A386" s="6"/>
      <c r="B386" s="6"/>
      <c r="C386" s="6"/>
      <c r="D386" s="6"/>
      <c r="E386" s="6"/>
      <c r="F386" s="15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3">
      <c r="A387" s="6"/>
      <c r="B387" s="6"/>
      <c r="C387" s="6"/>
      <c r="D387" s="6"/>
      <c r="E387" s="6"/>
      <c r="F387" s="15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3">
      <c r="A388" s="6"/>
      <c r="B388" s="6"/>
      <c r="C388" s="6"/>
      <c r="D388" s="6"/>
      <c r="E388" s="6"/>
      <c r="F388" s="15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3">
      <c r="A389" s="6"/>
      <c r="B389" s="6"/>
      <c r="C389" s="6"/>
      <c r="D389" s="6"/>
      <c r="E389" s="6"/>
      <c r="F389" s="15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3">
      <c r="A390" s="6"/>
      <c r="B390" s="6"/>
      <c r="C390" s="6"/>
      <c r="D390" s="6"/>
      <c r="E390" s="6"/>
      <c r="F390" s="15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3">
      <c r="A391" s="6"/>
      <c r="B391" s="6"/>
      <c r="C391" s="6"/>
      <c r="D391" s="6"/>
      <c r="E391" s="6"/>
      <c r="F391" s="15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3">
      <c r="A392" s="6"/>
      <c r="B392" s="6"/>
      <c r="C392" s="6"/>
      <c r="D392" s="6"/>
      <c r="E392" s="6"/>
      <c r="F392" s="15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3">
      <c r="A393" s="6"/>
      <c r="B393" s="6"/>
      <c r="C393" s="6"/>
      <c r="D393" s="6"/>
      <c r="E393" s="6"/>
      <c r="F393" s="15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3">
      <c r="A394" s="6"/>
      <c r="B394" s="6"/>
      <c r="C394" s="6"/>
      <c r="D394" s="6"/>
      <c r="E394" s="6"/>
      <c r="F394" s="15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3">
      <c r="A395" s="6"/>
      <c r="B395" s="6"/>
      <c r="C395" s="6"/>
      <c r="D395" s="6"/>
      <c r="E395" s="6"/>
      <c r="F395" s="15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3">
      <c r="A396" s="6"/>
      <c r="B396" s="6"/>
      <c r="C396" s="6"/>
      <c r="D396" s="6"/>
      <c r="E396" s="6"/>
      <c r="F396" s="15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3">
      <c r="A397" s="6"/>
      <c r="B397" s="6"/>
      <c r="C397" s="6"/>
      <c r="D397" s="6"/>
      <c r="E397" s="6"/>
      <c r="F397" s="15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3">
      <c r="A398" s="6"/>
      <c r="B398" s="6"/>
      <c r="C398" s="6"/>
      <c r="D398" s="6"/>
      <c r="E398" s="6"/>
      <c r="F398" s="15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3">
      <c r="A399" s="6"/>
      <c r="B399" s="6"/>
      <c r="C399" s="6"/>
      <c r="D399" s="6"/>
      <c r="E399" s="6"/>
      <c r="F399" s="15"/>
      <c r="G399" s="6"/>
      <c r="H399" s="6"/>
      <c r="I399" s="6"/>
      <c r="J399" s="6"/>
      <c r="K399" s="6"/>
      <c r="L399" s="6"/>
      <c r="M399" s="6"/>
      <c r="N399" s="6"/>
      <c r="O399" s="6"/>
    </row>
  </sheetData>
  <autoFilter ref="A1:O48" xr:uid="{00000000-0001-0000-0100-000000000000}"/>
  <dataValidations count="3">
    <dataValidation type="list" allowBlank="1" sqref="G2:G29 G32:G399" xr:uid="{00000000-0002-0000-0100-000001000000}">
      <formula1>"Statement,Question,Statement-Roll"</formula1>
    </dataValidation>
    <dataValidation type="list" allowBlank="1" sqref="G30:G31" xr:uid="{978F0CFC-32AF-4B55-9CBC-7DF8E8F9C2A9}">
      <formula1>"Statement,Question-YN,Question-MultiChoice"</formula1>
    </dataValidation>
    <dataValidation type="list" allowBlank="1" sqref="D2:D399" xr:uid="{00000000-0002-0000-0100-000000000000}">
      <formula1>"Proximity,Trade-completion,Level-reached"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Conversations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2026-08-16T17:34:37Z</dcterms:created>
  <dcterms:modified xsi:type="dcterms:W3CDTF">2026-08-24T00:13:47Z</dcterms:modified>
</cp:coreProperties>
</file>