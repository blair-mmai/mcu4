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8AABCEE6-E0E6-4BC9-BD68-16C493184F7B}"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 name="BOOKS" sheetId="3" r:id="rId3"/>
  </sheets>
  <externalReferences>
    <externalReference r:id="rId4"/>
  </externalReferences>
  <definedNames>
    <definedName name="_xlnm._FilterDatabase" localSheetId="1" hidden="1">Conversations!$A$1:$O$494</definedName>
  </definedNames>
  <calcPr calcId="191029"/>
</workbook>
</file>

<file path=xl/calcChain.xml><?xml version="1.0" encoding="utf-8"?>
<calcChain xmlns="http://schemas.openxmlformats.org/spreadsheetml/2006/main">
  <c r="L180" i="2" l="1"/>
  <c r="L229" i="2"/>
  <c r="L156" i="2"/>
  <c r="L166" i="2"/>
  <c r="L170" i="2"/>
  <c r="L224" i="2"/>
  <c r="L223" i="2"/>
  <c r="L218" i="2"/>
  <c r="L240" i="2"/>
  <c r="L239" i="2"/>
  <c r="L228" i="2"/>
  <c r="L215" i="2"/>
  <c r="L214" i="2"/>
  <c r="L206" i="2"/>
  <c r="L179" i="2"/>
  <c r="L178" i="2"/>
  <c r="L142" i="2"/>
  <c r="L141" i="2"/>
  <c r="L140" i="2"/>
  <c r="L139" i="2"/>
  <c r="I98" i="2" l="1"/>
  <c r="I97" i="2"/>
  <c r="I96"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5" i="2"/>
  <c r="I54" i="2"/>
  <c r="I53" i="2"/>
  <c r="I56"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32" i="2"/>
  <c r="L25" i="2"/>
  <c r="L24" i="2"/>
  <c r="L26" i="2"/>
  <c r="L23" i="2"/>
  <c r="C91" i="2" l="1"/>
  <c r="C83" i="2"/>
  <c r="C63" i="2"/>
  <c r="C90" i="2"/>
  <c r="C89" i="2"/>
  <c r="C81" i="2"/>
  <c r="C73" i="2"/>
  <c r="C65" i="2"/>
  <c r="C88" i="2"/>
  <c r="C80" i="2"/>
  <c r="C72" i="2"/>
  <c r="C71" i="2"/>
  <c r="C96" i="2"/>
  <c r="C95" i="2"/>
  <c r="C94" i="2"/>
  <c r="C86" i="2"/>
  <c r="C78" i="2"/>
  <c r="C70" i="2"/>
  <c r="C62" i="2"/>
  <c r="C60" i="2"/>
  <c r="C82" i="2"/>
  <c r="C58" i="2"/>
  <c r="C87" i="2"/>
  <c r="C93" i="2"/>
  <c r="C85" i="2"/>
  <c r="C77" i="2"/>
  <c r="C69" i="2"/>
  <c r="C61" i="2"/>
  <c r="C75" i="2"/>
  <c r="C59" i="2"/>
  <c r="C66" i="2"/>
  <c r="C64" i="2"/>
  <c r="C92" i="2"/>
  <c r="C84" i="2"/>
  <c r="C76" i="2"/>
  <c r="C68" i="2"/>
  <c r="C67" i="2"/>
  <c r="C74" i="2"/>
  <c r="C79" i="2"/>
  <c r="C97" i="2"/>
  <c r="C98" i="2"/>
</calcChain>
</file>

<file path=xl/sharedStrings.xml><?xml version="1.0" encoding="utf-8"?>
<sst xmlns="http://schemas.openxmlformats.org/spreadsheetml/2006/main" count="4711" uniqueCount="1443">
  <si>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</si>
  <si>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</si>
  <si>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</si>
  <si>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</si>
  <si>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</si>
  <si>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</si>
  <si>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</si>
  <si>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</si>
  <si>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</si>
  <si>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</si>
  <si>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</si>
  <si>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</si>
  <si>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</si>
  <si>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</si>
  <si>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</si>
  <si>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</si>
  <si>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</si>
  <si>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</si>
  <si>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</si>
  <si>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</si>
  <si>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</si>
  <si>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</si>
  <si>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</si>
  <si>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</si>
  <si>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</si>
  <si>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</si>
  <si>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</si>
  <si>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</si>
  <si>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</si>
  <si>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</si>
  <si>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</si>
  <si>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</si>
  <si>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</si>
  <si>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</si>
  <si>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</si>
  <si>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</si>
  <si>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</si>
  <si>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</si>
  <si>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</si>
  <si>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</si>
  <si>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</si>
  <si>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</si>
  <si>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</si>
  <si>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</si>
  <si>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</si>
  <si>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</si>
  <si>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</si>
  <si>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</si>
  <si>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</si>
  <si>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</si>
  <si>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</si>
  <si>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</si>
  <si>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</si>
  <si>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</si>
  <si>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</si>
  <si>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</si>
  <si>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</si>
  <si>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</si>
  <si>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</si>
  <si>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</si>
  <si>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</si>
  <si>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</si>
  <si>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</si>
  <si>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</si>
  <si>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</si>
  <si>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</si>
  <si>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</si>
  <si>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</si>
  <si>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</si>
  <si>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</si>
  <si>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</si>
  <si>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</si>
  <si>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</si>
  <si>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</si>
  <si>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</si>
  <si>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</si>
  <si>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</si>
  <si>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</si>
  <si>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</si>
  <si>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</si>
  <si>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</si>
  <si>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</si>
  <si>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</si>
  <si>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</si>
  <si>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</si>
  <si>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</si>
  <si>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</si>
  <si>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</si>
  <si>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</si>
  <si>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</si>
  <si>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</si>
  <si>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</si>
  <si>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</si>
  <si>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</si>
  <si>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</si>
  <si>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</si>
  <si>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</si>
  <si>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</si>
  <si>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</si>
  <si>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</si>
  <si>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</si>
  <si>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</si>
  <si>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</si>
  <si>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</si>
  <si>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</si>
  <si>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</si>
  <si>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</si>
  <si>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</si>
  <si>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</si>
  <si>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</si>
  <si>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</si>
  <si>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</si>
  <si>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</si>
  <si>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</si>
  <si>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</si>
  <si>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</si>
  <si>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</si>
  <si>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</si>
  <si>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</si>
  <si>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</si>
  <si>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</si>
  <si>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</si>
  <si>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</si>
  <si>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</si>
  <si>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</si>
  <si>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</si>
  <si>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</si>
  <si>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</si>
  <si>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</si>
  <si>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</si>
  <si>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</si>
  <si>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</si>
  <si>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</si>
  <si>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</si>
  <si>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</si>
  <si>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</si>
  <si>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</si>
  <si>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</si>
  <si>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</si>
  <si>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</si>
  <si>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</si>
  <si>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</si>
  <si>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</si>
  <si>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</si>
  <si>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</si>
  <si>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</si>
  <si>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</si>
  <si>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</si>
  <si>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</si>
  <si>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</si>
  <si>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</si>
  <si>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</si>
  <si>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</si>
  <si>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</si>
  <si>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</si>
  <si>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</si>
  <si>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</si>
  <si>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</si>
  <si>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</si>
  <si>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</si>
  <si>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</si>
  <si>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</si>
  <si>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</si>
  <si>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</si>
  <si>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</si>
  <si>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</si>
  <si>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</si>
  <si>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</si>
  <si>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</si>
  <si>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</si>
  <si>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</si>
  <si>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</si>
  <si>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</si>
  <si>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</si>
  <si>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</si>
  <si>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</si>
  <si>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</si>
  <si>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</si>
  <si>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</si>
  <si>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</si>
  <si>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</si>
  <si>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</si>
  <si>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</si>
  <si>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</si>
  <si>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</si>
  <si>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</si>
  <si>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</si>
  <si>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</si>
  <si>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</si>
  <si>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</si>
  <si>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</si>
  <si>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</si>
  <si>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</si>
  <si>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</si>
  <si>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</si>
  <si>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</si>
  <si>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</si>
  <si>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</si>
  <si>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</si>
  <si>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</si>
  <si>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</si>
  <si>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</si>
  <si>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</si>
  <si>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</si>
  <si>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</si>
  <si>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</si>
  <si>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</si>
  <si>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</si>
  <si>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</si>
  <si>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</si>
  <si>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</si>
  <si>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</si>
  <si>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</si>
  <si>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</si>
  <si>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</si>
  <si>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</si>
  <si>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</si>
  <si>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</si>
  <si>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</si>
  <si>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</si>
  <si>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</si>
  <si>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</si>
  <si>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</si>
  <si>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</si>
  <si>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</si>
  <si>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</si>
  <si>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</si>
  <si>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</si>
  <si>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</si>
  <si>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</si>
  <si>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</si>
  <si>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</si>
  <si>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</si>
  <si>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</si>
  <si>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</si>
  <si>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</si>
  <si>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</si>
  <si>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</si>
  <si>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</si>
  <si>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</si>
  <si>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</si>
  <si>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</si>
  <si>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</si>
  <si>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</si>
  <si>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</si>
  <si>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</si>
  <si>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</si>
  <si>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</si>
  <si>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</si>
  <si>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</si>
  <si>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</si>
  <si>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</si>
  <si>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</si>
  <si>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</si>
  <si>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</si>
  <si>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</si>
  <si>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</si>
  <si>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</si>
  <si>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</si>
  <si>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</si>
  <si>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</si>
  <si>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</si>
  <si>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</si>
  <si>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</si>
  <si>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</si>
  <si>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</si>
  <si>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</si>
  <si>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</si>
  <si>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</si>
  <si>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</si>
  <si>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</si>
  <si>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</si>
  <si>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</si>
  <si>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</si>
  <si>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</si>
  <si>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</si>
  <si>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</si>
  <si>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</si>
  <si>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</si>
  <si>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</si>
  <si>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</si>
  <si>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</si>
  <si>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</si>
  <si>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</si>
  <si>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</si>
  <si>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</si>
  <si>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</si>
  <si>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</si>
  <si>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</si>
  <si>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</si>
  <si>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</si>
  <si>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</si>
  <si>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</si>
  <si>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</si>
  <si>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</si>
  <si>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</si>
  <si>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</si>
  <si>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</si>
  <si>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</si>
  <si>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</si>
  <si>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</si>
  <si>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</si>
  <si>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</si>
  <si>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</si>
  <si>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</si>
  <si>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</si>
  <si>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</si>
  <si>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</si>
  <si>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</si>
  <si>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</si>
  <si>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</si>
  <si>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</si>
  <si>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</si>
  <si>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</si>
  <si>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</si>
  <si>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</si>
  <si>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</si>
  <si>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</si>
  <si>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</si>
  <si>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</si>
  <si>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</si>
  <si>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</si>
  <si>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</si>
  <si>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</si>
  <si>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</si>
  <si>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</si>
  <si>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</si>
  <si>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</si>
  <si>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</si>
  <si>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</si>
  <si>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</si>
  <si>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</si>
  <si>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</si>
  <si>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</si>
  <si>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</si>
  <si>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</si>
  <si>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</si>
  <si>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</si>
  <si>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</si>
  <si>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</si>
  <si>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</si>
  <si>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</si>
  <si>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</si>
  <si>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</si>
  <si>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</si>
  <si>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</si>
  <si>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</si>
  <si>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</si>
  <si>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</si>
  <si>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</si>
  <si>
    <t>Trinsic</t>
  </si>
  <si>
    <t>Aristotle</t>
  </si>
  <si>
    <t>Paladin</t>
  </si>
  <si>
    <t>Dignity</t>
  </si>
  <si>
    <t>Honor no one, but honor itself!</t>
  </si>
  <si>
    <t>Aristotle: Honor no one, but honor itself!</t>
  </si>
  <si>
    <t>Honor!</t>
  </si>
  <si>
    <t>Dignity is deserved, not possessed.</t>
  </si>
  <si>
    <t>Aristotle: Dignity consists not in possessing honors, but in deserving them.</t>
  </si>
  <si>
    <t>My passion?</t>
  </si>
  <si>
    <t>I search for honor.</t>
  </si>
  <si>
    <t>Aristotle: I search for honor.</t>
  </si>
  <si>
    <t>You see..</t>
  </si>
  <si>
    <t>A dignified paladin.</t>
  </si>
  <si>
    <t>Aristotle: A dignified paladin.</t>
  </si>
  <si>
    <t>Welcome!</t>
  </si>
  <si>
    <t>Kline</t>
  </si>
  <si>
    <t>The mantra..?</t>
  </si>
  <si>
    <t>Our mantra's INTRINSIC to our CODE!</t>
  </si>
  <si>
    <t>Kline: Our mantra's INTRINSIC to our CODE of honor!</t>
  </si>
  <si>
    <t>The rune..?</t>
  </si>
  <si>
    <t>A man named Winthrop knows of the rune!</t>
  </si>
  <si>
    <t>Kline: A man named Winthrop knows of the rune!</t>
  </si>
  <si>
    <t>Lexington</t>
  </si>
  <si>
    <t>Warlord</t>
  </si>
  <si>
    <t>The solving of quests brings ye honor!</t>
  </si>
  <si>
    <t>Lexington: The solving of quests brings ye honor!</t>
  </si>
  <si>
    <t>Triggers question below</t>
  </si>
  <si>
    <t>Rigmore</t>
  </si>
  <si>
    <t>Honor?</t>
  </si>
  <si>
    <t>Wisdom on honor is found here.</t>
  </si>
  <si>
    <t>Rigmore: Wisdom on the virtue of honor is found throughout this towne.</t>
  </si>
  <si>
    <t>Rigmore: Good day, Stranger. You look weary! Rest at our inn!</t>
  </si>
  <si>
    <t>A strong paladin.</t>
  </si>
  <si>
    <t>Rigmore: A strong paladin.</t>
  </si>
  <si>
    <t>Well met!</t>
  </si>
  <si>
    <t>Yes, welcome to Trinsic: Town of Honor!</t>
  </si>
  <si>
    <t>Rigmore: Yes, welcome to Trinsic: Town of Honor!</t>
  </si>
  <si>
    <t>Reworded from dup "Welcome!"</t>
  </si>
  <si>
    <t>Enter and find thy path.</t>
  </si>
  <si>
    <t>Rigmore: Enter and find thy path.</t>
  </si>
  <si>
    <t>Fires after "Honor?" line</t>
  </si>
  <si>
    <t>Swindrik</t>
  </si>
  <si>
    <t>Wizard</t>
  </si>
  <si>
    <t>Terrin</t>
  </si>
  <si>
    <t>A skeleton!</t>
  </si>
  <si>
    <t>A scared, cowering nitwit</t>
  </si>
  <si>
    <t>Terrin: A scared, cowering nitwit</t>
  </si>
  <si>
    <t>Buried SOUTHEAST, in the MAZE.</t>
  </si>
  <si>
    <t>Winthrop</t>
  </si>
  <si>
    <t>Merchant</t>
  </si>
  <si>
    <t>I trade in rumors.</t>
  </si>
  <si>
    <t>Winthrop: I trade in rumors.</t>
  </si>
  <si>
    <t>A scruffy merchant.</t>
  </si>
  <si>
    <t>Winthrop: A scruffy merchant.</t>
  </si>
  <si>
    <t>Rumors?</t>
  </si>
  <si>
    <t>That crazy maze is worth investigating…</t>
  </si>
  <si>
    <t>Winthrop: I heard that crazy maze is worth investigating…</t>
  </si>
  <si>
    <t>Ah, the rune...</t>
  </si>
  <si>
    <t>A nitwit named Terrin knew of it.</t>
  </si>
  <si>
    <t>Winthrop: There is a nitwit who knew named... Terrin.</t>
  </si>
  <si>
    <t>Fires after "Ah, the rune..." line</t>
  </si>
  <si>
    <t>Good day, weary Stranger! Rest at our inn!</t>
  </si>
  <si>
    <t>Rigmore: Then this is the wrong place for you!</t>
  </si>
  <si>
    <t>Then this is the wrong place for you!</t>
  </si>
  <si>
    <t>Dost thou seek to know honor?</t>
  </si>
  <si>
    <t>The reagents matter!</t>
  </si>
  <si>
    <t>Ask at the Folley tavern in Yew of crimson fungus.</t>
  </si>
  <si>
    <t>Swindrik: Ask at the Folley tavern in Yew of crimson fungus.</t>
  </si>
  <si>
    <t>I brew potions of great power.</t>
  </si>
  <si>
    <t>Swindrik: I brew potions of great power.</t>
  </si>
  <si>
    <t>Dost thou know Terrin?</t>
  </si>
  <si>
    <t>Winthrop: Ask Terrin of the rune.</t>
  </si>
  <si>
    <t>Ask Terrin of the rune.</t>
  </si>
  <si>
    <t>Find Terrin and ask of the rune!</t>
  </si>
  <si>
    <t>Winthrop: Find Terrin and ask of the rune!</t>
  </si>
  <si>
    <t>I was in the maze…</t>
  </si>
  <si>
    <t>Looking for the rune, but I found a skeleton!</t>
  </si>
  <si>
    <t>Terrin: In the maze I sought the rune but found a skeleton!</t>
  </si>
  <si>
    <t>3 Blocks</t>
  </si>
  <si>
    <t>Terrin: I saw a BIG skeleton...with a sword!</t>
  </si>
  <si>
    <t>I saw a BIG skeleton...with a sword!</t>
  </si>
  <si>
    <t>Kline: I'm inclined to think the rune is "magentic."</t>
  </si>
  <si>
    <t>I'm inclined to think the rune is "magentic."</t>
  </si>
  <si>
    <t>Our rune's color?</t>
  </si>
  <si>
    <t>Rune colors</t>
  </si>
  <si>
    <t>Kline: I've noticed runes match their virtue's color.</t>
  </si>
  <si>
    <t>In my travels, I've noticed runes match their virtue's color.</t>
  </si>
  <si>
    <t>Jean</t>
  </si>
  <si>
    <t>Jumar</t>
  </si>
  <si>
    <t>Terran</t>
  </si>
  <si>
    <t>Zajac</t>
  </si>
  <si>
    <t>Seeking Weapons?</t>
  </si>
  <si>
    <t>Seeking Armorer?</t>
  </si>
  <si>
    <t>Welcome</t>
  </si>
  <si>
    <t>Thirsty, Stranger?</t>
  </si>
  <si>
    <t>I am the Proprietor of Duelling Weapons.</t>
  </si>
  <si>
    <t>I am the Proprietor of Duelling Armour.</t>
  </si>
  <si>
    <t>I am the Proprietor of the Honorable Inn.</t>
  </si>
  <si>
    <t>I am the Proprietor of The Keg Tap.</t>
  </si>
  <si>
    <t>Rent a room for 5 gold?</t>
  </si>
  <si>
    <t>Spending well-earned money embues honor.</t>
  </si>
  <si>
    <t>Zajac: Hm. Spending well-earned money embues Honor.</t>
  </si>
  <si>
    <t>Zajac: We offer a free bed for the poor.</t>
  </si>
  <si>
    <t>Still, we offer a free bed for the poor.</t>
  </si>
  <si>
    <t>Powerful potions</t>
  </si>
  <si>
    <t>Teleport Potions</t>
  </si>
  <si>
    <t>Swindrik: Teleporting needs redstone or chorus fruit.</t>
  </si>
  <si>
    <t>Both redstone and chorus fruit can be used.</t>
  </si>
  <si>
    <t>Town Potions</t>
  </si>
  <si>
    <t>Symbolic Reagent</t>
  </si>
  <si>
    <t>Every potion has a symbolic ingredient.</t>
  </si>
  <si>
    <t>Swindrik: Every potion has a symbolic ingredient.</t>
  </si>
  <si>
    <t>Every town has a moongate potion.</t>
  </si>
  <si>
    <t>Swindrik: Every town has a moongate potion.</t>
  </si>
  <si>
    <t>A tall wizard reading om potions.</t>
  </si>
  <si>
    <t>Swindrik: A tall wizard reading on potions.</t>
  </si>
  <si>
    <t>Do you read up on potions?</t>
  </si>
  <si>
    <t>Terrin of Trinsic</t>
  </si>
  <si>
    <t xml:space="preserve">FARM YOUR OWN FUNGI 
By: Terrin of Trinsic
Everybody who has lived in a spider hole has appreciated the easy care of fungi at one point of their miserable lives.
Mushrooms just need
some dirt n' darkness to be planted.  But for best results....    --&gt;  </t>
  </si>
  <si>
    <t>FARM YOUR OWN FUNGI</t>
  </si>
  <si>
    <t>Author</t>
  </si>
  <si>
    <t>Book Title</t>
  </si>
  <si>
    <t>Page: 1</t>
  </si>
  <si>
    <t>Terrin: I heard it is buried in the SOUTHEAST corner of towne.</t>
  </si>
  <si>
    <t>...all the better, as mushrooms love to grow in that stuff.
But, regardless, in your dirt cave plant a mushroom...and wait. 
Or, if you're impatient then just jam that sucker with bonemeal and it should grow super big and mighty in no time!  Good luck!</t>
  </si>
  <si>
    <t>...name it. Mine's Doug. :) 
You can also grow.  
giant mushrooms. This requires some extra work but it pays off!
First, dig out a giant underground cavern lined with dirt and with very low lighting.
If you have mycelium rather than dirt... --&gt;</t>
  </si>
  <si>
    <t>Doug and I dug!</t>
  </si>
  <si>
    <t>Doug and I dug this shelter - FAST.</t>
  </si>
  <si>
    <t>Terrin: Doug and I dug this shelter - FAST.</t>
  </si>
  <si>
    <t>Swindrik: You must read to use moongates!</t>
  </si>
  <si>
    <t>You must read if you are to use the moongates!</t>
  </si>
  <si>
    <t>Well, you can always walk.</t>
  </si>
  <si>
    <t>Swindrik: Well, you can always walk.</t>
  </si>
  <si>
    <t>Triggers question about reading on potions</t>
  </si>
  <si>
    <t>Opens up after L1 gating trade for 5 gold nuggets.</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</si>
  <si>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</si>
  <si>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TELEPORT PORTIONS</t>
  </si>
  <si>
    <t>FULL BOOK</t>
  </si>
  <si>
    <t>Questing, farming…and parkour...</t>
  </si>
  <si>
    <t>Lexington: Questing, farming…and parkour...</t>
  </si>
  <si>
    <t>A very fit, energetic paladin.</t>
  </si>
  <si>
    <t>Lexington: A very fit, energetic paladin.</t>
  </si>
  <si>
    <t>Quests: huzzah!</t>
  </si>
  <si>
    <t>Hobbies: huzzah!</t>
  </si>
  <si>
    <t>Crouch at dawn!</t>
  </si>
  <si>
    <t>Kline: Crouch at dawn with rune to enlighten in Honor!</t>
  </si>
  <si>
    <t>..And there with a rune be enlightened in Honor!</t>
  </si>
  <si>
    <t>Do you know how to meditate?</t>
  </si>
  <si>
    <t>Good.  Practice often.</t>
  </si>
  <si>
    <t>Lexington: Good.  Practice often.</t>
  </si>
  <si>
    <t>Crouch with a rune and 'tellraw' your mantra.</t>
  </si>
  <si>
    <t>Lexington: Crouch with a rune and 'tellraw' your mantra.</t>
  </si>
  <si>
    <t>Lexington: One must meditate at a stone circle at dawn!</t>
  </si>
  <si>
    <t>One must meditate at a stone circle at dawn!</t>
  </si>
  <si>
    <t>I teach ENLIGHTENMENT!</t>
  </si>
  <si>
    <t>Fires after "I teach Enlightenment"</t>
  </si>
  <si>
    <t>My name SWEN is an acronym for NEWS.  Or, NESW…</t>
  </si>
  <si>
    <t>Swen: My name SWEN is an acronym for NEWS. Or, NESW…</t>
  </si>
  <si>
    <t>Yew</t>
  </si>
  <si>
    <t>Minoc</t>
  </si>
  <si>
    <t>Magincia</t>
  </si>
  <si>
    <t>Lycaeum</t>
  </si>
  <si>
    <t>Beth Frasier</t>
  </si>
  <si>
    <t>Ruler</t>
  </si>
  <si>
    <t>Well.</t>
  </si>
  <si>
    <t>Beth Frasier: Well.</t>
  </si>
  <si>
    <t>I rule with my Lord.</t>
  </si>
  <si>
    <t>Beth Frasier: I rule with my Lord.</t>
  </si>
  <si>
    <t>A charming lady</t>
  </si>
  <si>
    <t>Beth Frasier: A charming lady.</t>
  </si>
  <si>
    <t>On ruling</t>
  </si>
  <si>
    <t>We just got new wainscotting.</t>
  </si>
  <si>
    <t>Beth Frasier: We just got the new wainscotting. It's OK. We wallpapered over that hole.</t>
  </si>
  <si>
    <t>On truth</t>
  </si>
  <si>
    <t>We live truth to the fullest!</t>
  </si>
  <si>
    <t>Beth Frasier: Our people believe in truth as a way of life and live it to the fullest!</t>
  </si>
  <si>
    <t>Dost thou seek truth?</t>
  </si>
  <si>
    <t>Then may thou find it!</t>
  </si>
  <si>
    <t>Beth Frasier: Then may thou find it!</t>
  </si>
  <si>
    <t>Fires after "On truth"</t>
  </si>
  <si>
    <t>Then thou shalt not find it!</t>
  </si>
  <si>
    <t>Beth Frasier: Then thou shalt not find it!</t>
  </si>
  <si>
    <t>Estro</t>
  </si>
  <si>
    <t>Researcher</t>
  </si>
  <si>
    <t>Why I am fine, you too I hope.</t>
  </si>
  <si>
    <t>Research</t>
  </si>
  <si>
    <t>A short druid</t>
  </si>
  <si>
    <t>I am looking for the book of justice!</t>
  </si>
  <si>
    <t>Hast thou never committed any crime!?</t>
  </si>
  <si>
    <t>I believe thou art boasting a lie!</t>
  </si>
  <si>
    <t>Fires after "Still looking"</t>
  </si>
  <si>
    <t>Then speak to the judge in Yew!</t>
  </si>
  <si>
    <t>Father Antos</t>
  </si>
  <si>
    <t>Druid</t>
  </si>
  <si>
    <t>Old and frail, I've seen many quests!</t>
  </si>
  <si>
    <t>Father Antos: Old and frail, I've seen many quests!</t>
  </si>
  <si>
    <t>I hold great knowledge.</t>
  </si>
  <si>
    <t>Father Antos: I hold great knowledge.</t>
  </si>
  <si>
    <t>What is it you seek?</t>
  </si>
  <si>
    <t>Father Antos: What is it you seek?</t>
  </si>
  <si>
    <t>An old druid, strangely familiar.</t>
  </si>
  <si>
    <t>Father Antos: An old druid, who looks strangely familiar.</t>
  </si>
  <si>
    <t>The book</t>
  </si>
  <si>
    <t>Seek the book of truth in the 4th Stack.</t>
  </si>
  <si>
    <t>Father Antos: Seek ye the book of truth where other books lie...in the 4th Stack.</t>
  </si>
  <si>
    <t>Art thou on the quest?</t>
  </si>
  <si>
    <t>May thou succeed!</t>
  </si>
  <si>
    <t>Father Antos: May thou succeed!</t>
  </si>
  <si>
    <t>Fires after "The book"</t>
  </si>
  <si>
    <t>Oh.</t>
  </si>
  <si>
    <t>Father Antos: Oh.</t>
  </si>
  <si>
    <t>Lord Terence</t>
  </si>
  <si>
    <t>I am well.</t>
  </si>
  <si>
    <t>I am the librarian.</t>
  </si>
  <si>
    <t>Lord Terence: I am the librarian.</t>
  </si>
  <si>
    <t>The Lycaeum</t>
  </si>
  <si>
    <t>Largest store of knowledge but the codex!</t>
  </si>
  <si>
    <t>Lord Terence: Herein is the largest store of knowledge except the codex!</t>
  </si>
  <si>
    <t>A tall agile man</t>
  </si>
  <si>
    <t>Lord Terence: A tall agile man.</t>
  </si>
  <si>
    <t>Art thou looking for a particular book?</t>
  </si>
  <si>
    <t>Which book?</t>
  </si>
  <si>
    <t>Lord Terence: Which book?</t>
  </si>
  <si>
    <t>Fires after "On 'truth'"</t>
  </si>
  <si>
    <t>Feel free to browse.</t>
  </si>
  <si>
    <t>Lord Terence: Feel free to browse.</t>
  </si>
  <si>
    <t>Nigel</t>
  </si>
  <si>
    <t>Good enough.</t>
  </si>
  <si>
    <t>Nigel: Good enough.</t>
  </si>
  <si>
    <t>I teach magical spells.</t>
  </si>
  <si>
    <t>Nigel: I teach magical spells.</t>
  </si>
  <si>
    <t>A noble wizard</t>
  </si>
  <si>
    <t>Nigel: A noble wizard.</t>
  </si>
  <si>
    <t>I have a specialty!</t>
  </si>
  <si>
    <t>Nigel: I have a specialty!</t>
  </si>
  <si>
    <t>Resurrection</t>
  </si>
  <si>
    <t>Ash, ginseng, garlic, silk, bloodmoss, mandrake!</t>
  </si>
  <si>
    <t>Nigel: Yes, resurrection it takes ash, ginseng, garlic, silk, bloodmoss, and mandrake!</t>
  </si>
  <si>
    <t>Dost thou know what it is?</t>
  </si>
  <si>
    <t>Fires after "Resurrection"</t>
  </si>
  <si>
    <t>Robert Frasier</t>
  </si>
  <si>
    <t>I rule this province.</t>
  </si>
  <si>
    <t>Robert Frasier: I rule this province.</t>
  </si>
  <si>
    <t>A stately baron</t>
  </si>
  <si>
    <t>Robert Frasier: A stately baron.</t>
  </si>
  <si>
    <t>Ask my Lady Beth of our wainscotting!</t>
  </si>
  <si>
    <t>Robert Frasier: My Lady Beth can tell thee more about our wainscotting!</t>
  </si>
  <si>
    <t>The word</t>
  </si>
  <si>
    <t>I know but one of three syllables.</t>
  </si>
  <si>
    <t>Robert Frasier: I know but one of three syllables.</t>
  </si>
  <si>
    <t>Dost thou wish to know it now?</t>
  </si>
  <si>
    <t>It is 'ver'! Seek ye now the other parts!</t>
  </si>
  <si>
    <t>Robert Frasier: It is 'ver'! Seek ye now the other parts!</t>
  </si>
  <si>
    <t>Fires after "The word"</t>
  </si>
  <si>
    <t>Perhaps another time.</t>
  </si>
  <si>
    <t>Robert Frasier: Perhaps another time.</t>
  </si>
  <si>
    <t>Scatuu</t>
  </si>
  <si>
    <t>Mage</t>
  </si>
  <si>
    <t>Well!</t>
  </si>
  <si>
    <t>Scatuu: Well!</t>
  </si>
  <si>
    <t>I advise.</t>
  </si>
  <si>
    <t>Scatuu: I advise.</t>
  </si>
  <si>
    <t>A tall mage in strange armour.</t>
  </si>
  <si>
    <t>Scatuu: A tall mage wearing strange armour.</t>
  </si>
  <si>
    <t>I wear mystic armour.</t>
  </si>
  <si>
    <t>Scatuu: I wear mystic armour.</t>
  </si>
  <si>
    <t>Thou would be advised to visit the Seer often!</t>
  </si>
  <si>
    <t>Scatuu: Thou would be well advised to visit the Seer often!</t>
  </si>
  <si>
    <t>Art thou a partial avatar?</t>
  </si>
  <si>
    <t>When thou art 8 parts avatar, seek Zircon in Minoc and ask of mystics!</t>
  </si>
  <si>
    <t>Scatuu: When thou art 8 parts avatar, seek Zircon in Minoc and ask of mystics!</t>
  </si>
  <si>
    <t>Alas.</t>
  </si>
  <si>
    <t>Shylock the Meek</t>
  </si>
  <si>
    <t>Beggar</t>
  </si>
  <si>
    <t>I am cold and sick! oh... please...</t>
  </si>
  <si>
    <t>Shylock the Meek: I am cold and sick! oh... please...</t>
  </si>
  <si>
    <t>I sit and beg oh... please...</t>
  </si>
  <si>
    <t>Shylock the Meek: I sit and beg oh... please...</t>
  </si>
  <si>
    <t>A pitiful beggar</t>
  </si>
  <si>
    <t>Shylock the Meek: A pitiful beggar.</t>
  </si>
  <si>
    <t>I have the black plague!</t>
  </si>
  <si>
    <t>Shylock the Meek: I have the black plague!</t>
  </si>
  <si>
    <t>Yes, please give me money! oh... please...</t>
  </si>
  <si>
    <t>Shylock the Meek: Yes, please give me money! oh... please...</t>
  </si>
  <si>
    <t>Wilt thou help me? Oh... please...</t>
  </si>
  <si>
    <t>Oh... please...</t>
  </si>
  <si>
    <t>Shylock the Meek: Oh... please...</t>
  </si>
  <si>
    <t>Tymus</t>
  </si>
  <si>
    <t>Very well, thanks!</t>
  </si>
  <si>
    <t>Tymus: Very well, thanks!</t>
  </si>
  <si>
    <t>To welcome thee!</t>
  </si>
  <si>
    <t>Tymus: To welcome thee!</t>
  </si>
  <si>
    <t>A stately wizard</t>
  </si>
  <si>
    <t>Tymus: A stately wizard.</t>
  </si>
  <si>
    <t>Welcome to the Lycaeum, keep of truth!</t>
  </si>
  <si>
    <t>Tymus: Yes, welcome to the Lycaeum, the keep of truth!</t>
  </si>
  <si>
    <t>The altars</t>
  </si>
  <si>
    <t>The dungeon altar rooms need 4 stones each!</t>
  </si>
  <si>
    <t>Tymus: The dungeon altar rooms need 4 stones each!</t>
  </si>
  <si>
    <t>Know ye how many cities follow truth?</t>
  </si>
  <si>
    <t>Fires after "The altars"</t>
  </si>
  <si>
    <t>Travel and learn!</t>
  </si>
  <si>
    <t>Tymus: Travel and learn!</t>
  </si>
  <si>
    <t>Starfire</t>
  </si>
  <si>
    <t>Healer</t>
  </si>
  <si>
    <t>Statement (single-line)</t>
  </si>
  <si>
    <t>Proprietor of The Truth Healer</t>
  </si>
  <si>
    <t>Starfire: Proprietor of The Truth Healer.</t>
  </si>
  <si>
    <t>Role</t>
  </si>
  <si>
    <t>Health</t>
  </si>
  <si>
    <t>Duty</t>
  </si>
  <si>
    <t>Work</t>
  </si>
  <si>
    <t>The quest</t>
  </si>
  <si>
    <t>Knowledge</t>
  </si>
  <si>
    <t>A question</t>
  </si>
  <si>
    <t>Teaching</t>
  </si>
  <si>
    <t>Specialty</t>
  </si>
  <si>
    <t>Counsel</t>
  </si>
  <si>
    <t>Armour</t>
  </si>
  <si>
    <t>Advice</t>
  </si>
  <si>
    <t>Triggers question below (no source "---&gt;" marker on any Scatuu row — I picked this line; confirm)</t>
  </si>
  <si>
    <t>Fires after "Advice"</t>
  </si>
  <si>
    <t>Begging</t>
  </si>
  <si>
    <t>Illness</t>
  </si>
  <si>
    <t>The plea</t>
  </si>
  <si>
    <t>Fires after "The plea"</t>
  </si>
  <si>
    <t>It's RECALL. To resurrect the recently dead.</t>
  </si>
  <si>
    <t>That's right. It's RECALL.</t>
  </si>
  <si>
    <t>That's right. A BUNCH. I, ahem, know too.</t>
  </si>
  <si>
    <t>Faultless</t>
  </si>
  <si>
    <t>Ghost</t>
  </si>
  <si>
    <t>The hanging</t>
  </si>
  <si>
    <t>I was hung for my sin of pride!</t>
  </si>
  <si>
    <t>Faultless: I was hung for my sin of pride!</t>
  </si>
  <si>
    <t>Been better.</t>
  </si>
  <si>
    <t>Faultless: Been better.</t>
  </si>
  <si>
    <t>Oh, I just hang around!</t>
  </si>
  <si>
    <t>Faultless: Oh, I just hang around!</t>
  </si>
  <si>
    <t>A tall ghost</t>
  </si>
  <si>
    <t>Faultless: A tall ghost.</t>
  </si>
  <si>
    <t>The mantra</t>
  </si>
  <si>
    <t>Antithesis of humility, is 'MUL'.</t>
  </si>
  <si>
    <t>Faultless: The mantra for pride, being the antithesis of humility, is 'MUL'.</t>
  </si>
  <si>
    <t>Art thou proud?</t>
  </si>
  <si>
    <t>Fires after "The mantra"</t>
  </si>
  <si>
    <t>Heywood</t>
  </si>
  <si>
    <t>On pride</t>
  </si>
  <si>
    <t>Pride goeth before, shame cometh after!</t>
  </si>
  <si>
    <t>Heywood: Pride goeth before, shame cometh after!</t>
  </si>
  <si>
    <t>As well as can be expected.</t>
  </si>
  <si>
    <t>Heywood: As well as can be expected.</t>
  </si>
  <si>
    <t>Heywood: A tall ghost.</t>
  </si>
  <si>
    <t>Faultless knows the mantra, ask him!</t>
  </si>
  <si>
    <t>Heywood: Faultless knows the mantra of pride ask him!</t>
  </si>
  <si>
    <t>Thou shalt find shame!</t>
  </si>
  <si>
    <t>Heywood: Thou shalt find shame!</t>
  </si>
  <si>
    <t>A proud soul surely knows not its worth!</t>
  </si>
  <si>
    <t>Heywood: A proud soul surely knows not its worth!</t>
  </si>
  <si>
    <t>Katrina</t>
  </si>
  <si>
    <t>A shepherd</t>
  </si>
  <si>
    <t>Katrina: A shepherd.</t>
  </si>
  <si>
    <t>The fall</t>
  </si>
  <si>
    <t>Magincia was destroyed by its pride.</t>
  </si>
  <si>
    <t>Katrina: Magincia was destroyed by its pride.</t>
  </si>
  <si>
    <t>Flourishes without truth, love, courage.</t>
  </si>
  <si>
    <t>Katrina: Pride flourishes in the absence of truth, love and courage.</t>
  </si>
  <si>
    <t>Fires after "On pride"</t>
  </si>
  <si>
    <t>Nate the Snake</t>
  </si>
  <si>
    <t>Viper</t>
  </si>
  <si>
    <t>Bloodthirsty!</t>
  </si>
  <si>
    <t>Nate: Bloodthirsty!</t>
  </si>
  <si>
    <t>I bring death to all life in Magincia!</t>
  </si>
  <si>
    <t>Nate: I bring death to all life in Magincia!</t>
  </si>
  <si>
    <t>A mean looking viper!</t>
  </si>
  <si>
    <t>Nate: A mean looking viper!</t>
  </si>
  <si>
    <t>The rune</t>
  </si>
  <si>
    <t>Rune of humility was banished. Ask Barren.</t>
  </si>
  <si>
    <t>Nate: The sacred rune of humility was banished from this city. Ask Barren in Paws!</t>
  </si>
  <si>
    <t>The stone</t>
  </si>
  <si>
    <t>Seek the black stone at the pub in Britain!</t>
  </si>
  <si>
    <t>Nate: Those who seek the black stone need ask at the pub in Britain!</t>
  </si>
  <si>
    <t>No question in source data — flavor only</t>
  </si>
  <si>
    <t>Virtuebane</t>
  </si>
  <si>
    <t>Devil</t>
  </si>
  <si>
    <t>Devilish!</t>
  </si>
  <si>
    <t>Virtuebane: Devilish!</t>
  </si>
  <si>
    <t>A horrible ghastly devil!</t>
  </si>
  <si>
    <t>Good!</t>
  </si>
  <si>
    <t>Fires after "The fall"</t>
  </si>
  <si>
    <t>Not good. Pride is a grave sin!</t>
  </si>
  <si>
    <t>Good. Pride is evil's favorite sin!</t>
  </si>
  <si>
    <t>She looks like..</t>
  </si>
  <si>
    <t>Undo that or your efforts are meaningless.</t>
  </si>
  <si>
    <t>Good! Welcome to Hell.</t>
  </si>
  <si>
    <t>My job…?</t>
  </si>
  <si>
    <t>My health..?</t>
  </si>
  <si>
    <t>Magincia's Fall</t>
  </si>
  <si>
    <t>Our virtue was ill-placed in pride!</t>
  </si>
  <si>
    <t>You sense…</t>
  </si>
  <si>
    <t>Virtuebane: You sense a horrible ghastly devil!</t>
  </si>
  <si>
    <t>Virtuebane: I welcome thee to Magincia! Proud city of the high seasss!</t>
  </si>
  <si>
    <t>Welcome to Magincia! Proud city of the seasss.</t>
  </si>
  <si>
    <t>Ah, well.  Sinners are the best winnersss…</t>
  </si>
  <si>
    <t>Virtuebane: Magincia fell unto the realm of darkness due to its virtue ill-placed in pride!</t>
  </si>
  <si>
    <t>My job here…?</t>
  </si>
  <si>
    <t>I haunt eternally.</t>
  </si>
  <si>
    <t>Why am I here?</t>
  </si>
  <si>
    <t>I practice humility by meditating here.</t>
  </si>
  <si>
    <t>She looks like a worn-out survivor.</t>
  </si>
  <si>
    <t>The book you seek is in ...(4,8)-something…</t>
  </si>
  <si>
    <t>We have a card catalogue, y'know.,,!</t>
  </si>
  <si>
    <t>Let me see…</t>
  </si>
  <si>
    <t>You seek a book?</t>
  </si>
  <si>
    <t>Azure</t>
  </si>
  <si>
    <t>Tinker</t>
  </si>
  <si>
    <t>O.K.</t>
  </si>
  <si>
    <t>Azure: O.K.</t>
  </si>
  <si>
    <t>I carve runes.</t>
  </si>
  <si>
    <t>Azure: I carve runes.</t>
  </si>
  <si>
    <t>A tinker at the table</t>
  </si>
  <si>
    <t>Azure: A tinker at the table.</t>
  </si>
  <si>
    <t>The runes</t>
  </si>
  <si>
    <t>A secret</t>
  </si>
  <si>
    <t>Ask my sister, Mischief.</t>
  </si>
  <si>
    <t>Azure: Ask my sister, Mischief.</t>
  </si>
  <si>
    <t>Fires after "A secret"</t>
  </si>
  <si>
    <t>Bob the Beggar</t>
  </si>
  <si>
    <t>I am very sick, help me!</t>
  </si>
  <si>
    <t>Bob the Beggar: I am very sick, help me!</t>
  </si>
  <si>
    <t>The need</t>
  </si>
  <si>
    <t>I need money to cure my sickness.</t>
  </si>
  <si>
    <t>Bob the Beggar: I need money to cure my sickness.</t>
  </si>
  <si>
    <t>I have none, help me.</t>
  </si>
  <si>
    <t>Bob the Beggar: I have none, help me.</t>
  </si>
  <si>
    <t>A sickly little man</t>
  </si>
  <si>
    <t>Bob the Beggar: A sickly little man.</t>
  </si>
  <si>
    <t>I have terminal leg rot.</t>
  </si>
  <si>
    <t>Bob the Beggar: I have terminal leg rot.</t>
  </si>
  <si>
    <t>Hast thou any money?</t>
  </si>
  <si>
    <t>Then please share it with me!</t>
  </si>
  <si>
    <t>Bob the Beggar: Then please share it with me!</t>
  </si>
  <si>
    <t>Fires after "Illness"</t>
  </si>
  <si>
    <t>Then join me and we can beg together!</t>
  </si>
  <si>
    <t>Bob the Beggar: Then join me and we can beg together!</t>
  </si>
  <si>
    <t>Damon</t>
  </si>
  <si>
    <t>Fine.</t>
  </si>
  <si>
    <t>Damon: Fine.</t>
  </si>
  <si>
    <t>I stand here and think.</t>
  </si>
  <si>
    <t>Damon: I stand here and think.</t>
  </si>
  <si>
    <t>A meek shepherd</t>
  </si>
  <si>
    <t>Damon: A meek shepherd.</t>
  </si>
  <si>
    <t>Musing</t>
  </si>
  <si>
    <t>Oh, just about things.</t>
  </si>
  <si>
    <t>Damon: Oh, just about things.</t>
  </si>
  <si>
    <t>Well I hope so!</t>
  </si>
  <si>
    <t>Damon: Well I hope so!</t>
  </si>
  <si>
    <t>Gimble</t>
  </si>
  <si>
    <t>I suffer from a tsetse byte!</t>
  </si>
  <si>
    <t>Gimble: I suffer from a tsetse byte!</t>
  </si>
  <si>
    <t>I am barely conscious.</t>
  </si>
  <si>
    <t>Gimble: I am barely conscious.</t>
  </si>
  <si>
    <t>A fading man</t>
  </si>
  <si>
    <t>Gimble: A fading man.</t>
  </si>
  <si>
    <t>I will soon sleep forever.</t>
  </si>
  <si>
    <t>Gimble: I will soon sleep forever.</t>
  </si>
  <si>
    <t>Could thou spare a gold piece for a last drink?</t>
  </si>
  <si>
    <t>Remember Azure knows of the rune!</t>
  </si>
  <si>
    <t>Gimble: Remember Azure knows of the rune!</t>
  </si>
  <si>
    <t>I am saddened.</t>
  </si>
  <si>
    <t>Gimble: I am saddened.</t>
  </si>
  <si>
    <t>Jude</t>
  </si>
  <si>
    <t>Ragged Soul</t>
  </si>
  <si>
    <t>Ailing.</t>
  </si>
  <si>
    <t>Jude: Ailing.</t>
  </si>
  <si>
    <t>To redeem myself!</t>
  </si>
  <si>
    <t>Jude: To redeem myself!</t>
  </si>
  <si>
    <t>A ragged soul</t>
  </si>
  <si>
    <t>Jude: A ragged soul.</t>
  </si>
  <si>
    <t>The sin</t>
  </si>
  <si>
    <t>I will not speak of my sin!</t>
  </si>
  <si>
    <t>Jude: I will not speak of my sin!</t>
  </si>
  <si>
    <t>The skull</t>
  </si>
  <si>
    <t>I used it!</t>
  </si>
  <si>
    <t>Jude: I used it!</t>
  </si>
  <si>
    <t>Swear to destroy it at the mouth of the abyss?</t>
  </si>
  <si>
    <t>It can be found at lat-P'F" long-M'F" on the darkest night!</t>
  </si>
  <si>
    <t>Jude: It can be found at lat-P'F" long-M'F" on the darkest night!</t>
  </si>
  <si>
    <t>Fires after "The skull". Coordinate text kept verbatim from source, unclear if literal.</t>
  </si>
  <si>
    <t>Jude: Oh.</t>
  </si>
  <si>
    <t>Fires after "The skull"</t>
  </si>
  <si>
    <t>Julia</t>
  </si>
  <si>
    <t>On sacrifice</t>
  </si>
  <si>
    <t>An agile tinker</t>
  </si>
  <si>
    <t>Julia: An agile tinker.</t>
  </si>
  <si>
    <t>The house</t>
  </si>
  <si>
    <t>Many poor and destitute souls dwell here.</t>
  </si>
  <si>
    <t>Julia: Within this house are many poor and destitute souls.</t>
  </si>
  <si>
    <t>Wilt thou help?</t>
  </si>
  <si>
    <t>Merida</t>
  </si>
  <si>
    <t>Merida: Been better.</t>
  </si>
  <si>
    <t>I seek the wisdom of the shrine of sacrifice.</t>
  </si>
  <si>
    <t>Merida: I seek the wisdom of the shrine of sacrifice.</t>
  </si>
  <si>
    <t>A wandering tinker</t>
  </si>
  <si>
    <t>Merida: A wandering tinker.</t>
  </si>
  <si>
    <t>The shrine</t>
  </si>
  <si>
    <t>But first I need the mantra!</t>
  </si>
  <si>
    <t>Merida: But first I need the mantra!</t>
  </si>
  <si>
    <t>Merida: I am told that a hidden shepherd knows the mantra.</t>
  </si>
  <si>
    <t>Know ye the mantra?</t>
  </si>
  <si>
    <t>Merida: Good!</t>
  </si>
  <si>
    <t>Mike Ward</t>
  </si>
  <si>
    <t>Ranger</t>
  </si>
  <si>
    <t>I am trying to get a room.</t>
  </si>
  <si>
    <t>Mike Ward: I am trying to get a room.</t>
  </si>
  <si>
    <t>A stocky ranger</t>
  </si>
  <si>
    <t>Mike Ward: A stocky ranger.</t>
  </si>
  <si>
    <t>I have travelled clear from Skara Brae.</t>
  </si>
  <si>
    <t>Mike Ward: I have travelled clear from Skara Brae.</t>
  </si>
  <si>
    <t>The rune of our city is missing!</t>
  </si>
  <si>
    <t>Mike Ward: The rune of our city is missing!</t>
  </si>
  <si>
    <t>Fires after "The rune"</t>
  </si>
  <si>
    <t>Mischief</t>
  </si>
  <si>
    <t>O.K. I guess.</t>
  </si>
  <si>
    <t>Mischief: O.K. I guess.</t>
  </si>
  <si>
    <t>This and that.</t>
  </si>
  <si>
    <t>Mischief: This and that.</t>
  </si>
  <si>
    <t>A happy tinker</t>
  </si>
  <si>
    <t>Mischief: A happy tinker.</t>
  </si>
  <si>
    <t>The forge</t>
  </si>
  <si>
    <t>I've heard you can buy Fire Resistance Potion!</t>
  </si>
  <si>
    <t>Mischief: I've heard you can buy Fire Resistance Potion!</t>
  </si>
  <si>
    <t>It lies within the fires of the forge!</t>
  </si>
  <si>
    <t>Mischief: The rune of sacrifice is hard to get. It lies within the fires of the forge!</t>
  </si>
  <si>
    <t>Hast thou the rune?</t>
  </si>
  <si>
    <t>Then ask Merida of the mantra!</t>
  </si>
  <si>
    <t>Mischief: Then ask Merida of the mantra!</t>
  </si>
  <si>
    <t>Return when thou dost find it!</t>
  </si>
  <si>
    <t>Mischief: Return when thou dost find it!</t>
  </si>
  <si>
    <t>Shentis</t>
  </si>
  <si>
    <t>OK.</t>
  </si>
  <si>
    <t>Shentis: OK.</t>
  </si>
  <si>
    <t>Welcome unto Minoc, city of sacrifice!</t>
  </si>
  <si>
    <t>Shentis: I welcome thee unto Minoc, city of sacrifice!</t>
  </si>
  <si>
    <t>A rotund tinker</t>
  </si>
  <si>
    <t>Shentis: A rotund tinker.</t>
  </si>
  <si>
    <t>Self-sacrifice is a needed virtue!</t>
  </si>
  <si>
    <t>Shentis: Self-sacrifice is a needed virtue!</t>
  </si>
  <si>
    <t>On virtue</t>
  </si>
  <si>
    <t>Avatars strive to be virtuous.</t>
  </si>
  <si>
    <t>Shentis: Avatars strive to be virtuous.</t>
  </si>
  <si>
    <t>Dost thou strive for virtue?</t>
  </si>
  <si>
    <t>Then perhaps thou shalt become an avatar!</t>
  </si>
  <si>
    <t>Shentis: Then perhaps thou shalt become an avatar!</t>
  </si>
  <si>
    <t>Fires after "On virtue"</t>
  </si>
  <si>
    <t>An avatar thou art not!</t>
  </si>
  <si>
    <t>Shentis: An avatar thou art not!</t>
  </si>
  <si>
    <t>Singsong</t>
  </si>
  <si>
    <t>Bard</t>
  </si>
  <si>
    <t>Zircon</t>
  </si>
  <si>
    <t>Blacksmith</t>
  </si>
  <si>
    <t>A seasoned blacksmith</t>
  </si>
  <si>
    <t>Zircon: A seasoned blacksmith.</t>
  </si>
  <si>
    <t>Craftsmanship</t>
  </si>
  <si>
    <t>My greatest work went to Sir Simon and Lady Tessa.</t>
  </si>
  <si>
    <t>Zircon: Ah, yes, the mystic weapons, and armour, my greatest work! Those I gave unto Sir Simon and Lady Tessa.</t>
  </si>
  <si>
    <t>Hmmm.</t>
  </si>
  <si>
    <t>Zircon: Hmmm.</t>
  </si>
  <si>
    <t>Still looking…</t>
  </si>
  <si>
    <t>It must be here somewhere!  …2.1….2.1…</t>
  </si>
  <si>
    <t>Ambule</t>
  </si>
  <si>
    <t>So-so.</t>
  </si>
  <si>
    <t>Ambule: So-so.</t>
  </si>
  <si>
    <t>I beg for but a single gold piece!</t>
  </si>
  <si>
    <t>Ambule: I beg for but for a single gold piece!</t>
  </si>
  <si>
    <t>A grimy beggar</t>
  </si>
  <si>
    <t>Ambule: A grimy beggar.</t>
  </si>
  <si>
    <t>Ask the beekeeper Barren about the Mantra.</t>
  </si>
  <si>
    <t>Ambule: Ask the beekeeper named Barren about the Mantra.</t>
  </si>
  <si>
    <t>Oh, please... Oh, please...</t>
  </si>
  <si>
    <t>Ambule: Oh, please... Oh, please...</t>
  </si>
  <si>
    <t>Wilt thou please give me a gold piece?</t>
  </si>
  <si>
    <t>Dear kind soul.</t>
  </si>
  <si>
    <t>Ambule: Dear kind soul.</t>
  </si>
  <si>
    <t>Stingy, I know thou hast many!</t>
  </si>
  <si>
    <t>Ambule: Stingy, I know thou hast many!</t>
  </si>
  <si>
    <t>Barren</t>
  </si>
  <si>
    <t>Beekeeper</t>
  </si>
  <si>
    <t>Barren: O.K.</t>
  </si>
  <si>
    <t>I collect honey. There's a ton over there.</t>
  </si>
  <si>
    <t>Barren: I collect honey. There's a ton over there I can share.</t>
  </si>
  <si>
    <t>A beekeeper</t>
  </si>
  <si>
    <t>Barren: A beekeeper.</t>
  </si>
  <si>
    <t>I know it well, it is 'OM'.</t>
  </si>
  <si>
    <t>Barren: I know it well, it is 'OM'.</t>
  </si>
  <si>
    <t>No question in source data — flavor only. Real mantra payload.</t>
  </si>
  <si>
    <t>Emerson</t>
  </si>
  <si>
    <t>Wounded Man</t>
  </si>
  <si>
    <t>I am grievously wounded.</t>
  </si>
  <si>
    <t>Emerson: I am grievously wounded.</t>
  </si>
  <si>
    <t>I seek the spiritual path.</t>
  </si>
  <si>
    <t>Emerson: I seek the spiritual path.</t>
  </si>
  <si>
    <t>An injured man</t>
  </si>
  <si>
    <t>Emerson: An injured man.</t>
  </si>
  <si>
    <t>On spirit</t>
  </si>
  <si>
    <t>Spiritual is stronger than any material force.</t>
  </si>
  <si>
    <t>Emerson: Spiritual is stronger than any material force.</t>
  </si>
  <si>
    <t>The wound</t>
  </si>
  <si>
    <t>Only the triumph of principles brings peace!</t>
  </si>
  <si>
    <t>Emerson: Nothing can bring thee peace but the triumph of principles!</t>
  </si>
  <si>
    <t>Art thou good in spirit?</t>
  </si>
  <si>
    <t>A good path.</t>
  </si>
  <si>
    <t>Emerson: A good path.</t>
  </si>
  <si>
    <t>Fires after "The wound"</t>
  </si>
  <si>
    <t>An evil path!</t>
  </si>
  <si>
    <t>Emerson: An evil path!</t>
  </si>
  <si>
    <t>Granted</t>
  </si>
  <si>
    <t>To eat</t>
  </si>
  <si>
    <t>To eat!</t>
  </si>
  <si>
    <t>Granted: To eat!</t>
  </si>
  <si>
    <t>I am not at all well.</t>
  </si>
  <si>
    <t>Granted: I am not at all well.</t>
  </si>
  <si>
    <t>I beg for food and money.</t>
  </si>
  <si>
    <t>Granted: I beg for food and money.</t>
  </si>
  <si>
    <t>A hungry beggar</t>
  </si>
  <si>
    <t>Granted: A hungry beggar.</t>
  </si>
  <si>
    <t>To buy food</t>
  </si>
  <si>
    <t>To buy food!</t>
  </si>
  <si>
    <t>Granted: To buy food!</t>
  </si>
  <si>
    <t>Wilt thou give me food or money?</t>
  </si>
  <si>
    <t>In return: the ankh knows the rune, Ambule the mantra!</t>
  </si>
  <si>
    <t>Granted: In return I will tell thee that the ankh knows of the rune and my friend Ambule knows the mantra!</t>
  </si>
  <si>
    <t>Fires after "To buy food"</t>
  </si>
  <si>
    <t>Jerk!</t>
  </si>
  <si>
    <t>Granted: Jerk!</t>
  </si>
  <si>
    <t>Presto</t>
  </si>
  <si>
    <t>Superior!</t>
  </si>
  <si>
    <t>Presto: Superior!</t>
  </si>
  <si>
    <t>I cast great big spells!</t>
  </si>
  <si>
    <t>Presto: I cast great big spells!</t>
  </si>
  <si>
    <t>A very small wizard</t>
  </si>
  <si>
    <t>Presto: A very small wizard.</t>
  </si>
  <si>
    <t>The spells</t>
  </si>
  <si>
    <t>I can cast jinx, kill, and view!</t>
  </si>
  <si>
    <t>Presto: I can cast jinx, kill, and view!</t>
  </si>
  <si>
    <t>Nightshade</t>
  </si>
  <si>
    <t>Ask the barkeep at 'The Axe-n-Ale' in Vesper.</t>
  </si>
  <si>
    <t>Presto: Yes, ask the barkeep at 'The Axe-n-Ale' in Vesper about nightshade.</t>
  </si>
  <si>
    <t>Dost thou know what these spells have in common?</t>
  </si>
  <si>
    <t>What?</t>
  </si>
  <si>
    <t>Presto: What?</t>
  </si>
  <si>
    <t>Fires after "Nightshade"</t>
  </si>
  <si>
    <t>Guess!</t>
  </si>
  <si>
    <t>Presto: Guess!</t>
  </si>
  <si>
    <t>Romasco</t>
  </si>
  <si>
    <t>Teacher</t>
  </si>
  <si>
    <t>I am fine.</t>
  </si>
  <si>
    <t>Romasco: I am fine.</t>
  </si>
  <si>
    <t>I am a teacher, I enrich young minds.</t>
  </si>
  <si>
    <t>Romasco: I am a teacher, I enrich young minds.</t>
  </si>
  <si>
    <t>A short dumpy man with a book</t>
  </si>
  <si>
    <t>Romasco: A short dumpy man with a book.</t>
  </si>
  <si>
    <t>The abyss</t>
  </si>
  <si>
    <t>I teach of the abyss.</t>
  </si>
  <si>
    <t>Romasco: I teach of the abyss.</t>
  </si>
  <si>
    <t>Seek Zair the Wise in Paws for more.</t>
  </si>
  <si>
    <t>Romasco: Seek Zair the Wise in Paws for more on the word.</t>
  </si>
  <si>
    <t>Know ye of the abyss?</t>
  </si>
  <si>
    <t>A word of passage is needed at the last gate!</t>
  </si>
  <si>
    <t>Romasco: A word of passage is needed at the last gate!</t>
  </si>
  <si>
    <t>Learn!</t>
  </si>
  <si>
    <t>Romasco: Learn!</t>
  </si>
  <si>
    <t>Santayana</t>
  </si>
  <si>
    <t>I am alive.</t>
  </si>
  <si>
    <t>Santayana: I am alive.</t>
  </si>
  <si>
    <t>I carry the light within my heart.</t>
  </si>
  <si>
    <t>Santayana: I carry the light within my heart.</t>
  </si>
  <si>
    <t>A tall ranger</t>
  </si>
  <si>
    <t>Santayana: A tall ranger.</t>
  </si>
  <si>
    <t>The light</t>
  </si>
  <si>
    <t>The light of philosophy.</t>
  </si>
  <si>
    <t>Santayana: The light of philosophy.</t>
  </si>
  <si>
    <t>On wonder</t>
  </si>
  <si>
    <t>Philosophical minds find wonder in the familiar!</t>
  </si>
  <si>
    <t>Santayana: In philosophical minds the familiar excites wonder!</t>
  </si>
  <si>
    <t>Dost thou always tread the right path?</t>
  </si>
  <si>
    <t>Doubtful!</t>
  </si>
  <si>
    <t>Santayana: Doubtful!</t>
  </si>
  <si>
    <t>Fires after "On wonder"</t>
  </si>
  <si>
    <t>Few can, but strive to do so!</t>
  </si>
  <si>
    <t>Santayana: Few can, but strive to do so!</t>
  </si>
  <si>
    <t>Shamino</t>
  </si>
  <si>
    <t>Shamino: I am well.</t>
  </si>
  <si>
    <t>I seek the inner light.</t>
  </si>
  <si>
    <t>Shamino: I seek the inner light.</t>
  </si>
  <si>
    <t>A solemn ranger</t>
  </si>
  <si>
    <t>Shamino: A solemn ranger.</t>
  </si>
  <si>
    <t>I seek the 'one great truth'!</t>
  </si>
  <si>
    <t>Shamino: I seek the 'one great truth'!</t>
  </si>
  <si>
    <t>The truth</t>
  </si>
  <si>
    <t>That which lies within the codex!</t>
  </si>
  <si>
    <t>Shamino: That which lies within the codex!</t>
  </si>
  <si>
    <t>Dost thou seek this 'truth'?</t>
  </si>
  <si>
    <t>Some things take forever, but brick by brick...</t>
  </si>
  <si>
    <t>Shamino: Some things take forever but brick by brick mountains can be built!</t>
  </si>
  <si>
    <t>Fires after "The truth"</t>
  </si>
  <si>
    <t>Shamino: Alas.</t>
  </si>
  <si>
    <t>Prisoner</t>
  </si>
  <si>
    <t>They treat me judicially, here, though.</t>
  </si>
  <si>
    <t>Beggar: They treat me judicially, here, though.</t>
  </si>
  <si>
    <t>I have sinned.</t>
  </si>
  <si>
    <t>Beggar: I have sinned.</t>
  </si>
  <si>
    <t>A poor beggar</t>
  </si>
  <si>
    <t>Beggar: A poor beggar.</t>
  </si>
  <si>
    <t>The confession</t>
  </si>
  <si>
    <t>I've stolen chests and killed peaceful mobs.</t>
  </si>
  <si>
    <t>Beggar: I have gotten chests in the townes and killed non-evil creatures.</t>
  </si>
  <si>
    <t>Source row's own keyword field was malformed (contained dialogue text, not a code) — treated as a normal flavor line</t>
  </si>
  <si>
    <t>The felon</t>
  </si>
  <si>
    <t>That other felon is a mean nasty ugly villain!</t>
  </si>
  <si>
    <t>Beggar: That other felon is a mean nasty ugly villain!</t>
  </si>
  <si>
    <t>Should thou be in with the felon?</t>
  </si>
  <si>
    <t>Thou art in the wrong cell.</t>
  </si>
  <si>
    <t>Beggar: Thou art in the wrong cell.</t>
  </si>
  <si>
    <t>Fires after "The felon"</t>
  </si>
  <si>
    <t>Good.</t>
  </si>
  <si>
    <t>Beggar: Good.</t>
  </si>
  <si>
    <t>Calumny</t>
  </si>
  <si>
    <t>Calumny: Well.</t>
  </si>
  <si>
    <t>I make spells.</t>
  </si>
  <si>
    <t>Calumny: I make spells.</t>
  </si>
  <si>
    <t>A solemn druid</t>
  </si>
  <si>
    <t>Calumny: A solemn druid.</t>
  </si>
  <si>
    <t>Quickness</t>
  </si>
  <si>
    <t>I invented quickness!</t>
  </si>
  <si>
    <t>Calumny: I invented quickness!</t>
  </si>
  <si>
    <t>Mandrake root</t>
  </si>
  <si>
    <t>Found in the Fens of the Dead, Bloody Plains.</t>
  </si>
  <si>
    <t>Calumny: Mandrake root is found only in the Fens of the Dead and in the Bloody Plains where the ground is always damp.</t>
  </si>
  <si>
    <t>Can thou cast it?</t>
  </si>
  <si>
    <t>It requires but one bloodmoss!</t>
  </si>
  <si>
    <t>Calumny: It requires but one bloodmoss!</t>
  </si>
  <si>
    <t>Fires after "Mandrake root"</t>
  </si>
  <si>
    <t>Adept.</t>
  </si>
  <si>
    <t>Calumny: Adept.</t>
  </si>
  <si>
    <t>Court Guard</t>
  </si>
  <si>
    <t>Guard</t>
  </si>
  <si>
    <t>Yes.</t>
  </si>
  <si>
    <t>Court Guard: Yes.</t>
  </si>
  <si>
    <t>To guard the court.</t>
  </si>
  <si>
    <t>Court Guard: To guard the court.</t>
  </si>
  <si>
    <t>A tall guard</t>
  </si>
  <si>
    <t>Court Guard: A tall guard.</t>
  </si>
  <si>
    <t>On justice</t>
  </si>
  <si>
    <t>A good life is inspired by love, guided by knowledge.</t>
  </si>
  <si>
    <t>Court Guard: A good life is inspired by love and guided by knowledge.</t>
  </si>
  <si>
    <t>The chamber</t>
  </si>
  <si>
    <t>Within this chamber justice is served.</t>
  </si>
  <si>
    <t>Court Guard: Within this chamber justice is served.</t>
  </si>
  <si>
    <t>Dost thou have business before the court?</t>
  </si>
  <si>
    <t>Then enter.</t>
  </si>
  <si>
    <t>Court Guard: Then enter.</t>
  </si>
  <si>
    <t>Fires after "The chamber"</t>
  </si>
  <si>
    <t>Then do not disturb the proceedings!</t>
  </si>
  <si>
    <t>Court Guard: Then do not disturb the proceedings!</t>
  </si>
  <si>
    <t>A.Druid</t>
  </si>
  <si>
    <t>A.Druid: Well.</t>
  </si>
  <si>
    <t>I seek justice.</t>
  </si>
  <si>
    <t>A.Druid: I seek justice.</t>
  </si>
  <si>
    <t>Learn at the shrine!</t>
  </si>
  <si>
    <t>A.Druid: Learn at the shrine!</t>
  </si>
  <si>
    <t>A wandering druid</t>
  </si>
  <si>
    <t>A.Druid: A wandering druid.</t>
  </si>
  <si>
    <t>The shrine is to the east then north!</t>
  </si>
  <si>
    <t>A.Druid: The shrine is to the east then north!</t>
  </si>
  <si>
    <t>Dost thou have the rune?</t>
  </si>
  <si>
    <t>Now learn the mantra, seek the green stone in 'Wrong'!</t>
  </si>
  <si>
    <t>A.Druid: Now learn the mantra, and seek the green stone in 'Wrong'!</t>
  </si>
  <si>
    <t>Fires after "The shrine"</t>
  </si>
  <si>
    <t>Ask Talfourd for he knows of the rune.</t>
  </si>
  <si>
    <t>A.Druid: Ask Talfourd for he knows of the rune.</t>
  </si>
  <si>
    <t>Dwp</t>
  </si>
  <si>
    <t>Dwp: I am well.</t>
  </si>
  <si>
    <t>Welcome thee to Yew, city of justice!</t>
  </si>
  <si>
    <t>Dwp: Welcome thee to Yew city of justice!</t>
  </si>
  <si>
    <t>Love no one more than the truth. Temper justice with understanding.</t>
  </si>
  <si>
    <t>Dwp: Love no one more than the truth, for justice seeks no favors. Temper thy justice with understanding.</t>
  </si>
  <si>
    <t>A wise druid</t>
  </si>
  <si>
    <t>Dwp: A wise druid.</t>
  </si>
  <si>
    <t>On Yew</t>
  </si>
  <si>
    <t>Yes 'tis a fair city!</t>
  </si>
  <si>
    <t>Dwp: Yes 'tis a fair city!</t>
  </si>
  <si>
    <t>Dost thou like it?</t>
  </si>
  <si>
    <t>Let it be as thine!</t>
  </si>
  <si>
    <t>Dwp: Let it be as thine!</t>
  </si>
  <si>
    <t>Fires after "On Yew"</t>
  </si>
  <si>
    <t>A pity.</t>
  </si>
  <si>
    <t>Dwp: A pity.</t>
  </si>
  <si>
    <t>Frida</t>
  </si>
  <si>
    <t>I am starving and sick.</t>
  </si>
  <si>
    <t>Frida: I am starving and sick.</t>
  </si>
  <si>
    <t>A withered form</t>
  </si>
  <si>
    <t>Frida: A withered form.</t>
  </si>
  <si>
    <t>I beg and live hand-to-mouth every day.</t>
  </si>
  <si>
    <t>Frida: I beg and live hand-to-mouth every day.</t>
  </si>
  <si>
    <t>No source "---&gt;" marker on any row — picked this line as trigger; triggers question below</t>
  </si>
  <si>
    <t>Wilt thou give me money to heal my baby?</t>
  </si>
  <si>
    <t>Thou art kind and just!</t>
  </si>
  <si>
    <t>Frida: Thou art kind and just!</t>
  </si>
  <si>
    <t>Fires after "Duty"</t>
  </si>
  <si>
    <t>Evil wretch, curse thee!</t>
  </si>
  <si>
    <t>Frida: Evil wretch, curse thee!</t>
  </si>
  <si>
    <t>Guard: O.K.</t>
  </si>
  <si>
    <t>To preserve the peace and insure justice!</t>
  </si>
  <si>
    <t>Guard: To preserve the peace and insure justice!</t>
  </si>
  <si>
    <t>A big guard</t>
  </si>
  <si>
    <t>Guard: A big guard.</t>
  </si>
  <si>
    <t>On peace</t>
  </si>
  <si>
    <t>A good life is inspired by love, guided by truth!</t>
  </si>
  <si>
    <t>Guard: A good life is inspired by love and guided by truth!</t>
  </si>
  <si>
    <t>Justice punishes the bad and rewards the good!</t>
  </si>
  <si>
    <t>Guard: Justice means not only to punish the bad but also to reward the good!</t>
  </si>
  <si>
    <t>Art thou always just?</t>
  </si>
  <si>
    <t>Unlikely!</t>
  </si>
  <si>
    <t>Guard: Unlikely!</t>
  </si>
  <si>
    <t>Fires after "On justice"</t>
  </si>
  <si>
    <t>Strive to be!</t>
  </si>
  <si>
    <t>Guard: Strive to be!</t>
  </si>
  <si>
    <t>Jaana</t>
  </si>
  <si>
    <t>Jaana: I am well.</t>
  </si>
  <si>
    <t>I strive to understand justice.</t>
  </si>
  <si>
    <t>Jaana: I strive to understand justice.</t>
  </si>
  <si>
    <t>True justice satisfies all, false none.</t>
  </si>
  <si>
    <t>Jaana: True justice satisfies all, false none.</t>
  </si>
  <si>
    <t>A quiet druid</t>
  </si>
  <si>
    <t>Jaana: A quiet druid.</t>
  </si>
  <si>
    <t>On calling</t>
  </si>
  <si>
    <t>Let justice be thy calling not thy excuse!</t>
  </si>
  <si>
    <t>Jaana: Let justice be thy calling not thy excuse!</t>
  </si>
  <si>
    <t>Art thou just?</t>
  </si>
  <si>
    <t>Many a grave has been unjustly filled in the name of justice.</t>
  </si>
  <si>
    <t>Jaana: Many a grave has been unjustly filled in the name of justice.</t>
  </si>
  <si>
    <t>Fires after "On calling"</t>
  </si>
  <si>
    <t>Jaana: Alas.</t>
  </si>
  <si>
    <t>Jail Guard</t>
  </si>
  <si>
    <t>Fit.</t>
  </si>
  <si>
    <t>Jail Guard: Fit.</t>
  </si>
  <si>
    <t>We guard the jail.</t>
  </si>
  <si>
    <t>Jail Guard: We guard the jail.</t>
  </si>
  <si>
    <t>Jail Guard: A big guard.</t>
  </si>
  <si>
    <t>The cells</t>
  </si>
  <si>
    <t>Misdemeanors are jailed in the left cell.</t>
  </si>
  <si>
    <t>Jail Guard: Misdemeanors are jailed in the the left cell.</t>
  </si>
  <si>
    <t>The felons</t>
  </si>
  <si>
    <t>Felons are jailed in the right hand cell.</t>
  </si>
  <si>
    <t>Jail Guard: Felons are jailed in the right hand cell.</t>
  </si>
  <si>
    <t>Hast thou come to turn thyself in?</t>
  </si>
  <si>
    <t>In which cell dost thou belong, felonies or misdemeanors.</t>
  </si>
  <si>
    <t>Jail Guard: In which cell dost thou belong, felonies or misdemeanors.</t>
  </si>
  <si>
    <t>Fires after "The felons"</t>
  </si>
  <si>
    <t>Just visiting, eh.</t>
  </si>
  <si>
    <t>Jail Guard: Just visiting, eh.</t>
  </si>
  <si>
    <t>Pinrod</t>
  </si>
  <si>
    <t>Advisor</t>
  </si>
  <si>
    <t>On justice.</t>
  </si>
  <si>
    <t>Pinrod: On justice.</t>
  </si>
  <si>
    <t>Pinrod: Fine.</t>
  </si>
  <si>
    <t>I take council.</t>
  </si>
  <si>
    <t>Pinrod: I take council.</t>
  </si>
  <si>
    <t>A thin man</t>
  </si>
  <si>
    <t>Pinrod: A thin man.</t>
  </si>
  <si>
    <t>The steel is justice's agent, humanity its perpetrator!</t>
  </si>
  <si>
    <t>Pinrod: Justice is hardest to find at the point of a sword, the steel is an agent of justice, humanity the perpetrator!</t>
  </si>
  <si>
    <t>Fight ye for justice?</t>
  </si>
  <si>
    <t>Good, the druids chant the mantra!</t>
  </si>
  <si>
    <t>Pinrod: Good, the druids chant the mantra!</t>
  </si>
  <si>
    <t>Cad.</t>
  </si>
  <si>
    <t>Pinrod: Cad.</t>
  </si>
  <si>
    <t>Ranger Rick</t>
  </si>
  <si>
    <t>Ranger Rick: O.K.</t>
  </si>
  <si>
    <t>Home</t>
  </si>
  <si>
    <t>On the range!</t>
  </si>
  <si>
    <t>Ranger Rick: On the range!</t>
  </si>
  <si>
    <t>I search for a home.</t>
  </si>
  <si>
    <t>Ranger Rick: I search for a home.</t>
  </si>
  <si>
    <t>A sleek ranger</t>
  </si>
  <si>
    <t>Ranger Rick: A sleek ranger.</t>
  </si>
  <si>
    <t>The range</t>
  </si>
  <si>
    <t>Where the deer and the antelope play.</t>
  </si>
  <si>
    <t>Ranger Rick: Where the deer and the antelope play.</t>
  </si>
  <si>
    <t>Ever heard of such a place?</t>
  </si>
  <si>
    <t>Seldom is heard a discouraging word!</t>
  </si>
  <si>
    <t>Ranger Rick: Seldom is heard a discouraging word!</t>
  </si>
  <si>
    <t>Fires after "The range"</t>
  </si>
  <si>
    <t>Ah, what'ya have to ruin it for!</t>
  </si>
  <si>
    <t>Ranger Rick: Ah, what'ya have to ruin it for!</t>
  </si>
  <si>
    <t>Short Round</t>
  </si>
  <si>
    <t>Short Round: I am fine.</t>
  </si>
  <si>
    <t>I work for Jones.</t>
  </si>
  <si>
    <t>Short Round: I work for Jones.</t>
  </si>
  <si>
    <t>On Jones</t>
  </si>
  <si>
    <t>I think Indi's on a quest!</t>
  </si>
  <si>
    <t>Short Round: I think Indi's on a quest!</t>
  </si>
  <si>
    <t>A small child</t>
  </si>
  <si>
    <t>Short Round: A small child.</t>
  </si>
  <si>
    <t>I'm not so sure, but it should be fun!</t>
  </si>
  <si>
    <t>Short Round: I'm not so sure, but it should be fun!</t>
  </si>
  <si>
    <t>Art thou having fun?</t>
  </si>
  <si>
    <t>Write to Lord British and tell him!!!</t>
  </si>
  <si>
    <t>Short Round: Write to Lord British and tell him!!!</t>
  </si>
  <si>
    <t>Fires after "The quest"</t>
  </si>
  <si>
    <t>I am so sorry we all wish you would!</t>
  </si>
  <si>
    <t>Short Round: I am so sorry we all wish you would!</t>
  </si>
  <si>
    <t>Cy Lent</t>
  </si>
  <si>
    <t>Chanting</t>
  </si>
  <si>
    <t>Beh... Beh...</t>
  </si>
  <si>
    <t>Cy Lent: Beh... Beh...</t>
  </si>
  <si>
    <t>BEH. Beh... Beh...</t>
  </si>
  <si>
    <t>Cy Lent: BEH. Beh... Beh...</t>
  </si>
  <si>
    <t>Beh... Beh... Beh... Beh...</t>
  </si>
  <si>
    <t>Cy Lent: Beh... Beh... Beh... Beh...</t>
  </si>
  <si>
    <t>A chanting druid</t>
  </si>
  <si>
    <t>Cy Lent: A chanting druid.</t>
  </si>
  <si>
    <t>Talfourd</t>
  </si>
  <si>
    <t>Judge</t>
  </si>
  <si>
    <t>Talfourd: Well.</t>
  </si>
  <si>
    <t>I decide justice.</t>
  </si>
  <si>
    <t>Talfourd: I decide justice.</t>
  </si>
  <si>
    <t>Justice's nature is Trust and Wisdom!</t>
  </si>
  <si>
    <t>Talfourd: The virtue of justice draws its nature from the principles of Trust and Wisdom!</t>
  </si>
  <si>
    <t>A wise judge</t>
  </si>
  <si>
    <t>Talfourd: A wise judge.</t>
  </si>
  <si>
    <t>It is hidden well!</t>
  </si>
  <si>
    <t>Talfourd: It is hidden well!</t>
  </si>
  <si>
    <t>Can thou honestly claim to be guilty of no crime ever?</t>
  </si>
  <si>
    <t>Doubtful.</t>
  </si>
  <si>
    <t>Talfourd: Doubtful.</t>
  </si>
  <si>
    <t>Then do thy penance in a cell, and with the felon search ye well.</t>
  </si>
  <si>
    <t>Talfourd: Then do thy penance in a cell, and with the felon search ye well.</t>
  </si>
  <si>
    <t>Vorpal</t>
  </si>
  <si>
    <t>Hungry!</t>
  </si>
  <si>
    <t>Vorpal: Hungry!</t>
  </si>
  <si>
    <t>I eat people who bug me!</t>
  </si>
  <si>
    <t>Vorpal: I eat people who bug me!</t>
  </si>
  <si>
    <t>A mean nasty ugly villain!</t>
  </si>
  <si>
    <t>Vorpal: A mean nasty ugly villain!</t>
  </si>
  <si>
    <t>Confirmed</t>
  </si>
  <si>
    <t>That's me alright!</t>
  </si>
  <si>
    <t>Vorpal: That's me alright!</t>
  </si>
  <si>
    <t>Like thee</t>
  </si>
  <si>
    <t>Like thee!</t>
  </si>
  <si>
    <t>Vorpal: Like thee!</t>
  </si>
  <si>
    <t>Art thou here to bug me?</t>
  </si>
  <si>
    <t>Eat death, scum puppy!</t>
  </si>
  <si>
    <t>Vorpal: Eat death, scum puppy!</t>
  </si>
  <si>
    <t>Fires after "Like thee"</t>
  </si>
  <si>
    <t>Well thou art!</t>
  </si>
  <si>
    <t>Vorpal: Well thou art!</t>
  </si>
  <si>
    <t>The rune of Humility is in the Lycaeum.  Ignore temptations.</t>
  </si>
  <si>
    <t>We're only temporary custodians of that we keep.</t>
  </si>
  <si>
    <t>We keep our secrets. But…</t>
  </si>
  <si>
    <t>Seek thee MYSTIC Weapons?</t>
  </si>
  <si>
    <t>Seek thee MYSTIC Armor?</t>
  </si>
  <si>
    <t>Zircon: Ask PIERRE at the counter!</t>
  </si>
  <si>
    <t>Zircon: Ask PIEDRO at the counter!</t>
  </si>
  <si>
    <t>Seek thee MYSTIC Bows?</t>
  </si>
  <si>
    <t>Zircon: Ask PETER at the counter!</t>
  </si>
  <si>
    <t>Ask PIERRE at the counter!</t>
  </si>
  <si>
    <t>Ask PETER at the counter!</t>
  </si>
  <si>
    <t>Ask PIEDRO at the counter!</t>
  </si>
  <si>
    <t>Mystic Armor</t>
  </si>
  <si>
    <t>Mystic Weapons</t>
  </si>
  <si>
    <t>Mystic Bows</t>
  </si>
  <si>
    <t>My finest work went to Lord British</t>
  </si>
  <si>
    <t>Zircon: My finest mystic bows went to Lord British.</t>
  </si>
  <si>
    <t>Fires after "Mystic Weapons". And unlocks mystic trades.</t>
  </si>
  <si>
    <t>Fires after "Mystic Bows". And unlocks mystic trades.</t>
  </si>
  <si>
    <t>Sacrifice</t>
  </si>
  <si>
    <t>Sacrifice is how you share the pain of others.</t>
  </si>
  <si>
    <t>Zircon: Sacrifice is how you share the pain of others.</t>
  </si>
  <si>
    <t>I make the very best in my forge!</t>
  </si>
  <si>
    <t>Zircon: I make the very best in my forge!</t>
  </si>
  <si>
    <t>Verse 2</t>
  </si>
  <si>
    <t>Verse 1</t>
  </si>
  <si>
    <t>Verse 3</t>
  </si>
  <si>
    <t>Carried up, the raven's word</t>
  </si>
  <si>
    <t>Verse 4</t>
  </si>
  <si>
    <t>Singsong: A humming bard.</t>
  </si>
  <si>
    <t>A humming bard</t>
  </si>
  <si>
    <t>I'm composing…</t>
  </si>
  <si>
    <t>I'm nearly done a new song!</t>
  </si>
  <si>
    <t>Singsong: I'm nearly done a new song!</t>
  </si>
  <si>
    <t>I sing allegories of sacrifice</t>
  </si>
  <si>
    <t>I sing songs</t>
  </si>
  <si>
    <t>Singsong: I sing allegories of sacrifice</t>
  </si>
  <si>
    <t>As the wind, the ravens heard</t>
  </si>
  <si>
    <t>he in the corn who saw a flaw</t>
  </si>
  <si>
    <t>I feel as strong as my steel.</t>
  </si>
  <si>
    <t>Zircon: I feel as strong as my steel.</t>
  </si>
  <si>
    <t>I feel good today!</t>
  </si>
  <si>
    <t>I am the forgemaster</t>
  </si>
  <si>
    <t>I forge weapons and more.</t>
  </si>
  <si>
    <t>Zircon: I forge weapons and more.</t>
  </si>
  <si>
    <t>Hallooed the others and sayeth…hm, what...?</t>
  </si>
  <si>
    <t>Fires after "Mystic Armor". And unlocks mystic trades.</t>
  </si>
  <si>
    <t>You must have sacrified something.</t>
  </si>
  <si>
    <t>Zircon: You must have sacrified something.</t>
  </si>
  <si>
    <t>If you've made it here</t>
  </si>
  <si>
    <t>Self-Sacrifice</t>
  </si>
  <si>
    <t>Others will know your sacrifices.</t>
  </si>
  <si>
    <t>Zircon: Others will know your sacrifices.</t>
  </si>
  <si>
    <t>I'm fading…</t>
  </si>
  <si>
    <t>The rune of spirituality</t>
  </si>
  <si>
    <t>What's my job?</t>
  </si>
  <si>
    <t>What am I doing?</t>
  </si>
  <si>
    <t>What do I seek?</t>
  </si>
  <si>
    <t>The mantra of sacrifice</t>
  </si>
  <si>
    <t>A hidden shepherd is said to know it!</t>
  </si>
  <si>
    <t>Alex</t>
  </si>
  <si>
    <t>The rooms are nice, here.</t>
  </si>
  <si>
    <t>I'm the housekeeper.</t>
  </si>
  <si>
    <t>I clean and prepare the rooms.</t>
  </si>
  <si>
    <t>Alex: I clean and prepare the rooms.</t>
  </si>
  <si>
    <t>These rooms are for rent</t>
  </si>
  <si>
    <t>Alex: The rooms are nice, here.</t>
  </si>
  <si>
    <t>I'm a vegan.</t>
  </si>
  <si>
    <t>I only put vegan treats in the room.</t>
  </si>
  <si>
    <t>I'm poor.</t>
  </si>
  <si>
    <t>But I always give some to the poorer.</t>
  </si>
  <si>
    <t>Alex: But I always give some to the poorer.</t>
  </si>
  <si>
    <t>Alex: I only put vegan treats in the room.</t>
  </si>
  <si>
    <t>Dost thou give to the poor?</t>
  </si>
  <si>
    <t>Fires after "I'm poor."</t>
  </si>
  <si>
    <t>Good. You must never expect anything back.</t>
  </si>
  <si>
    <t>Some don't.  But not around here.</t>
  </si>
  <si>
    <t>Alex: Some don't.  But not around here.</t>
  </si>
  <si>
    <t>Alex: You must never expect anything back.</t>
  </si>
  <si>
    <t>Listen to the bard's song, and the start of the verses!</t>
  </si>
  <si>
    <t>Damon: Listen to the bard's song, and the start of the verses!</t>
  </si>
  <si>
    <t>Can't a man just muse to himself?</t>
  </si>
  <si>
    <t>Go sacrifice yourself, then!</t>
  </si>
  <si>
    <t>Damon: Go sacrifice yourself, then!</t>
  </si>
  <si>
    <t>Fires after "Musing"</t>
  </si>
  <si>
    <t>My Future?</t>
  </si>
  <si>
    <t>I carve runes for passage to elevation!</t>
  </si>
  <si>
    <t>Azure: I carve runes for passage to elevation!</t>
  </si>
  <si>
    <t>It's around somewhere.</t>
  </si>
  <si>
    <t>Azure: It's around somewhere.</t>
  </si>
  <si>
    <t>Dost thou have our rune?</t>
  </si>
  <si>
    <t>Aure: Well, I carved it!</t>
  </si>
  <si>
    <t>Well, I carved it!</t>
  </si>
  <si>
    <t>It's quite shrill, I find.</t>
  </si>
  <si>
    <t>Merida: It's quite shrill, I find.</t>
  </si>
  <si>
    <t>I sacrifice my life…</t>
  </si>
  <si>
    <t>My Duty?</t>
  </si>
  <si>
    <t>I care for the poor, here.</t>
  </si>
  <si>
    <t>Julia: I care for the poor, here.</t>
  </si>
  <si>
    <t>Well, farty. We eat a lot beans.</t>
  </si>
  <si>
    <t>Julia: Well, farty. We eat a lot beans.</t>
  </si>
  <si>
    <t>Do me a Favor?</t>
  </si>
  <si>
    <t>Julie: Grab me some snacks from the inn!</t>
  </si>
  <si>
    <t>Grab me some snacks from the inn!</t>
  </si>
  <si>
    <t>Fires after "Do me a favor?"</t>
  </si>
  <si>
    <t>I like cookies and melons!</t>
  </si>
  <si>
    <t>Aw.  Well, help out around here, then.</t>
  </si>
  <si>
    <t>Julia: Aw.  Well, help out around here, then.</t>
  </si>
  <si>
    <t>Julia: I like cookies and melons!</t>
  </si>
  <si>
    <t>Julia: Self-preservation is the first law of nature; self-sacrifice the highest rule of grace.</t>
  </si>
  <si>
    <t>Self-preservation is the first law of nature; self-sacrifice the highest rule of grace.</t>
  </si>
  <si>
    <t>I shall die soon without a cure.</t>
  </si>
  <si>
    <t>Gimble: I shall die soon without a cure.</t>
  </si>
  <si>
    <t>Heard of the spirituality rune?</t>
  </si>
  <si>
    <t>I seek it! It is not in Skara Brae!</t>
  </si>
  <si>
    <t>Fires after "The rune of spirituality"</t>
  </si>
  <si>
    <t>I'm travelling the land.</t>
  </si>
  <si>
    <t>I'm concerned.</t>
  </si>
  <si>
    <t>I'm seeking a rune and a room.</t>
  </si>
  <si>
    <t>Mike Ward: I'm seeking a rune and a room.</t>
  </si>
  <si>
    <t>Mike Ward: The rune of spirituality is not in Skara Brae.</t>
  </si>
  <si>
    <t>Fires after "I'm fading..."</t>
  </si>
  <si>
    <t>Singsong: V1. Carried up, the raven's word</t>
  </si>
  <si>
    <t>Singsong: V2. As the wind, the ravens heard</t>
  </si>
  <si>
    <t>Singsong: V3. ...he in the corn who saw a flaw</t>
  </si>
  <si>
    <t>Singsong: V4. Hallooed the others and sayeth…hm, what...?</t>
  </si>
  <si>
    <t>Estrol</t>
  </si>
  <si>
    <t>Welcome to my inn!</t>
  </si>
  <si>
    <t>Estro: Welcome to my inn!</t>
  </si>
  <si>
    <t>Estrol: Why I am fine, you too I hope.</t>
  </si>
  <si>
    <t>Estrol: Research.</t>
  </si>
  <si>
    <t>Estrol: A short druid.</t>
  </si>
  <si>
    <t>Estrol: I am looking for the book of justice!</t>
  </si>
  <si>
    <t>Estrol: I believe thou art boasting a lie!</t>
  </si>
  <si>
    <t>Estrol: Then speak to the judge in Yew!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</si>
</sst>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name val="Arial"/>
      <family val="2"/>
    </font>
    <font>
      <b/>
      <sz val="11"/>
      <color theme="1"/>
      <name val="Calibri"/>
      <family val="2"/>
      <scheme val="minor"/>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
      <sz val="8"/>
      <color theme="1"/>
      <name val="Calibri"/>
      <family val="2"/>
      <scheme val="minor"/>
    </font>
    <font>
      <b/>
      <sz val="8"/>
      <color rgb="FF7030A0"/>
      <name val="Calibri"/>
      <family val="2"/>
      <scheme val="minor"/>
    </font>
    <font>
      <b/>
      <u/>
      <sz val="8"/>
      <color rgb="FF7030A0"/>
      <name val="Calibri"/>
      <family val="2"/>
      <scheme val="minor"/>
    </font>
    <font>
      <b/>
      <sz val="8"/>
      <color theme="1"/>
      <name val="Calibri"/>
      <family val="2"/>
      <scheme val="minor"/>
    </font>
    <font>
      <b/>
      <sz val="10"/>
      <color rgb="FF007BB8"/>
      <name val="Arial"/>
      <family val="2"/>
    </font>
    <font>
      <b/>
      <sz val="10"/>
      <color rgb="FFFF0000"/>
      <name val="Arial"/>
      <family val="2"/>
    </font>
  </fonts>
  <fills count="9">
    <fill>
      <patternFill patternType="none"/>
    </fill>
    <fill>
      <patternFill patternType="gray125"/>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92D050"/>
        <bgColor rgb="FF2F5233"/>
      </patternFill>
    </fill>
    <fill>
      <patternFill patternType="solid">
        <fgColor theme="3" tint="0.79998168889431442"/>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vertical="top" wrapText="1"/>
    </xf>
    <xf numFmtId="0" fontId="3" fillId="0" borderId="1" xfId="0" applyFont="1" applyBorder="1"/>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center"/>
    </xf>
    <xf numFmtId="0" fontId="5" fillId="0" borderId="0" xfId="0" applyFont="1"/>
    <xf numFmtId="0" fontId="4" fillId="0" borderId="1" xfId="0" applyFont="1" applyBorder="1"/>
    <xf numFmtId="0" fontId="5" fillId="0" borderId="0" xfId="0" applyFont="1" applyAlignment="1">
      <alignment vertical="center"/>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3" fillId="0" borderId="1" xfId="0" applyFont="1" applyBorder="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4" fillId="3" borderId="1" xfId="0" applyFont="1" applyFill="1" applyBorder="1" applyAlignment="1">
      <alignment vertical="center" wrapText="1"/>
    </xf>
    <xf numFmtId="0" fontId="3" fillId="4" borderId="1" xfId="0" applyFont="1" applyFill="1" applyBorder="1"/>
    <xf numFmtId="0" fontId="6" fillId="0" borderId="0" xfId="0" applyFont="1"/>
    <xf numFmtId="0" fontId="4" fillId="5" borderId="1" xfId="0" applyFont="1" applyFill="1" applyBorder="1"/>
    <xf numFmtId="0" fontId="3" fillId="0" borderId="0" xfId="0" applyFont="1" applyAlignment="1">
      <alignment vertical="top" wrapText="1"/>
    </xf>
    <xf numFmtId="0" fontId="4" fillId="0" borderId="0" xfId="0" applyFont="1" applyAlignment="1">
      <alignment vertical="top" wrapText="1"/>
    </xf>
    <xf numFmtId="0" fontId="7" fillId="0" borderId="1" xfId="0" applyFont="1" applyBorder="1"/>
    <xf numFmtId="0" fontId="8" fillId="0" borderId="0" xfId="0" applyFont="1" applyAlignment="1">
      <alignment vertical="top" wrapText="1"/>
    </xf>
    <xf numFmtId="0" fontId="9" fillId="0" borderId="0" xfId="0" applyFont="1" applyAlignment="1">
      <alignment wrapText="1"/>
    </xf>
    <xf numFmtId="0" fontId="7" fillId="0" borderId="0" xfId="0" applyFont="1" applyAlignment="1">
      <alignment vertical="top" wrapText="1"/>
    </xf>
    <xf numFmtId="0" fontId="10" fillId="6" borderId="0" xfId="0" applyFont="1" applyFill="1" applyAlignment="1">
      <alignment horizontal="left" vertical="top" wrapText="1"/>
    </xf>
    <xf numFmtId="0" fontId="11" fillId="6" borderId="0" xfId="0" applyFont="1" applyFill="1" applyAlignment="1">
      <alignment wrapText="1"/>
    </xf>
    <xf numFmtId="0" fontId="12" fillId="6" borderId="0" xfId="0" applyFont="1" applyFill="1" applyAlignment="1">
      <alignment wrapText="1"/>
    </xf>
    <xf numFmtId="0" fontId="13" fillId="6" borderId="0" xfId="0" applyFont="1" applyFill="1" applyAlignment="1">
      <alignment wrapText="1"/>
    </xf>
    <xf numFmtId="0" fontId="4" fillId="0" borderId="1" xfId="0" applyFont="1" applyBorder="1" applyAlignment="1">
      <alignment horizontal="center"/>
    </xf>
    <xf numFmtId="0" fontId="5" fillId="6" borderId="0" xfId="0" applyFont="1" applyFill="1"/>
    <xf numFmtId="0" fontId="0" fillId="0" borderId="0" xfId="0" applyAlignment="1">
      <alignment vertical="top"/>
    </xf>
    <xf numFmtId="0" fontId="14" fillId="6" borderId="0" xfId="0" applyFont="1" applyFill="1"/>
    <xf numFmtId="0" fontId="11" fillId="0" borderId="0" xfId="0" applyFont="1" applyAlignment="1">
      <alignment vertical="top" wrapText="1"/>
    </xf>
    <xf numFmtId="0" fontId="11" fillId="0" borderId="0" xfId="0" applyFont="1" applyAlignment="1">
      <alignment vertical="top"/>
    </xf>
    <xf numFmtId="0" fontId="11" fillId="0" borderId="0" xfId="0" applyFont="1"/>
    <xf numFmtId="0" fontId="4" fillId="7" borderId="1" xfId="0" applyFont="1" applyFill="1" applyBorder="1" applyAlignment="1">
      <alignment vertical="center" wrapText="1"/>
    </xf>
    <xf numFmtId="0" fontId="3" fillId="7" borderId="1" xfId="0" applyFont="1" applyFill="1" applyBorder="1" applyAlignment="1">
      <alignment horizontal="center" vertical="center" wrapText="1"/>
    </xf>
    <xf numFmtId="0" fontId="3" fillId="8" borderId="1" xfId="0" applyFont="1" applyFill="1" applyBorder="1"/>
    <xf numFmtId="0" fontId="3" fillId="8" borderId="1" xfId="0" applyFont="1" applyFill="1" applyBorder="1" applyAlignment="1">
      <alignment horizontal="center"/>
    </xf>
    <xf numFmtId="0" fontId="0" fillId="8" borderId="0" xfId="0" applyFill="1"/>
    <xf numFmtId="0" fontId="4" fillId="8" borderId="1" xfId="0" applyFont="1" applyFill="1" applyBorder="1"/>
    <xf numFmtId="0" fontId="15" fillId="0" borderId="1" xfId="0" applyFont="1" applyBorder="1"/>
    <xf numFmtId="0" fontId="3" fillId="0" borderId="2" xfId="0" applyFont="1" applyBorder="1"/>
    <xf numFmtId="0" fontId="16" fillId="8" borderId="1" xfId="0" applyFont="1" applyFill="1" applyBorder="1"/>
    <xf numFmtId="0" fontId="16" fillId="0" borderId="1" xfId="0" applyFont="1" applyBorder="1"/>
    <xf numFmtId="0" fontId="16" fillId="0" borderId="1" xfId="0" applyFont="1" applyBorder="1" applyAlignment="1">
      <alignment horizontal="center"/>
    </xf>
  </cellXfs>
  <cellStyles count="1">
    <cellStyle name="Normal" xfId="0" builtinId="0"/>
  </cellStyles>
  <dxfs count="21">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gameDesignMisc"/>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William|VALOR</v>
          </cell>
          <cell r="B599" t="str">
            <v>Towns</v>
          </cell>
          <cell r="C599" t="str">
            <v>Jhelom</v>
          </cell>
          <cell r="D599" t="str">
            <v>Sir William</v>
          </cell>
          <cell r="E599" t="str">
            <v>VALOR</v>
          </cell>
          <cell r="F599" t="str">
            <v>True valor is seen not in the force of arms, but in the force of will!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Trinsic|Aristotle|Dignity</v>
          </cell>
          <cell r="B1286" t="str">
            <v>Towns</v>
          </cell>
          <cell r="C1286" t="str">
            <v>Trinsic</v>
          </cell>
          <cell r="D1286" t="str">
            <v>Aristotle</v>
          </cell>
          <cell r="E1286" t="str">
            <v>Dignity</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Trinsic|Aristotle|Honor!</v>
          </cell>
          <cell r="B1288" t="str">
            <v>Towns</v>
          </cell>
          <cell r="C1288" t="str">
            <v>Trinsic</v>
          </cell>
          <cell r="D1288" t="str">
            <v>Aristotle</v>
          </cell>
          <cell r="E1288" t="str">
            <v>Honor!</v>
          </cell>
          <cell r="F1288" t="str">
            <v>Dignity consists not in possessing honors, but in deserving them.</v>
          </cell>
        </row>
        <row r="1289">
          <cell r="A1289" t="str">
            <v>Trinsic|Aristotle|My passion?</v>
          </cell>
          <cell r="B1289" t="str">
            <v>Towns</v>
          </cell>
          <cell r="C1289" t="str">
            <v>Trinsic</v>
          </cell>
          <cell r="D1289" t="str">
            <v>Aristotle</v>
          </cell>
          <cell r="E1289" t="str">
            <v>My passion?</v>
          </cell>
          <cell r="F1289" t="str">
            <v>I search for honor.</v>
          </cell>
        </row>
        <row r="1290">
          <cell r="A1290" t="str">
            <v>Trinsic|Aristotle|You see..</v>
          </cell>
          <cell r="B1290" t="str">
            <v>Towns</v>
          </cell>
          <cell r="C1290" t="str">
            <v>Trinsic</v>
          </cell>
          <cell r="D1290" t="str">
            <v>Aristotle</v>
          </cell>
          <cell r="E1290" t="str">
            <v>You see..</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Trinsic|Dergin|What am I up to?</v>
          </cell>
          <cell r="B1294" t="str">
            <v>Towns</v>
          </cell>
          <cell r="C1294" t="str">
            <v>Trinsic</v>
          </cell>
          <cell r="D1294" t="str">
            <v>Dergin</v>
          </cell>
          <cell r="E1294" t="str">
            <v>What am I up to?</v>
          </cell>
          <cell r="F1294" t="str">
            <v>I seek a place to rest.</v>
          </cell>
        </row>
        <row r="1295">
          <cell r="A1295" t="str">
            <v>Trinsic|Dergin|You see..</v>
          </cell>
          <cell r="B1295" t="str">
            <v>Towns</v>
          </cell>
          <cell r="C1295" t="str">
            <v>Trinsic</v>
          </cell>
          <cell r="D1295" t="str">
            <v>Dergin</v>
          </cell>
          <cell r="E1295" t="str">
            <v>You see..</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Trinsic|Dupre|Honor..?</v>
          </cell>
          <cell r="B1300" t="str">
            <v>Towns</v>
          </cell>
          <cell r="C1300" t="str">
            <v>Trinsic</v>
          </cell>
          <cell r="D1300" t="str">
            <v>Dupre</v>
          </cell>
          <cell r="E1300" t="str">
            <v>Honor..?</v>
          </cell>
          <cell r="F1300" t="str">
            <v>Honor gives life meaning!</v>
          </cell>
        </row>
        <row r="1301">
          <cell r="A1301" t="str">
            <v>Trinsic|Dupre|My job…?</v>
          </cell>
          <cell r="B1301" t="str">
            <v>Towns</v>
          </cell>
          <cell r="C1301" t="str">
            <v>Trinsic</v>
          </cell>
          <cell r="D1301" t="str">
            <v>Dupre</v>
          </cell>
          <cell r="E1301" t="str">
            <v>My job…?</v>
          </cell>
          <cell r="F1301" t="str">
            <v>I am towne leader! Say, you look weary. Rest at our inn!</v>
          </cell>
        </row>
        <row r="1302">
          <cell r="A1302" t="str">
            <v>Trinsic|Dupre|Welcome!</v>
          </cell>
          <cell r="B1302" t="str">
            <v>Towns</v>
          </cell>
          <cell r="C1302" t="str">
            <v>Trinsic</v>
          </cell>
          <cell r="D1302" t="str">
            <v>Dupre</v>
          </cell>
          <cell r="E1302" t="str">
            <v>Welcome!</v>
          </cell>
          <cell r="F1302" t="str">
            <v>To welcome is an honor!</v>
          </cell>
        </row>
        <row r="1303">
          <cell r="A1303" t="str">
            <v>Trinsic|Dupre|You see..</v>
          </cell>
          <cell r="B1303" t="str">
            <v>Towns</v>
          </cell>
          <cell r="C1303" t="str">
            <v>Trinsic</v>
          </cell>
          <cell r="D1303" t="str">
            <v>Dupre</v>
          </cell>
          <cell r="E1303" t="str">
            <v>You see..</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Guard|My job…?</v>
          </cell>
          <cell r="B1308" t="str">
            <v>Towns</v>
          </cell>
          <cell r="C1308" t="str">
            <v>Trinsic</v>
          </cell>
          <cell r="D1308" t="str">
            <v>Gate Guard</v>
          </cell>
          <cell r="E1308" t="str">
            <v>My job…?</v>
          </cell>
          <cell r="F1308" t="str">
            <v>We guard the gate.</v>
          </cell>
        </row>
        <row r="1309">
          <cell r="A1309" t="str">
            <v>Trinsic|Gate Guard|You see..</v>
          </cell>
          <cell r="B1309" t="str">
            <v>Towns</v>
          </cell>
          <cell r="C1309" t="str">
            <v>Trinsic</v>
          </cell>
          <cell r="D1309" t="str">
            <v>Gate Guard</v>
          </cell>
          <cell r="E1309" t="str">
            <v>You see..</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Trinsic|Guard|My job…?</v>
          </cell>
          <cell r="B1313" t="str">
            <v>Towns</v>
          </cell>
          <cell r="C1313" t="str">
            <v>Trinsic</v>
          </cell>
          <cell r="D1313" t="str">
            <v>Guard</v>
          </cell>
          <cell r="E1313" t="str">
            <v>My job…?</v>
          </cell>
          <cell r="F1313" t="str">
            <v>To guard.</v>
          </cell>
        </row>
        <row r="1314">
          <cell r="A1314" t="str">
            <v>Trinsic|Guard|You see..</v>
          </cell>
          <cell r="B1314" t="str">
            <v>Towns</v>
          </cell>
          <cell r="C1314" t="str">
            <v>Trinsic</v>
          </cell>
          <cell r="D1314" t="str">
            <v>Guard</v>
          </cell>
          <cell r="E1314" t="str">
            <v>You see..</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Trinsic|Kline|My passion?</v>
          </cell>
          <cell r="B1318" t="str">
            <v>Towns</v>
          </cell>
          <cell r="C1318" t="str">
            <v>Trinsic</v>
          </cell>
          <cell r="D1318" t="str">
            <v>Kline</v>
          </cell>
          <cell r="E1318" t="str">
            <v>My passion?</v>
          </cell>
          <cell r="F1318" t="str">
            <v>I seek enlightenment in honor!</v>
          </cell>
        </row>
        <row r="1319">
          <cell r="A1319" t="str">
            <v>Trinsic|Kline|You see..</v>
          </cell>
          <cell r="B1319" t="str">
            <v>Towns</v>
          </cell>
          <cell r="C1319" t="str">
            <v>Trinsic</v>
          </cell>
          <cell r="D1319" t="str">
            <v>Kline</v>
          </cell>
          <cell r="E1319" t="str">
            <v>You see..</v>
          </cell>
          <cell r="F1319" t="str">
            <v>A searching paladin!</v>
          </cell>
        </row>
        <row r="1320">
          <cell r="A1320" t="str">
            <v>Trinsic|Kline|The mantra..?</v>
          </cell>
          <cell r="B1320" t="str">
            <v>Towns</v>
          </cell>
          <cell r="C1320" t="str">
            <v>Trinsic</v>
          </cell>
          <cell r="D1320" t="str">
            <v>Kline</v>
          </cell>
          <cell r="E1320" t="str">
            <v>The mantra..?</v>
          </cell>
          <cell r="F1320" t="str">
            <v>Our mantra's INTRINSIC to our CODE of honor!</v>
          </cell>
        </row>
        <row r="1321">
          <cell r="A1321" t="str">
            <v>Trinsic|Kline|NAME</v>
          </cell>
          <cell r="B1321" t="str">
            <v>Towns</v>
          </cell>
          <cell r="C1321" t="str">
            <v>Trinsic</v>
          </cell>
          <cell r="D1321" t="str">
            <v>Kline</v>
          </cell>
          <cell r="E1321" t="str">
            <v>NAME</v>
          </cell>
          <cell r="F1321" t="str">
            <v>Kline</v>
          </cell>
        </row>
        <row r="1322">
          <cell r="A1322" t="str">
            <v>Trinsic|Kline|The rune..?</v>
          </cell>
          <cell r="B1322" t="str">
            <v>Towns</v>
          </cell>
          <cell r="C1322" t="str">
            <v>Trinsic</v>
          </cell>
          <cell r="D1322" t="str">
            <v>Kline</v>
          </cell>
          <cell r="E1322" t="str">
            <v>The 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Trinsic|Lexington|My job…?</v>
          </cell>
          <cell r="B1324" t="str">
            <v>Towns</v>
          </cell>
          <cell r="C1324" t="str">
            <v>Trinsic</v>
          </cell>
          <cell r="D1324" t="str">
            <v>Lexington</v>
          </cell>
          <cell r="E1324" t="str">
            <v>My job…?</v>
          </cell>
          <cell r="F1324" t="str">
            <v>I am warlord of Trinsic.</v>
          </cell>
        </row>
        <row r="1325">
          <cell r="A1325" t="str">
            <v>Trinsic|Lexington|You see..</v>
          </cell>
          <cell r="B1325" t="str">
            <v>Towns</v>
          </cell>
          <cell r="C1325" t="str">
            <v>Trinsic</v>
          </cell>
          <cell r="D1325" t="str">
            <v>Lexington</v>
          </cell>
          <cell r="E1325" t="str">
            <v>You see..</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Trinsic|Rigmore|Welcome!</v>
          </cell>
          <cell r="B1342" t="str">
            <v>Towns</v>
          </cell>
          <cell r="C1342" t="str">
            <v>Trinsic</v>
          </cell>
          <cell r="D1342" t="str">
            <v>Rigmore</v>
          </cell>
          <cell r="E1342" t="str">
            <v>Welcome!</v>
          </cell>
          <cell r="F1342" t="str">
            <v>Good day, Stranger. You look weary! Rest at our inn!</v>
          </cell>
        </row>
        <row r="1343">
          <cell r="A1343" t="str">
            <v>Trinsic|Rigmore|You see..</v>
          </cell>
          <cell r="B1343" t="str">
            <v>Towns</v>
          </cell>
          <cell r="C1343" t="str">
            <v>Trinsic</v>
          </cell>
          <cell r="D1343" t="str">
            <v>Rigmore</v>
          </cell>
          <cell r="E1343" t="str">
            <v>You see..</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Trinsic|Rigmore|Welcome!</v>
          </cell>
          <cell r="B1345" t="str">
            <v>Towns</v>
          </cell>
          <cell r="C1345" t="str">
            <v>Trinsic</v>
          </cell>
          <cell r="D1345" t="str">
            <v>Rigmore</v>
          </cell>
          <cell r="E1345" t="str">
            <v>Welcome!</v>
          </cell>
          <cell r="F1345" t="str">
            <v>Yes, welcome to Trinsic: Town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Sam|My passion?</v>
          </cell>
          <cell r="B1347" t="str">
            <v>Towns</v>
          </cell>
          <cell r="C1347" t="str">
            <v>Trinsic</v>
          </cell>
          <cell r="D1347" t="str">
            <v>Sailor Sam</v>
          </cell>
          <cell r="E1347" t="str">
            <v>My passion?</v>
          </cell>
          <cell r="F1347" t="str">
            <v>I sail the the seas of Britannia!</v>
          </cell>
        </row>
        <row r="1348">
          <cell r="A1348" t="str">
            <v>Trinsic|Sailor Sam|You see..</v>
          </cell>
          <cell r="B1348" t="str">
            <v>Towns</v>
          </cell>
          <cell r="C1348" t="str">
            <v>Trinsic</v>
          </cell>
          <cell r="D1348" t="str">
            <v>Sailor Sam</v>
          </cell>
          <cell r="E1348" t="str">
            <v>You see..</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Trinsic|Skitle|What am I up to?</v>
          </cell>
          <cell r="B1354" t="str">
            <v>Towns</v>
          </cell>
          <cell r="C1354" t="str">
            <v>Trinsic</v>
          </cell>
          <cell r="D1354" t="str">
            <v>Skitle</v>
          </cell>
          <cell r="E1354" t="str">
            <v>What am I up to?</v>
          </cell>
          <cell r="F1354" t="str">
            <v>I hail from dungeon deep.</v>
          </cell>
        </row>
        <row r="1355">
          <cell r="A1355" t="str">
            <v>Trinsic|Skitle|You see..</v>
          </cell>
          <cell r="B1355" t="str">
            <v>Towns</v>
          </cell>
          <cell r="C1355" t="str">
            <v>Trinsic</v>
          </cell>
          <cell r="D1355" t="str">
            <v>Skitle</v>
          </cell>
          <cell r="E1355" t="str">
            <v>You see..</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Trinsic|Swindrik|My job…?</v>
          </cell>
          <cell r="B1359" t="str">
            <v>Towns</v>
          </cell>
          <cell r="C1359" t="str">
            <v>Trinsic</v>
          </cell>
          <cell r="D1359" t="str">
            <v>Swindrik</v>
          </cell>
          <cell r="E1359" t="str">
            <v>My job…?</v>
          </cell>
          <cell r="F1359" t="str">
            <v>I craft potions!</v>
          </cell>
        </row>
        <row r="1360">
          <cell r="A1360" t="str">
            <v>Trinsic|Swindrik|You see..</v>
          </cell>
          <cell r="B1360" t="str">
            <v>Towns</v>
          </cell>
          <cell r="C1360" t="str">
            <v>Trinsic</v>
          </cell>
          <cell r="D1360" t="str">
            <v>Swindrik</v>
          </cell>
          <cell r="E1360" t="str">
            <v>You see..</v>
          </cell>
          <cell r="F1360" t="str">
            <v>A tall wizard.</v>
          </cell>
        </row>
        <row r="1361">
          <cell r="A1361" t="str">
            <v>Trinsic|Swindrik|Mandrake</v>
          </cell>
          <cell r="B1361" t="str">
            <v>Towns</v>
          </cell>
          <cell r="C1361" t="str">
            <v>Trinsic</v>
          </cell>
          <cell r="D1361" t="str">
            <v>Swindrik</v>
          </cell>
          <cell r="E1361" t="str">
            <v>Mandrake</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Trinsic|Swindrik|Potions</v>
          </cell>
          <cell r="B1363" t="str">
            <v>Towns</v>
          </cell>
          <cell r="C1363" t="str">
            <v>Trinsic</v>
          </cell>
          <cell r="D1363" t="str">
            <v>Swindrik</v>
          </cell>
          <cell r="E1363" t="str">
            <v>Potions</v>
          </cell>
          <cell r="F1363" t="str">
            <v>Potions of great power.</v>
          </cell>
        </row>
        <row r="1364">
          <cell r="A1364" t="str">
            <v>Trinsic|Terrin|I saw a skeleton!</v>
          </cell>
          <cell r="B1364" t="str">
            <v>Towns</v>
          </cell>
          <cell r="C1364" t="str">
            <v>Trinsic</v>
          </cell>
          <cell r="D1364" t="str">
            <v>Terrin</v>
          </cell>
          <cell r="E1364" t="str">
            <v>I saw a skeleton!</v>
          </cell>
          <cell r="F1364" t="str">
            <v>A BIG one...with a sword!</v>
          </cell>
        </row>
        <row r="1365">
          <cell r="A1365" t="str">
            <v>Trinsic|Terrin|HEALTH</v>
          </cell>
          <cell r="B1365" t="str">
            <v>Towns</v>
          </cell>
          <cell r="C1365" t="str">
            <v>Trinsic</v>
          </cell>
          <cell r="D1365" t="str">
            <v>Terrin</v>
          </cell>
          <cell r="E1365" t="str">
            <v>HEALTH</v>
          </cell>
          <cell r="F1365" t="str">
            <v>Scared!</v>
          </cell>
        </row>
        <row r="1366">
          <cell r="A1366" t="str">
            <v>Trinsic|Terrin|What am I up to?</v>
          </cell>
          <cell r="B1366" t="str">
            <v>Towns</v>
          </cell>
          <cell r="C1366" t="str">
            <v>Trinsic</v>
          </cell>
          <cell r="D1366" t="str">
            <v>Terrin</v>
          </cell>
          <cell r="E1366" t="str">
            <v>What am I up to?</v>
          </cell>
          <cell r="F1366" t="str">
            <v>I had been looking for the rune when a skeleton appeared!</v>
          </cell>
        </row>
        <row r="1367">
          <cell r="A1367" t="str">
            <v>Trinsic|Terrin|You see..</v>
          </cell>
          <cell r="B1367" t="str">
            <v>Towns</v>
          </cell>
          <cell r="C1367" t="str">
            <v>Trinsic</v>
          </cell>
          <cell r="D1367" t="str">
            <v>Terrin</v>
          </cell>
          <cell r="E1367" t="str">
            <v>You see..</v>
          </cell>
          <cell r="F1367" t="str">
            <v>A scared, cowering nitwit</v>
          </cell>
        </row>
        <row r="1368">
          <cell r="A1368" t="str">
            <v>Trinsic|Terrin|NAME</v>
          </cell>
          <cell r="B1368" t="str">
            <v>Towns</v>
          </cell>
          <cell r="C1368" t="str">
            <v>Trinsic</v>
          </cell>
          <cell r="D1368" t="str">
            <v>Terrin</v>
          </cell>
          <cell r="E1368" t="str">
            <v>NAME</v>
          </cell>
          <cell r="F1368" t="str">
            <v>Terrin</v>
          </cell>
        </row>
        <row r="1369">
          <cell r="A1369" t="str">
            <v>Trinsic|Terrin|The rune..?</v>
          </cell>
          <cell r="B1369" t="str">
            <v>Towns</v>
          </cell>
          <cell r="C1369" t="str">
            <v>Trinsic</v>
          </cell>
          <cell r="D1369" t="str">
            <v>Terrin</v>
          </cell>
          <cell r="E1369" t="str">
            <v>The rune..?</v>
          </cell>
          <cell r="F1369" t="str">
            <v>I heard it is buried in the SOUTHEAST corner of towne, in the MAZE.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Trinsic|Virgil|My passion?</v>
          </cell>
          <cell r="B1372" t="str">
            <v>Towns</v>
          </cell>
          <cell r="C1372" t="str">
            <v>Trinsic</v>
          </cell>
          <cell r="D1372" t="str">
            <v>Virgil</v>
          </cell>
          <cell r="E1372" t="str">
            <v>My passion?</v>
          </cell>
          <cell r="F1372" t="str">
            <v>I create magical fields.</v>
          </cell>
        </row>
        <row r="1373">
          <cell r="A1373" t="str">
            <v>Trinsic|Virgil|You see..</v>
          </cell>
          <cell r="B1373" t="str">
            <v>Towns</v>
          </cell>
          <cell r="C1373" t="str">
            <v>Trinsic</v>
          </cell>
          <cell r="D1373" t="str">
            <v>Virgil</v>
          </cell>
          <cell r="E1373" t="str">
            <v>You see..</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Trinsic|Winthrop|My passion?</v>
          </cell>
          <cell r="B1377" t="str">
            <v>Towns</v>
          </cell>
          <cell r="C1377" t="str">
            <v>Trinsic</v>
          </cell>
          <cell r="D1377" t="str">
            <v>Winthrop</v>
          </cell>
          <cell r="E1377" t="str">
            <v>My passion?</v>
          </cell>
          <cell r="F1377" t="str">
            <v>I trade in rumors.</v>
          </cell>
        </row>
        <row r="1378">
          <cell r="A1378" t="str">
            <v>Trinsic|Winthrop|You see..</v>
          </cell>
          <cell r="B1378" t="str">
            <v>Towns</v>
          </cell>
          <cell r="C1378" t="str">
            <v>Trinsic</v>
          </cell>
          <cell r="D1378" t="str">
            <v>Winthrop</v>
          </cell>
          <cell r="E1378" t="str">
            <v>You see..</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I heard that crazy maze is worth investigating…</v>
          </cell>
        </row>
        <row r="1381">
          <cell r="A1381" t="str">
            <v>Trinsic|Winthrop|RUNE</v>
          </cell>
          <cell r="B1381" t="str">
            <v>Towns</v>
          </cell>
          <cell r="C1381" t="str">
            <v>Trinsic</v>
          </cell>
          <cell r="D1381" t="str">
            <v>Winthrop</v>
          </cell>
          <cell r="E1381" t="str">
            <v>RUNE</v>
          </cell>
          <cell r="F1381" t="str">
            <v>There is a nitwit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That other felon is a mean nasty ugly villain!</v>
          </cell>
        </row>
        <row r="1478">
          <cell r="A1478" t="str">
            <v>Yew|Beggar|HEALTH</v>
          </cell>
          <cell r="B1478" t="str">
            <v>Towns</v>
          </cell>
          <cell r="C1478" t="str">
            <v>Yew</v>
          </cell>
          <cell r="D1478" t="str">
            <v>Beggar</v>
          </cell>
          <cell r="E1478" t="str">
            <v>HEALTH</v>
          </cell>
          <cell r="F1478" t="str">
            <v>They treat me judicially, here, though.</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Yew|Beggar|I have sinned.</v>
          </cell>
          <cell r="B1482" t="str">
            <v>Towns</v>
          </cell>
          <cell r="C1482" t="str">
            <v>Yew</v>
          </cell>
          <cell r="D1482" t="str">
            <v>Beggar</v>
          </cell>
          <cell r="E1482" t="str">
            <v>I have sinned.</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I beg and live hand-to-mouth every day.</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Felons are jailed in the right hand cell.</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Misdemeanors are jailed in the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 Rick|HEALTH</v>
          </cell>
          <cell r="B1543" t="str">
            <v>Towns</v>
          </cell>
          <cell r="C1543" t="str">
            <v>Yew</v>
          </cell>
          <cell r="D1543" t="str">
            <v>Ranger Rick</v>
          </cell>
          <cell r="E1543" t="str">
            <v>HEALTH</v>
          </cell>
          <cell r="F1543" t="str">
            <v>O.K.</v>
          </cell>
        </row>
        <row r="1544">
          <cell r="A1544" t="str">
            <v>Yew|Ranger Rick|HOME</v>
          </cell>
          <cell r="B1544" t="str">
            <v>Towns</v>
          </cell>
          <cell r="C1544" t="str">
            <v>Yew</v>
          </cell>
          <cell r="D1544" t="str">
            <v>Ranger Rick</v>
          </cell>
          <cell r="E1544" t="str">
            <v>HOME</v>
          </cell>
          <cell r="F1544" t="str">
            <v>On the range!</v>
          </cell>
        </row>
        <row r="1545">
          <cell r="A1545" t="str">
            <v>Yew|Ranger Rick|JOB</v>
          </cell>
          <cell r="B1545" t="str">
            <v>Towns</v>
          </cell>
          <cell r="C1545" t="str">
            <v>Yew</v>
          </cell>
          <cell r="D1545" t="str">
            <v>Ranger Rick</v>
          </cell>
          <cell r="E1545" t="str">
            <v>JOB</v>
          </cell>
          <cell r="F1545" t="str">
            <v>I search for a home.</v>
          </cell>
        </row>
        <row r="1546">
          <cell r="A1546" t="str">
            <v>Yew|Ranger Rick|LOOK</v>
          </cell>
          <cell r="B1546" t="str">
            <v>Towns</v>
          </cell>
          <cell r="C1546" t="str">
            <v>Yew</v>
          </cell>
          <cell r="D1546" t="str">
            <v>Ranger Rick</v>
          </cell>
          <cell r="E1546" t="str">
            <v>LOOK</v>
          </cell>
          <cell r="F1546" t="str">
            <v>A sleek ranger.</v>
          </cell>
        </row>
        <row r="1547">
          <cell r="A1547" t="str">
            <v>Yew|Ranger Rick|NAME</v>
          </cell>
          <cell r="B1547" t="str">
            <v>Towns</v>
          </cell>
          <cell r="C1547" t="str">
            <v>Yew</v>
          </cell>
          <cell r="D1547" t="str">
            <v>Ranger Rick</v>
          </cell>
          <cell r="E1547" t="str">
            <v>NAME</v>
          </cell>
          <cell r="F1547" t="str">
            <v>a ranger</v>
          </cell>
        </row>
        <row r="1548">
          <cell r="A1548" t="str">
            <v>Yew|Ranger Rick|RANG</v>
          </cell>
          <cell r="B1548" t="str">
            <v>Towns</v>
          </cell>
          <cell r="C1548" t="str">
            <v>Yew</v>
          </cell>
          <cell r="D1548" t="str">
            <v>Ranger Rick</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The virtue of justice draws its nature from the principles of Trust and Wisdom!</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B1605" t="str">
            <v>Towns</v>
          </cell>
          <cell r="C1605" t="str">
            <v>Moonglow</v>
          </cell>
          <cell r="D1605" t="str">
            <v>Margot</v>
          </cell>
          <cell r="E1605" t="str">
            <v>LOOK</v>
          </cell>
          <cell r="F1605" t="str">
            <v>I am the Propriety of Magical Herbs</v>
          </cell>
        </row>
        <row r="1606">
          <cell r="A1606" t="str">
            <v>Trinsic|Jean|LOOK</v>
          </cell>
          <cell r="B1606" t="str">
            <v>Towns</v>
          </cell>
          <cell r="C1606" t="str">
            <v>Trinsic</v>
          </cell>
          <cell r="D1606" t="str">
            <v>Jean</v>
          </cell>
          <cell r="E1606" t="str">
            <v>LOOK</v>
          </cell>
          <cell r="F1606" t="str">
            <v>I am the Proprietor of Duelling Weapons, here.</v>
          </cell>
        </row>
        <row r="1607">
          <cell r="A1607" t="str">
            <v>Trinsic|Jumar|LOOK</v>
          </cell>
          <cell r="B1607" t="str">
            <v>Towns</v>
          </cell>
          <cell r="C1607" t="str">
            <v>Trinsic</v>
          </cell>
          <cell r="D1607" t="str">
            <v>Jumar</v>
          </cell>
          <cell r="E1607" t="str">
            <v>LOOK</v>
          </cell>
          <cell r="F1607" t="str">
            <v>I am the Proprietor of Duelling Armour, here.</v>
          </cell>
        </row>
        <row r="1608">
          <cell r="A1608" t="str">
            <v>Trinsic|Terran|LOOK</v>
          </cell>
          <cell r="B1608" t="str">
            <v>Towns</v>
          </cell>
          <cell r="C1608" t="str">
            <v>Trinsic</v>
          </cell>
          <cell r="D1608" t="str">
            <v>Terran</v>
          </cell>
          <cell r="E1608" t="str">
            <v>LOOK</v>
          </cell>
          <cell r="F1608" t="str">
            <v>I am the Proprietor of The Keg Tap, here.</v>
          </cell>
        </row>
        <row r="1609">
          <cell r="A1609" t="str">
            <v>Trinsic|Zajac|LOOK</v>
          </cell>
          <cell r="B1609" t="str">
            <v>Towns</v>
          </cell>
          <cell r="C1609" t="str">
            <v>Trinsic</v>
          </cell>
          <cell r="D1609" t="str">
            <v>Zajac</v>
          </cell>
          <cell r="E1609" t="str">
            <v>LOOK</v>
          </cell>
          <cell r="F1609" t="str">
            <v>I am the Proprietor of the Honorable Inn, here.</v>
          </cell>
        </row>
      </sheetData>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O495"/>
  <sheetViews>
    <sheetView tabSelected="1" zoomScale="85" zoomScaleNormal="85" workbookViewId="0">
      <pane xSplit="3" ySplit="1" topLeftCell="D139" activePane="bottomRight" state="frozen"/>
      <selection pane="topRight" activeCell="D1" sqref="D1"/>
      <selection pane="bottomLeft" activeCell="A2" sqref="A2"/>
      <selection pane="bottomRight" activeCell="B152" sqref="B152"/>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6" customWidth="1"/>
    <col min="7" max="8" width="14" customWidth="1"/>
    <col min="9" max="9" width="12" customWidth="1"/>
    <col min="10" max="10" width="28.44140625" customWidth="1"/>
    <col min="11" max="11" width="37.44140625" customWidth="1"/>
    <col min="12" max="12" width="40" customWidth="1"/>
    <col min="13" max="13" width="10" customWidth="1"/>
    <col min="14" max="14" width="9" customWidth="1"/>
    <col min="15" max="15" width="34" customWidth="1"/>
  </cols>
  <sheetData>
    <row r="1" spans="1:15" s="22" customFormat="1" ht="25.95" customHeight="1" x14ac:dyDescent="0.3">
      <c r="A1" s="41" t="s">
        <v>43</v>
      </c>
      <c r="B1" s="41" t="s">
        <v>44</v>
      </c>
      <c r="C1" s="41" t="s">
        <v>45</v>
      </c>
      <c r="D1" s="41" t="s">
        <v>46</v>
      </c>
      <c r="E1" s="41" t="s">
        <v>47</v>
      </c>
      <c r="F1" s="42" t="s">
        <v>48</v>
      </c>
      <c r="G1" s="41" t="s">
        <v>49</v>
      </c>
      <c r="H1" s="41" t="s">
        <v>50</v>
      </c>
      <c r="I1" s="41" t="s">
        <v>51</v>
      </c>
      <c r="J1" s="41" t="s">
        <v>52</v>
      </c>
      <c r="K1" s="41" t="s">
        <v>53</v>
      </c>
      <c r="L1" s="41" t="s">
        <v>54</v>
      </c>
      <c r="M1" s="41" t="s">
        <v>55</v>
      </c>
      <c r="N1" s="41" t="s">
        <v>56</v>
      </c>
      <c r="O1" s="41" t="s">
        <v>57</v>
      </c>
    </row>
    <row r="2" spans="1:15" ht="26.4" x14ac:dyDescent="0.3">
      <c r="A2" s="18" t="s">
        <v>58</v>
      </c>
      <c r="B2" s="4" t="s">
        <v>59</v>
      </c>
      <c r="C2" s="4" t="s">
        <v>60</v>
      </c>
      <c r="D2" s="4" t="s">
        <v>61</v>
      </c>
      <c r="E2" s="4" t="s">
        <v>62</v>
      </c>
      <c r="F2" s="13">
        <v>-1</v>
      </c>
      <c r="G2" s="4" t="s">
        <v>63</v>
      </c>
      <c r="H2" s="4"/>
      <c r="I2" s="7">
        <v>15</v>
      </c>
      <c r="J2" s="7" t="s">
        <v>144</v>
      </c>
      <c r="K2" s="8" t="s">
        <v>64</v>
      </c>
      <c r="L2" s="8" t="s">
        <v>65</v>
      </c>
      <c r="M2" s="4"/>
      <c r="N2" s="4">
        <v>5</v>
      </c>
      <c r="O2" s="4" t="s">
        <v>66</v>
      </c>
    </row>
    <row r="3" spans="1:15" x14ac:dyDescent="0.3">
      <c r="A3" s="18" t="s">
        <v>58</v>
      </c>
      <c r="B3" s="4" t="s">
        <v>59</v>
      </c>
      <c r="C3" s="4" t="s">
        <v>60</v>
      </c>
      <c r="D3" s="4" t="s">
        <v>61</v>
      </c>
      <c r="E3" s="4" t="s">
        <v>62</v>
      </c>
      <c r="F3" s="13">
        <v>-1</v>
      </c>
      <c r="G3" s="4" t="s">
        <v>63</v>
      </c>
      <c r="H3" s="4"/>
      <c r="I3" s="7">
        <v>15</v>
      </c>
      <c r="J3" s="7" t="s">
        <v>145</v>
      </c>
      <c r="K3" s="8" t="s">
        <v>68</v>
      </c>
      <c r="L3" s="8" t="s">
        <v>69</v>
      </c>
      <c r="M3" s="4"/>
      <c r="N3" s="4">
        <v>5</v>
      </c>
      <c r="O3" s="4"/>
    </row>
    <row r="4" spans="1:15" x14ac:dyDescent="0.3">
      <c r="A4" s="18" t="s">
        <v>58</v>
      </c>
      <c r="B4" s="4" t="s">
        <v>59</v>
      </c>
      <c r="C4" s="4" t="s">
        <v>60</v>
      </c>
      <c r="D4" s="4" t="s">
        <v>61</v>
      </c>
      <c r="E4" s="4" t="s">
        <v>62</v>
      </c>
      <c r="F4" s="13">
        <v>-1</v>
      </c>
      <c r="G4" s="4" t="s">
        <v>63</v>
      </c>
      <c r="H4" s="4"/>
      <c r="I4" s="7">
        <v>15</v>
      </c>
      <c r="J4" s="7" t="s">
        <v>176</v>
      </c>
      <c r="K4" s="8" t="s">
        <v>181</v>
      </c>
      <c r="L4" s="8" t="s">
        <v>180</v>
      </c>
      <c r="M4" s="4"/>
      <c r="N4" s="4">
        <v>5</v>
      </c>
      <c r="O4" s="4"/>
    </row>
    <row r="5" spans="1:15" x14ac:dyDescent="0.3">
      <c r="A5" s="18" t="s">
        <v>58</v>
      </c>
      <c r="B5" s="4" t="s">
        <v>59</v>
      </c>
      <c r="C5" s="4" t="s">
        <v>60</v>
      </c>
      <c r="D5" s="4" t="s">
        <v>61</v>
      </c>
      <c r="E5" s="4" t="s">
        <v>62</v>
      </c>
      <c r="F5" s="13">
        <v>-1</v>
      </c>
      <c r="G5" s="4" t="s">
        <v>63</v>
      </c>
      <c r="H5" s="4"/>
      <c r="I5" s="7">
        <v>15</v>
      </c>
      <c r="J5" s="7" t="s">
        <v>146</v>
      </c>
      <c r="K5" s="8" t="s">
        <v>147</v>
      </c>
      <c r="L5" s="8" t="s">
        <v>70</v>
      </c>
      <c r="M5" s="4"/>
      <c r="N5" s="4">
        <v>5</v>
      </c>
      <c r="O5" s="4"/>
    </row>
    <row r="6" spans="1:15" x14ac:dyDescent="0.3">
      <c r="A6" s="18" t="s">
        <v>58</v>
      </c>
      <c r="B6" s="4" t="s">
        <v>59</v>
      </c>
      <c r="C6" s="4" t="s">
        <v>60</v>
      </c>
      <c r="D6" s="4" t="s">
        <v>61</v>
      </c>
      <c r="E6" s="4" t="s">
        <v>62</v>
      </c>
      <c r="F6" s="13">
        <v>-1</v>
      </c>
      <c r="G6" s="4" t="s">
        <v>63</v>
      </c>
      <c r="H6" s="4"/>
      <c r="I6" s="7">
        <v>15</v>
      </c>
      <c r="J6" s="7" t="s">
        <v>148</v>
      </c>
      <c r="K6" s="8" t="s">
        <v>149</v>
      </c>
      <c r="L6" s="8" t="s">
        <v>71</v>
      </c>
      <c r="M6" s="4"/>
      <c r="N6" s="4">
        <v>5</v>
      </c>
      <c r="O6" s="4"/>
    </row>
    <row r="7" spans="1:15" x14ac:dyDescent="0.3">
      <c r="A7" s="18" t="s">
        <v>58</v>
      </c>
      <c r="B7" s="4" t="s">
        <v>59</v>
      </c>
      <c r="C7" s="4" t="s">
        <v>60</v>
      </c>
      <c r="D7" s="4" t="s">
        <v>61</v>
      </c>
      <c r="E7" s="4" t="s">
        <v>62</v>
      </c>
      <c r="F7" s="13">
        <v>-1</v>
      </c>
      <c r="G7" s="4" t="s">
        <v>63</v>
      </c>
      <c r="H7" s="4"/>
      <c r="I7" s="7">
        <v>10</v>
      </c>
      <c r="J7" s="7" t="s">
        <v>177</v>
      </c>
      <c r="K7" s="8" t="s">
        <v>179</v>
      </c>
      <c r="L7" s="8" t="s">
        <v>178</v>
      </c>
      <c r="M7" s="4"/>
      <c r="N7" s="4">
        <v>5</v>
      </c>
      <c r="O7" s="4"/>
    </row>
    <row r="8" spans="1:15" ht="39.6" x14ac:dyDescent="0.3">
      <c r="A8" s="18" t="s">
        <v>58</v>
      </c>
      <c r="B8" s="4" t="s">
        <v>59</v>
      </c>
      <c r="C8" s="4" t="s">
        <v>60</v>
      </c>
      <c r="D8" s="4" t="s">
        <v>61</v>
      </c>
      <c r="E8" s="4" t="s">
        <v>62</v>
      </c>
      <c r="F8" s="13">
        <v>-1</v>
      </c>
      <c r="G8" s="6" t="s">
        <v>72</v>
      </c>
      <c r="H8" s="6" t="s">
        <v>73</v>
      </c>
      <c r="I8" s="6">
        <v>15</v>
      </c>
      <c r="J8" s="6" t="s">
        <v>74</v>
      </c>
      <c r="K8" s="4" t="s">
        <v>143</v>
      </c>
      <c r="L8" s="4" t="s">
        <v>75</v>
      </c>
      <c r="M8" s="4">
        <v>1</v>
      </c>
      <c r="N8" s="4">
        <v>5</v>
      </c>
      <c r="O8" s="4" t="s">
        <v>76</v>
      </c>
    </row>
    <row r="9" spans="1:15" ht="26.4" x14ac:dyDescent="0.3">
      <c r="A9" s="18" t="s">
        <v>58</v>
      </c>
      <c r="B9" s="4" t="s">
        <v>59</v>
      </c>
      <c r="C9" s="4" t="s">
        <v>60</v>
      </c>
      <c r="D9" s="4" t="s">
        <v>61</v>
      </c>
      <c r="E9" s="4" t="s">
        <v>62</v>
      </c>
      <c r="F9" s="13">
        <v>-1</v>
      </c>
      <c r="G9" s="6" t="s">
        <v>72</v>
      </c>
      <c r="H9" s="6" t="s">
        <v>77</v>
      </c>
      <c r="I9" s="6">
        <v>15</v>
      </c>
      <c r="J9" s="6" t="s">
        <v>74</v>
      </c>
      <c r="K9" s="4" t="s">
        <v>143</v>
      </c>
      <c r="L9" s="4" t="s">
        <v>78</v>
      </c>
      <c r="M9" s="4"/>
      <c r="N9" s="4">
        <v>-50</v>
      </c>
      <c r="O9" s="4"/>
    </row>
    <row r="10" spans="1:15" x14ac:dyDescent="0.3">
      <c r="A10" s="18" t="s">
        <v>58</v>
      </c>
      <c r="B10" s="4" t="s">
        <v>59</v>
      </c>
      <c r="C10" s="4" t="s">
        <v>60</v>
      </c>
      <c r="D10" s="4" t="s">
        <v>79</v>
      </c>
      <c r="E10" s="4" t="s">
        <v>80</v>
      </c>
      <c r="F10" s="13">
        <v>-1</v>
      </c>
      <c r="G10" s="4" t="s">
        <v>81</v>
      </c>
      <c r="H10" s="4"/>
      <c r="I10" s="4"/>
      <c r="J10" s="4"/>
      <c r="K10" s="4" t="s">
        <v>82</v>
      </c>
      <c r="L10" s="4" t="s">
        <v>83</v>
      </c>
      <c r="M10" s="4">
        <v>10</v>
      </c>
      <c r="N10" s="4">
        <v>4</v>
      </c>
      <c r="O10" s="4"/>
    </row>
    <row r="11" spans="1:15" ht="26.4" x14ac:dyDescent="0.3">
      <c r="A11" s="18" t="s">
        <v>58</v>
      </c>
      <c r="B11" s="4" t="s">
        <v>59</v>
      </c>
      <c r="C11" s="4" t="s">
        <v>60</v>
      </c>
      <c r="D11" s="4" t="s">
        <v>79</v>
      </c>
      <c r="E11" s="4" t="s">
        <v>84</v>
      </c>
      <c r="F11" s="13">
        <v>-1</v>
      </c>
      <c r="G11" s="4" t="s">
        <v>81</v>
      </c>
      <c r="H11" s="4"/>
      <c r="I11" s="4"/>
      <c r="J11" s="4" t="s">
        <v>186</v>
      </c>
      <c r="K11" s="4" t="s">
        <v>187</v>
      </c>
      <c r="L11" s="4" t="s">
        <v>188</v>
      </c>
      <c r="M11" s="4">
        <v>1</v>
      </c>
      <c r="N11" s="4">
        <v>4</v>
      </c>
      <c r="O11" s="4"/>
    </row>
    <row r="12" spans="1:15" ht="26.4" x14ac:dyDescent="0.3">
      <c r="A12" s="18" t="s">
        <v>58</v>
      </c>
      <c r="B12" s="4" t="s">
        <v>85</v>
      </c>
      <c r="C12" s="4" t="s">
        <v>86</v>
      </c>
      <c r="D12" s="4" t="s">
        <v>61</v>
      </c>
      <c r="E12" s="4" t="s">
        <v>96</v>
      </c>
      <c r="F12" s="13">
        <v>-1</v>
      </c>
      <c r="G12" s="4" t="s">
        <v>81</v>
      </c>
      <c r="H12" s="4"/>
      <c r="I12" s="4"/>
      <c r="J12" s="4" t="s">
        <v>87</v>
      </c>
      <c r="K12" s="4" t="s">
        <v>88</v>
      </c>
      <c r="L12" s="4" t="s">
        <v>151</v>
      </c>
      <c r="M12" s="4"/>
      <c r="N12" s="4">
        <v>5</v>
      </c>
      <c r="O12" s="4" t="s">
        <v>89</v>
      </c>
    </row>
    <row r="13" spans="1:15" s="9" customFormat="1" ht="39.6" x14ac:dyDescent="0.3">
      <c r="A13" s="19" t="s">
        <v>58</v>
      </c>
      <c r="B13" s="6" t="s">
        <v>90</v>
      </c>
      <c r="C13" s="6" t="s">
        <v>91</v>
      </c>
      <c r="D13" s="6" t="s">
        <v>79</v>
      </c>
      <c r="E13" s="6" t="s">
        <v>92</v>
      </c>
      <c r="F13" s="13">
        <v>-1</v>
      </c>
      <c r="G13" s="6" t="s">
        <v>81</v>
      </c>
      <c r="H13" s="6"/>
      <c r="I13" s="6"/>
      <c r="J13" s="6" t="s">
        <v>67</v>
      </c>
      <c r="K13" s="6" t="s">
        <v>153</v>
      </c>
      <c r="L13" s="6" t="s">
        <v>152</v>
      </c>
      <c r="M13" s="6"/>
      <c r="N13" s="6">
        <v>20</v>
      </c>
      <c r="O13" s="6" t="s">
        <v>93</v>
      </c>
    </row>
    <row r="14" spans="1:15" ht="26.4" x14ac:dyDescent="0.3">
      <c r="A14" s="18" t="s">
        <v>58</v>
      </c>
      <c r="B14" s="4" t="s">
        <v>94</v>
      </c>
      <c r="C14" s="4" t="s">
        <v>95</v>
      </c>
      <c r="D14" s="4" t="s">
        <v>61</v>
      </c>
      <c r="E14" s="4" t="s">
        <v>96</v>
      </c>
      <c r="F14" s="13">
        <v>-1</v>
      </c>
      <c r="G14" s="4" t="s">
        <v>81</v>
      </c>
      <c r="H14" s="4"/>
      <c r="I14" s="4"/>
      <c r="J14" s="4" t="s">
        <v>97</v>
      </c>
      <c r="K14" s="4" t="s">
        <v>98</v>
      </c>
      <c r="L14" s="4" t="s">
        <v>99</v>
      </c>
      <c r="M14" s="4"/>
      <c r="N14" s="4">
        <v>5</v>
      </c>
      <c r="O14" s="4" t="s">
        <v>100</v>
      </c>
    </row>
    <row r="15" spans="1:15" ht="26.4" x14ac:dyDescent="0.3">
      <c r="A15" s="18" t="s">
        <v>58</v>
      </c>
      <c r="B15" s="4" t="s">
        <v>101</v>
      </c>
      <c r="C15" s="4" t="s">
        <v>95</v>
      </c>
      <c r="D15" s="4" t="s">
        <v>61</v>
      </c>
      <c r="E15" s="4" t="s">
        <v>96</v>
      </c>
      <c r="F15" s="13">
        <v>-1</v>
      </c>
      <c r="G15" s="4" t="s">
        <v>81</v>
      </c>
      <c r="H15" s="4"/>
      <c r="I15" s="4"/>
      <c r="J15" s="4" t="s">
        <v>102</v>
      </c>
      <c r="K15" s="4" t="s">
        <v>103</v>
      </c>
      <c r="L15" s="6" t="s">
        <v>150</v>
      </c>
      <c r="M15" s="4"/>
      <c r="N15" s="4">
        <v>5</v>
      </c>
      <c r="O15" s="4" t="s">
        <v>104</v>
      </c>
    </row>
    <row r="16" spans="1:15" ht="39.6" x14ac:dyDescent="0.3">
      <c r="A16" s="18" t="s">
        <v>58</v>
      </c>
      <c r="B16" s="4" t="s">
        <v>105</v>
      </c>
      <c r="C16" s="4" t="s">
        <v>86</v>
      </c>
      <c r="D16" s="4" t="s">
        <v>79</v>
      </c>
      <c r="E16" s="4" t="s">
        <v>92</v>
      </c>
      <c r="F16" s="13">
        <v>-1</v>
      </c>
      <c r="G16" s="6" t="s">
        <v>72</v>
      </c>
      <c r="H16" s="6" t="s">
        <v>73</v>
      </c>
      <c r="I16" s="6"/>
      <c r="J16" s="6" t="s">
        <v>74</v>
      </c>
      <c r="K16" s="4" t="s">
        <v>106</v>
      </c>
      <c r="L16" s="4" t="s">
        <v>107</v>
      </c>
      <c r="M16" s="4">
        <v>5</v>
      </c>
      <c r="N16" s="4">
        <v>5</v>
      </c>
      <c r="O16" s="4" t="s">
        <v>108</v>
      </c>
    </row>
    <row r="17" spans="1:15" x14ac:dyDescent="0.3">
      <c r="A17" s="18" t="s">
        <v>58</v>
      </c>
      <c r="B17" s="4" t="s">
        <v>105</v>
      </c>
      <c r="C17" s="4" t="s">
        <v>86</v>
      </c>
      <c r="D17" s="4" t="s">
        <v>79</v>
      </c>
      <c r="E17" s="4" t="s">
        <v>92</v>
      </c>
      <c r="F17" s="13">
        <v>-1</v>
      </c>
      <c r="G17" s="6" t="s">
        <v>72</v>
      </c>
      <c r="H17" s="6" t="s">
        <v>77</v>
      </c>
      <c r="I17" s="6"/>
      <c r="J17" s="6" t="s">
        <v>74</v>
      </c>
      <c r="K17" s="4" t="s">
        <v>106</v>
      </c>
      <c r="L17" s="4" t="s">
        <v>109</v>
      </c>
      <c r="M17" s="4"/>
      <c r="N17" s="4">
        <v>-5</v>
      </c>
      <c r="O17" s="4"/>
    </row>
    <row r="18" spans="1:15" ht="26.4" x14ac:dyDescent="0.3">
      <c r="A18" s="18" t="s">
        <v>58</v>
      </c>
      <c r="B18" s="4" t="s">
        <v>110</v>
      </c>
      <c r="C18" s="4" t="s">
        <v>111</v>
      </c>
      <c r="D18" s="4" t="s">
        <v>61</v>
      </c>
      <c r="E18" s="4" t="s">
        <v>96</v>
      </c>
      <c r="F18" s="13">
        <v>-1</v>
      </c>
      <c r="G18" s="4" t="s">
        <v>81</v>
      </c>
      <c r="H18" s="4"/>
      <c r="I18" s="4"/>
      <c r="J18" s="4" t="s">
        <v>112</v>
      </c>
      <c r="K18" s="4" t="s">
        <v>113</v>
      </c>
      <c r="L18" s="4" t="s">
        <v>114</v>
      </c>
      <c r="M18" s="4"/>
      <c r="N18" s="4">
        <v>5</v>
      </c>
      <c r="O18" s="4" t="s">
        <v>115</v>
      </c>
    </row>
    <row r="19" spans="1:15" x14ac:dyDescent="0.3">
      <c r="A19" s="18" t="s">
        <v>58</v>
      </c>
      <c r="B19" s="4" t="s">
        <v>116</v>
      </c>
      <c r="C19" s="4" t="s">
        <v>111</v>
      </c>
      <c r="D19" s="4" t="s">
        <v>61</v>
      </c>
      <c r="E19" s="4" t="s">
        <v>96</v>
      </c>
      <c r="F19" s="13">
        <v>-1</v>
      </c>
      <c r="G19" s="4" t="s">
        <v>81</v>
      </c>
      <c r="H19" s="4"/>
      <c r="I19" s="4"/>
      <c r="J19" s="4" t="s">
        <v>117</v>
      </c>
      <c r="K19" s="4" t="s">
        <v>118</v>
      </c>
      <c r="L19" s="4" t="s">
        <v>119</v>
      </c>
      <c r="M19" s="4"/>
      <c r="N19" s="4">
        <v>5</v>
      </c>
      <c r="O19" s="4" t="s">
        <v>115</v>
      </c>
    </row>
    <row r="20" spans="1:15" ht="26.4" x14ac:dyDescent="0.3">
      <c r="A20" s="18" t="s">
        <v>58</v>
      </c>
      <c r="B20" s="4" t="s">
        <v>120</v>
      </c>
      <c r="C20" s="4" t="s">
        <v>121</v>
      </c>
      <c r="D20" s="4" t="s">
        <v>61</v>
      </c>
      <c r="E20" s="4" t="s">
        <v>96</v>
      </c>
      <c r="F20" s="13">
        <v>-1</v>
      </c>
      <c r="G20" s="4" t="s">
        <v>81</v>
      </c>
      <c r="H20" s="4"/>
      <c r="I20" s="4"/>
      <c r="J20" s="6" t="s">
        <v>122</v>
      </c>
      <c r="K20" s="6" t="s">
        <v>156</v>
      </c>
      <c r="L20" s="6" t="s">
        <v>157</v>
      </c>
      <c r="M20" s="4"/>
      <c r="N20" s="4">
        <v>5</v>
      </c>
      <c r="O20" s="4" t="s">
        <v>123</v>
      </c>
    </row>
    <row r="21" spans="1:15" ht="26.4" x14ac:dyDescent="0.3">
      <c r="A21" s="18" t="s">
        <v>58</v>
      </c>
      <c r="B21" s="4" t="s">
        <v>124</v>
      </c>
      <c r="C21" s="4" t="s">
        <v>121</v>
      </c>
      <c r="D21" s="4" t="s">
        <v>61</v>
      </c>
      <c r="E21" s="4" t="s">
        <v>96</v>
      </c>
      <c r="F21" s="13">
        <v>-1</v>
      </c>
      <c r="G21" s="4" t="s">
        <v>81</v>
      </c>
      <c r="H21" s="4"/>
      <c r="I21" s="4"/>
      <c r="J21" s="6" t="s">
        <v>125</v>
      </c>
      <c r="K21" s="6" t="s">
        <v>155</v>
      </c>
      <c r="L21" s="6" t="s">
        <v>158</v>
      </c>
      <c r="M21" s="4"/>
      <c r="N21" s="4">
        <v>5</v>
      </c>
      <c r="O21" s="4" t="s">
        <v>123</v>
      </c>
    </row>
    <row r="22" spans="1:15" ht="26.4" x14ac:dyDescent="0.3">
      <c r="A22" s="18" t="s">
        <v>58</v>
      </c>
      <c r="B22" s="4" t="s">
        <v>126</v>
      </c>
      <c r="C22" s="4" t="s">
        <v>111</v>
      </c>
      <c r="D22" s="4" t="s">
        <v>61</v>
      </c>
      <c r="E22" s="4" t="s">
        <v>96</v>
      </c>
      <c r="F22" s="13">
        <v>-1</v>
      </c>
      <c r="G22" s="4" t="s">
        <v>81</v>
      </c>
      <c r="H22" s="4"/>
      <c r="I22" s="4"/>
      <c r="J22" s="4" t="s">
        <v>117</v>
      </c>
      <c r="K22" s="4" t="s">
        <v>127</v>
      </c>
      <c r="L22" s="4" t="s">
        <v>128</v>
      </c>
      <c r="M22" s="4"/>
      <c r="N22" s="4">
        <v>5</v>
      </c>
      <c r="O22" s="4"/>
    </row>
    <row r="23" spans="1:15" x14ac:dyDescent="0.3">
      <c r="A23" s="18" t="s">
        <v>58</v>
      </c>
      <c r="B23" s="4" t="s">
        <v>133</v>
      </c>
      <c r="C23" s="4" t="s">
        <v>134</v>
      </c>
      <c r="D23" s="4" t="s">
        <v>79</v>
      </c>
      <c r="E23" s="4" t="s">
        <v>80</v>
      </c>
      <c r="F23" s="13">
        <v>-1</v>
      </c>
      <c r="G23" s="4" t="s">
        <v>81</v>
      </c>
      <c r="H23" s="4"/>
      <c r="I23" s="4"/>
      <c r="J23" s="4" t="s">
        <v>130</v>
      </c>
      <c r="K23" s="4" t="s">
        <v>138</v>
      </c>
      <c r="L23" s="4" t="str">
        <f>B23&amp;": "&amp;K23</f>
        <v>Winston A.: The mantra is in Iolo's poem.</v>
      </c>
      <c r="M23" s="4"/>
      <c r="N23" s="4">
        <v>5</v>
      </c>
      <c r="O23" s="4"/>
    </row>
    <row r="24" spans="1:15" ht="26.4" x14ac:dyDescent="0.3">
      <c r="A24" s="18" t="s">
        <v>58</v>
      </c>
      <c r="B24" s="4" t="s">
        <v>133</v>
      </c>
      <c r="C24" s="4" t="s">
        <v>134</v>
      </c>
      <c r="D24" s="4" t="s">
        <v>79</v>
      </c>
      <c r="E24" s="4" t="s">
        <v>84</v>
      </c>
      <c r="F24" s="13">
        <v>-1</v>
      </c>
      <c r="G24" s="4" t="s">
        <v>81</v>
      </c>
      <c r="H24" s="4"/>
      <c r="I24" s="4"/>
      <c r="J24" s="4" t="s">
        <v>173</v>
      </c>
      <c r="K24" s="4" t="s">
        <v>172</v>
      </c>
      <c r="L24" s="4" t="str">
        <f>B24&amp;": "&amp;K24</f>
        <v>Winston A.: You can see that iron ingots aren't so easy to make, eh?</v>
      </c>
      <c r="M24" s="4"/>
      <c r="N24" s="4">
        <v>5</v>
      </c>
      <c r="O24" s="4"/>
    </row>
    <row r="25" spans="1:15" ht="26.4" x14ac:dyDescent="0.3">
      <c r="A25" s="18" t="s">
        <v>58</v>
      </c>
      <c r="B25" s="4" t="s">
        <v>133</v>
      </c>
      <c r="C25" s="4" t="s">
        <v>134</v>
      </c>
      <c r="D25" s="4" t="s">
        <v>79</v>
      </c>
      <c r="E25" s="4" t="s">
        <v>174</v>
      </c>
      <c r="F25" s="13">
        <v>-1</v>
      </c>
      <c r="G25" s="4" t="s">
        <v>81</v>
      </c>
      <c r="H25" s="4"/>
      <c r="I25" s="4"/>
      <c r="J25" s="4" t="s">
        <v>171</v>
      </c>
      <c r="K25" s="4" t="s">
        <v>175</v>
      </c>
      <c r="L25" s="4" t="str">
        <f>B25&amp;": "&amp;K25</f>
        <v>Winston A.: Until you KNOW iron, you're not fit to hold ingots!</v>
      </c>
      <c r="M25" s="4"/>
      <c r="N25" s="4">
        <v>5</v>
      </c>
      <c r="O25" s="4"/>
    </row>
    <row r="26" spans="1:15" ht="26.4" x14ac:dyDescent="0.3">
      <c r="A26" s="18" t="s">
        <v>58</v>
      </c>
      <c r="B26" s="4" t="s">
        <v>136</v>
      </c>
      <c r="C26" s="4" t="s">
        <v>137</v>
      </c>
      <c r="D26" s="4" t="s">
        <v>79</v>
      </c>
      <c r="E26" s="4" t="s">
        <v>92</v>
      </c>
      <c r="F26" s="13">
        <v>-1</v>
      </c>
      <c r="G26" s="4" t="s">
        <v>81</v>
      </c>
      <c r="H26" s="4"/>
      <c r="I26" s="4"/>
      <c r="J26" s="4" t="s">
        <v>130</v>
      </c>
      <c r="K26" s="4" t="s">
        <v>135</v>
      </c>
      <c r="L26" s="4" t="str">
        <f>B26&amp;": "&amp;K26</f>
        <v>Winston T.: Shalimar and Cricket say the mantra.</v>
      </c>
      <c r="M26" s="4"/>
      <c r="N26" s="4">
        <v>5</v>
      </c>
      <c r="O26" s="4"/>
    </row>
    <row r="27" spans="1:15" x14ac:dyDescent="0.3">
      <c r="A27" s="18" t="s">
        <v>58</v>
      </c>
      <c r="B27" s="4" t="s">
        <v>139</v>
      </c>
      <c r="C27" s="4" t="s">
        <v>140</v>
      </c>
      <c r="D27" s="4" t="s">
        <v>79</v>
      </c>
      <c r="E27" s="4" t="s">
        <v>92</v>
      </c>
      <c r="F27" s="13">
        <v>-1</v>
      </c>
      <c r="G27" s="4" t="s">
        <v>81</v>
      </c>
      <c r="H27" s="4"/>
      <c r="I27" s="4"/>
      <c r="J27" s="4" t="s">
        <v>130</v>
      </c>
      <c r="K27" s="4" t="s">
        <v>168</v>
      </c>
      <c r="L27" s="4" t="s">
        <v>169</v>
      </c>
      <c r="M27" s="4"/>
      <c r="N27" s="4">
        <v>5</v>
      </c>
      <c r="O27" s="4"/>
    </row>
    <row r="28" spans="1:15" x14ac:dyDescent="0.3">
      <c r="A28" s="18" t="s">
        <v>58</v>
      </c>
      <c r="B28" s="4" t="s">
        <v>141</v>
      </c>
      <c r="C28" s="4" t="s">
        <v>142</v>
      </c>
      <c r="D28" s="4" t="s">
        <v>79</v>
      </c>
      <c r="E28" s="4" t="s">
        <v>92</v>
      </c>
      <c r="F28" s="13">
        <v>-1</v>
      </c>
      <c r="G28" s="4" t="s">
        <v>81</v>
      </c>
      <c r="H28" s="4"/>
      <c r="I28" s="4"/>
      <c r="J28" s="4" t="s">
        <v>130</v>
      </c>
      <c r="K28" s="4" t="s">
        <v>167</v>
      </c>
      <c r="L28" s="4" t="s">
        <v>170</v>
      </c>
      <c r="M28" s="4"/>
      <c r="N28" s="4">
        <v>5</v>
      </c>
      <c r="O28" s="4"/>
    </row>
    <row r="29" spans="1:15" s="11" customFormat="1" ht="26.4" x14ac:dyDescent="0.3">
      <c r="A29" s="20" t="s">
        <v>58</v>
      </c>
      <c r="B29" s="8" t="s">
        <v>159</v>
      </c>
      <c r="C29" s="7" t="s">
        <v>111</v>
      </c>
      <c r="D29" s="7" t="s">
        <v>61</v>
      </c>
      <c r="E29" s="7" t="s">
        <v>154</v>
      </c>
      <c r="F29" s="15">
        <v>-1</v>
      </c>
      <c r="G29" s="7" t="s">
        <v>81</v>
      </c>
      <c r="H29" s="7"/>
      <c r="I29" s="7"/>
      <c r="J29" s="7" t="s">
        <v>160</v>
      </c>
      <c r="K29" s="7" t="s">
        <v>161</v>
      </c>
      <c r="L29" s="7" t="s">
        <v>162</v>
      </c>
      <c r="M29" s="7"/>
      <c r="N29" s="7">
        <v>5</v>
      </c>
      <c r="O29" s="7" t="s">
        <v>111</v>
      </c>
    </row>
    <row r="30" spans="1:15" s="9" customFormat="1" x14ac:dyDescent="0.3">
      <c r="A30" s="20" t="s">
        <v>58</v>
      </c>
      <c r="B30" s="9" t="s">
        <v>129</v>
      </c>
      <c r="C30" s="9" t="s">
        <v>111</v>
      </c>
      <c r="D30" s="7" t="s">
        <v>61</v>
      </c>
      <c r="E30" s="7" t="s">
        <v>154</v>
      </c>
      <c r="F30" s="16">
        <v>3</v>
      </c>
      <c r="G30" s="10" t="s">
        <v>81</v>
      </c>
      <c r="H30" s="10"/>
      <c r="I30" s="10"/>
      <c r="J30" s="10" t="s">
        <v>166</v>
      </c>
      <c r="K30" s="10" t="s">
        <v>165</v>
      </c>
      <c r="L30" s="10" t="s">
        <v>164</v>
      </c>
      <c r="M30" s="10"/>
      <c r="N30" s="7">
        <v>5</v>
      </c>
      <c r="O30" s="11" t="s">
        <v>115</v>
      </c>
    </row>
    <row r="31" spans="1:15" s="11" customFormat="1" ht="26.4" x14ac:dyDescent="0.3">
      <c r="A31" s="20" t="s">
        <v>58</v>
      </c>
      <c r="B31" s="11" t="s">
        <v>129</v>
      </c>
      <c r="C31" s="11" t="s">
        <v>111</v>
      </c>
      <c r="D31" s="12" t="s">
        <v>79</v>
      </c>
      <c r="E31" s="8" t="s">
        <v>92</v>
      </c>
      <c r="F31" s="17">
        <v>-1</v>
      </c>
      <c r="G31" s="8" t="s">
        <v>81</v>
      </c>
      <c r="H31" s="8"/>
      <c r="J31" s="8" t="s">
        <v>163</v>
      </c>
      <c r="K31" s="11" t="s">
        <v>131</v>
      </c>
      <c r="L31" s="6" t="s">
        <v>132</v>
      </c>
      <c r="M31" s="8"/>
      <c r="N31" s="7">
        <v>5</v>
      </c>
      <c r="O31" s="11" t="s">
        <v>115</v>
      </c>
    </row>
    <row r="32" spans="1:15" ht="26.4" x14ac:dyDescent="0.3">
      <c r="A32" s="19" t="s">
        <v>58</v>
      </c>
      <c r="B32" s="6" t="s">
        <v>182</v>
      </c>
      <c r="C32" s="6" t="s">
        <v>183</v>
      </c>
      <c r="D32" s="6" t="s">
        <v>61</v>
      </c>
      <c r="E32" s="6" t="s">
        <v>154</v>
      </c>
      <c r="F32" s="13">
        <v>3</v>
      </c>
      <c r="G32" s="6" t="s">
        <v>81</v>
      </c>
      <c r="H32" s="6"/>
      <c r="I32" s="6"/>
      <c r="J32" s="6" t="s">
        <v>184</v>
      </c>
      <c r="K32" s="6" t="s">
        <v>185</v>
      </c>
      <c r="L32" s="6" t="str">
        <f>B32&amp;": "&amp;K32</f>
        <v>Winston M.: I can teach you how to mine cobblestones!</v>
      </c>
      <c r="M32" s="5"/>
      <c r="N32" s="4">
        <v>10</v>
      </c>
      <c r="O32" s="4" t="s">
        <v>183</v>
      </c>
    </row>
    <row r="33" spans="1:15" s="22" customFormat="1" x14ac:dyDescent="0.3">
      <c r="A33" s="21" t="s">
        <v>189</v>
      </c>
      <c r="B33" s="5" t="s">
        <v>190</v>
      </c>
      <c r="C33" s="5" t="s">
        <v>121</v>
      </c>
      <c r="D33" s="7" t="s">
        <v>61</v>
      </c>
      <c r="E33" s="7" t="s">
        <v>154</v>
      </c>
      <c r="F33" s="13">
        <v>-1</v>
      </c>
      <c r="G33" s="4" t="s">
        <v>63</v>
      </c>
      <c r="H33" s="4"/>
      <c r="I33" s="7">
        <v>8</v>
      </c>
      <c r="J33" s="5" t="s">
        <v>205</v>
      </c>
      <c r="K33" s="5" t="s">
        <v>206</v>
      </c>
      <c r="L33" s="5" t="s">
        <v>215</v>
      </c>
      <c r="M33" s="5"/>
      <c r="N33" s="5">
        <v>0</v>
      </c>
      <c r="O33" s="5" t="s">
        <v>121</v>
      </c>
    </row>
    <row r="34" spans="1:15" s="22" customFormat="1" x14ac:dyDescent="0.3">
      <c r="A34" s="21" t="s">
        <v>189</v>
      </c>
      <c r="B34" s="5" t="s">
        <v>190</v>
      </c>
      <c r="C34" s="5" t="s">
        <v>121</v>
      </c>
      <c r="D34" s="7" t="s">
        <v>61</v>
      </c>
      <c r="E34" s="7" t="s">
        <v>154</v>
      </c>
      <c r="F34" s="13">
        <v>-1</v>
      </c>
      <c r="G34" s="4" t="s">
        <v>63</v>
      </c>
      <c r="H34" s="4"/>
      <c r="I34" s="7">
        <v>16</v>
      </c>
      <c r="J34" s="5" t="s">
        <v>207</v>
      </c>
      <c r="K34" s="5" t="s">
        <v>507</v>
      </c>
      <c r="L34" s="5" t="s">
        <v>508</v>
      </c>
      <c r="M34" s="5"/>
      <c r="N34" s="5">
        <v>0</v>
      </c>
      <c r="O34" s="5" t="s">
        <v>121</v>
      </c>
    </row>
    <row r="35" spans="1:15" s="22" customFormat="1" x14ac:dyDescent="0.3">
      <c r="A35" s="21" t="s">
        <v>189</v>
      </c>
      <c r="B35" s="5" t="s">
        <v>190</v>
      </c>
      <c r="C35" s="5" t="s">
        <v>121</v>
      </c>
      <c r="D35" s="7" t="s">
        <v>61</v>
      </c>
      <c r="E35" s="7" t="s">
        <v>154</v>
      </c>
      <c r="F35" s="13">
        <v>-1</v>
      </c>
      <c r="G35" s="4" t="s">
        <v>63</v>
      </c>
      <c r="H35" s="4"/>
      <c r="I35" s="7">
        <v>8</v>
      </c>
      <c r="J35" s="5" t="s">
        <v>191</v>
      </c>
      <c r="K35" s="5" t="s">
        <v>193</v>
      </c>
      <c r="L35" s="5" t="s">
        <v>216</v>
      </c>
      <c r="M35" s="5"/>
      <c r="N35" s="5">
        <v>0</v>
      </c>
      <c r="O35" s="5" t="s">
        <v>121</v>
      </c>
    </row>
    <row r="36" spans="1:15" s="22" customFormat="1" x14ac:dyDescent="0.3">
      <c r="A36" s="21" t="s">
        <v>189</v>
      </c>
      <c r="B36" s="5" t="s">
        <v>190</v>
      </c>
      <c r="C36" s="5" t="s">
        <v>121</v>
      </c>
      <c r="D36" s="7" t="s">
        <v>61</v>
      </c>
      <c r="E36" s="7" t="s">
        <v>154</v>
      </c>
      <c r="F36" s="13">
        <v>-1</v>
      </c>
      <c r="G36" s="4" t="s">
        <v>63</v>
      </c>
      <c r="H36" s="4"/>
      <c r="I36" s="7">
        <v>8</v>
      </c>
      <c r="J36" s="5" t="s">
        <v>199</v>
      </c>
      <c r="K36" s="5" t="s">
        <v>198</v>
      </c>
      <c r="L36" s="5" t="s">
        <v>217</v>
      </c>
      <c r="M36" s="5"/>
      <c r="N36" s="5">
        <v>5</v>
      </c>
      <c r="O36" s="5" t="s">
        <v>121</v>
      </c>
    </row>
    <row r="37" spans="1:15" s="22" customFormat="1" x14ac:dyDescent="0.3">
      <c r="A37" s="21" t="s">
        <v>189</v>
      </c>
      <c r="B37" s="5" t="s">
        <v>190</v>
      </c>
      <c r="C37" s="5" t="s">
        <v>121</v>
      </c>
      <c r="D37" s="7" t="s">
        <v>61</v>
      </c>
      <c r="E37" s="7" t="s">
        <v>154</v>
      </c>
      <c r="F37" s="13">
        <v>-1</v>
      </c>
      <c r="G37" s="4" t="s">
        <v>63</v>
      </c>
      <c r="H37" s="4"/>
      <c r="I37" s="7">
        <v>12</v>
      </c>
      <c r="J37" s="5" t="s">
        <v>194</v>
      </c>
      <c r="K37" s="5" t="s">
        <v>202</v>
      </c>
      <c r="L37" s="5" t="s">
        <v>218</v>
      </c>
      <c r="M37" s="5"/>
      <c r="N37" s="5">
        <v>5</v>
      </c>
      <c r="O37" s="5" t="s">
        <v>121</v>
      </c>
    </row>
    <row r="38" spans="1:15" s="22" customFormat="1" x14ac:dyDescent="0.3">
      <c r="A38" s="21" t="s">
        <v>189</v>
      </c>
      <c r="B38" s="5" t="s">
        <v>190</v>
      </c>
      <c r="C38" s="5" t="s">
        <v>121</v>
      </c>
      <c r="D38" s="7" t="s">
        <v>61</v>
      </c>
      <c r="E38" s="7" t="s">
        <v>154</v>
      </c>
      <c r="F38" s="13">
        <v>-1</v>
      </c>
      <c r="G38" s="4" t="s">
        <v>63</v>
      </c>
      <c r="H38" s="5"/>
      <c r="I38" s="7">
        <v>8</v>
      </c>
      <c r="J38" s="5" t="s">
        <v>195</v>
      </c>
      <c r="K38" s="5" t="s">
        <v>192</v>
      </c>
      <c r="L38" s="5" t="s">
        <v>219</v>
      </c>
      <c r="M38" s="5"/>
      <c r="N38" s="5">
        <v>5</v>
      </c>
      <c r="O38" s="5" t="s">
        <v>121</v>
      </c>
    </row>
    <row r="39" spans="1:15" s="22" customFormat="1" x14ac:dyDescent="0.3">
      <c r="A39" s="21" t="s">
        <v>189</v>
      </c>
      <c r="B39" s="5" t="s">
        <v>190</v>
      </c>
      <c r="C39" s="5" t="s">
        <v>121</v>
      </c>
      <c r="D39" s="7" t="s">
        <v>61</v>
      </c>
      <c r="E39" s="7" t="s">
        <v>154</v>
      </c>
      <c r="F39" s="13">
        <v>-1</v>
      </c>
      <c r="G39" s="4" t="s">
        <v>63</v>
      </c>
      <c r="H39" s="5"/>
      <c r="I39" s="7">
        <v>8</v>
      </c>
      <c r="J39" s="5" t="s">
        <v>195</v>
      </c>
      <c r="K39" s="5" t="s">
        <v>200</v>
      </c>
      <c r="L39" s="5" t="s">
        <v>220</v>
      </c>
      <c r="M39" s="5"/>
      <c r="N39" s="5">
        <v>5</v>
      </c>
      <c r="O39" s="5" t="s">
        <v>121</v>
      </c>
    </row>
    <row r="40" spans="1:15" s="22" customFormat="1" x14ac:dyDescent="0.3">
      <c r="A40" s="21" t="s">
        <v>189</v>
      </c>
      <c r="B40" s="5" t="s">
        <v>190</v>
      </c>
      <c r="C40" s="5" t="s">
        <v>121</v>
      </c>
      <c r="D40" s="7" t="s">
        <v>61</v>
      </c>
      <c r="E40" s="7" t="s">
        <v>154</v>
      </c>
      <c r="F40" s="13">
        <v>-1</v>
      </c>
      <c r="G40" s="4" t="s">
        <v>63</v>
      </c>
      <c r="H40" s="5"/>
      <c r="I40" s="7">
        <v>8</v>
      </c>
      <c r="J40" s="5" t="s">
        <v>195</v>
      </c>
      <c r="K40" s="5" t="s">
        <v>196</v>
      </c>
      <c r="L40" s="5" t="s">
        <v>221</v>
      </c>
      <c r="M40" s="5"/>
      <c r="N40" s="5">
        <v>5</v>
      </c>
      <c r="O40" s="5" t="s">
        <v>121</v>
      </c>
    </row>
    <row r="41" spans="1:15" s="22" customFormat="1" x14ac:dyDescent="0.3">
      <c r="A41" s="21" t="s">
        <v>189</v>
      </c>
      <c r="B41" s="5" t="s">
        <v>190</v>
      </c>
      <c r="C41" s="5" t="s">
        <v>121</v>
      </c>
      <c r="D41" s="7" t="s">
        <v>61</v>
      </c>
      <c r="E41" s="7" t="s">
        <v>154</v>
      </c>
      <c r="F41" s="13">
        <v>-1</v>
      </c>
      <c r="G41" s="4" t="s">
        <v>63</v>
      </c>
      <c r="H41" s="5"/>
      <c r="I41" s="7">
        <v>8</v>
      </c>
      <c r="J41" s="5" t="s">
        <v>195</v>
      </c>
      <c r="K41" s="5" t="s">
        <v>197</v>
      </c>
      <c r="L41" s="5" t="s">
        <v>222</v>
      </c>
      <c r="M41" s="5"/>
      <c r="N41" s="5">
        <v>5</v>
      </c>
      <c r="O41" s="5" t="s">
        <v>121</v>
      </c>
    </row>
    <row r="42" spans="1:15" s="22" customFormat="1" x14ac:dyDescent="0.3">
      <c r="A42" s="21" t="s">
        <v>189</v>
      </c>
      <c r="B42" s="5" t="s">
        <v>190</v>
      </c>
      <c r="C42" s="5" t="s">
        <v>121</v>
      </c>
      <c r="D42" s="7" t="s">
        <v>61</v>
      </c>
      <c r="E42" s="7" t="s">
        <v>154</v>
      </c>
      <c r="F42" s="13">
        <v>-1</v>
      </c>
      <c r="G42" s="4" t="s">
        <v>63</v>
      </c>
      <c r="H42" s="5"/>
      <c r="I42" s="7">
        <v>8</v>
      </c>
      <c r="J42" s="5" t="s">
        <v>201</v>
      </c>
      <c r="K42" s="5" t="s">
        <v>204</v>
      </c>
      <c r="L42" s="5" t="s">
        <v>223</v>
      </c>
      <c r="M42" s="5"/>
      <c r="N42" s="5">
        <v>5</v>
      </c>
      <c r="O42" s="5" t="s">
        <v>121</v>
      </c>
    </row>
    <row r="43" spans="1:15" s="22" customFormat="1" x14ac:dyDescent="0.3">
      <c r="A43" s="21" t="s">
        <v>189</v>
      </c>
      <c r="B43" s="5" t="s">
        <v>190</v>
      </c>
      <c r="C43" s="5" t="s">
        <v>121</v>
      </c>
      <c r="D43" s="7" t="s">
        <v>61</v>
      </c>
      <c r="E43" s="7" t="s">
        <v>154</v>
      </c>
      <c r="F43" s="13">
        <v>-1</v>
      </c>
      <c r="G43" s="4" t="s">
        <v>63</v>
      </c>
      <c r="H43" s="5"/>
      <c r="I43" s="7">
        <v>8</v>
      </c>
      <c r="J43" s="5" t="s">
        <v>201</v>
      </c>
      <c r="K43" s="5" t="s">
        <v>203</v>
      </c>
      <c r="L43" s="5" t="s">
        <v>224</v>
      </c>
      <c r="M43" s="5"/>
      <c r="N43" s="5">
        <v>5</v>
      </c>
      <c r="O43" s="5" t="s">
        <v>121</v>
      </c>
    </row>
    <row r="44" spans="1:15" s="22" customFormat="1" x14ac:dyDescent="0.3">
      <c r="A44" s="21" t="s">
        <v>189</v>
      </c>
      <c r="B44" s="5" t="s">
        <v>208</v>
      </c>
      <c r="C44" s="5" t="s">
        <v>142</v>
      </c>
      <c r="D44" s="7" t="s">
        <v>61</v>
      </c>
      <c r="E44" s="7" t="s">
        <v>154</v>
      </c>
      <c r="F44" s="13">
        <v>-1</v>
      </c>
      <c r="G44" s="4" t="s">
        <v>63</v>
      </c>
      <c r="H44" s="5"/>
      <c r="I44" s="5">
        <v>40</v>
      </c>
      <c r="J44" s="5" t="s">
        <v>211</v>
      </c>
      <c r="K44" s="5" t="s">
        <v>210</v>
      </c>
      <c r="L44" s="5" t="s">
        <v>225</v>
      </c>
      <c r="M44" s="5"/>
      <c r="N44" s="5">
        <v>5</v>
      </c>
      <c r="O44" s="5" t="s">
        <v>209</v>
      </c>
    </row>
    <row r="45" spans="1:15" s="22" customFormat="1" x14ac:dyDescent="0.3">
      <c r="A45" s="21" t="s">
        <v>189</v>
      </c>
      <c r="B45" s="5" t="s">
        <v>208</v>
      </c>
      <c r="C45" s="5" t="s">
        <v>142</v>
      </c>
      <c r="D45" s="7" t="s">
        <v>61</v>
      </c>
      <c r="E45" s="7" t="s">
        <v>154</v>
      </c>
      <c r="F45" s="13">
        <v>-1</v>
      </c>
      <c r="G45" s="4" t="s">
        <v>63</v>
      </c>
      <c r="H45" s="5"/>
      <c r="I45" s="5">
        <v>40</v>
      </c>
      <c r="J45" s="5" t="s">
        <v>212</v>
      </c>
      <c r="K45" s="5" t="s">
        <v>213</v>
      </c>
      <c r="L45" s="5" t="s">
        <v>226</v>
      </c>
      <c r="M45" s="5"/>
      <c r="N45" s="5">
        <v>5</v>
      </c>
      <c r="O45" s="5" t="s">
        <v>209</v>
      </c>
    </row>
    <row r="46" spans="1:15" s="22" customFormat="1" x14ac:dyDescent="0.3">
      <c r="A46" s="21" t="s">
        <v>189</v>
      </c>
      <c r="B46" s="5" t="s">
        <v>208</v>
      </c>
      <c r="C46" s="5" t="s">
        <v>142</v>
      </c>
      <c r="D46" s="7" t="s">
        <v>61</v>
      </c>
      <c r="E46" s="7" t="s">
        <v>154</v>
      </c>
      <c r="F46" s="13">
        <v>3</v>
      </c>
      <c r="G46" s="6" t="s">
        <v>72</v>
      </c>
      <c r="H46" s="6" t="s">
        <v>73</v>
      </c>
      <c r="I46" s="4">
        <v>20</v>
      </c>
      <c r="J46" s="6" t="s">
        <v>74</v>
      </c>
      <c r="K46" s="4" t="s">
        <v>229</v>
      </c>
      <c r="L46" s="4" t="s">
        <v>227</v>
      </c>
      <c r="M46" s="4">
        <v>100</v>
      </c>
      <c r="N46" s="4">
        <v>20</v>
      </c>
      <c r="O46" s="4" t="s">
        <v>214</v>
      </c>
    </row>
    <row r="47" spans="1:15" s="22" customFormat="1" x14ac:dyDescent="0.3">
      <c r="A47" s="21" t="s">
        <v>189</v>
      </c>
      <c r="B47" s="5" t="s">
        <v>208</v>
      </c>
      <c r="C47" s="5" t="s">
        <v>142</v>
      </c>
      <c r="D47" s="7" t="s">
        <v>61</v>
      </c>
      <c r="E47" s="7" t="s">
        <v>154</v>
      </c>
      <c r="F47" s="13">
        <v>3</v>
      </c>
      <c r="G47" s="6" t="s">
        <v>72</v>
      </c>
      <c r="H47" s="6" t="s">
        <v>77</v>
      </c>
      <c r="I47" s="4">
        <v>20</v>
      </c>
      <c r="J47" s="6" t="s">
        <v>74</v>
      </c>
      <c r="K47" s="4" t="s">
        <v>229</v>
      </c>
      <c r="L47" s="4" t="s">
        <v>228</v>
      </c>
      <c r="M47" s="4"/>
      <c r="N47" s="4">
        <v>-100</v>
      </c>
      <c r="O47" s="5" t="s">
        <v>235</v>
      </c>
    </row>
    <row r="48" spans="1:15" s="22" customFormat="1" ht="26.4" x14ac:dyDescent="0.3">
      <c r="A48" s="21" t="s">
        <v>189</v>
      </c>
      <c r="B48" s="5" t="s">
        <v>208</v>
      </c>
      <c r="C48" s="5" t="s">
        <v>142</v>
      </c>
      <c r="D48" s="12" t="s">
        <v>79</v>
      </c>
      <c r="E48" s="8" t="s">
        <v>230</v>
      </c>
      <c r="F48" s="13">
        <v>-1</v>
      </c>
      <c r="G48" s="4" t="s">
        <v>81</v>
      </c>
      <c r="H48" s="5"/>
      <c r="I48" s="5"/>
      <c r="J48" s="5" t="s">
        <v>231</v>
      </c>
      <c r="K48" s="5" t="s">
        <v>232</v>
      </c>
      <c r="L48" s="5" t="s">
        <v>233</v>
      </c>
      <c r="M48" s="5"/>
      <c r="N48" s="5">
        <v>5</v>
      </c>
      <c r="O48" s="5" t="s">
        <v>234</v>
      </c>
    </row>
    <row r="49" spans="1:15" x14ac:dyDescent="0.3">
      <c r="A49" s="21" t="s">
        <v>189</v>
      </c>
      <c r="B49" s="5" t="s">
        <v>236</v>
      </c>
      <c r="C49" s="5" t="s">
        <v>237</v>
      </c>
      <c r="D49" s="7" t="s">
        <v>61</v>
      </c>
      <c r="E49" s="7" t="s">
        <v>96</v>
      </c>
      <c r="F49" s="14">
        <v>-1</v>
      </c>
      <c r="G49" s="4" t="s">
        <v>63</v>
      </c>
      <c r="H49" s="5"/>
      <c r="I49" s="5">
        <v>30</v>
      </c>
      <c r="J49" s="5" t="s">
        <v>238</v>
      </c>
      <c r="K49" s="5" t="s">
        <v>240</v>
      </c>
      <c r="L49" s="5" t="s">
        <v>239</v>
      </c>
      <c r="M49" s="5"/>
      <c r="N49" s="5">
        <v>0</v>
      </c>
      <c r="O49" s="5" t="s">
        <v>247</v>
      </c>
    </row>
    <row r="50" spans="1:15" x14ac:dyDescent="0.3">
      <c r="A50" s="21" t="s">
        <v>189</v>
      </c>
      <c r="B50" s="5" t="s">
        <v>236</v>
      </c>
      <c r="C50" s="5" t="s">
        <v>237</v>
      </c>
      <c r="D50" s="7" t="s">
        <v>61</v>
      </c>
      <c r="E50" s="7" t="s">
        <v>96</v>
      </c>
      <c r="F50" s="14">
        <v>-1</v>
      </c>
      <c r="G50" s="4" t="s">
        <v>63</v>
      </c>
      <c r="H50" s="5"/>
      <c r="I50" s="5">
        <v>30</v>
      </c>
      <c r="J50" s="5" t="s">
        <v>242</v>
      </c>
      <c r="K50" s="5" t="s">
        <v>243</v>
      </c>
      <c r="L50" s="5" t="s">
        <v>241</v>
      </c>
      <c r="M50" s="5"/>
      <c r="N50" s="5">
        <v>0</v>
      </c>
      <c r="O50" s="5" t="s">
        <v>247</v>
      </c>
    </row>
    <row r="51" spans="1:15" x14ac:dyDescent="0.3">
      <c r="A51" s="21" t="s">
        <v>189</v>
      </c>
      <c r="B51" s="5" t="s">
        <v>236</v>
      </c>
      <c r="C51" s="5" t="s">
        <v>237</v>
      </c>
      <c r="D51" s="7" t="s">
        <v>61</v>
      </c>
      <c r="E51" s="7" t="s">
        <v>96</v>
      </c>
      <c r="F51" s="14">
        <v>-1</v>
      </c>
      <c r="G51" s="4" t="s">
        <v>63</v>
      </c>
      <c r="H51" s="5"/>
      <c r="I51" s="5">
        <v>40</v>
      </c>
      <c r="J51" s="5" t="s">
        <v>244</v>
      </c>
      <c r="K51" s="5" t="s">
        <v>245</v>
      </c>
      <c r="L51" s="5" t="s">
        <v>246</v>
      </c>
      <c r="M51" s="5"/>
      <c r="N51" s="5">
        <v>0</v>
      </c>
      <c r="O51" s="5" t="s">
        <v>247</v>
      </c>
    </row>
    <row r="52" spans="1:15" x14ac:dyDescent="0.3">
      <c r="A52" s="23" t="s">
        <v>248</v>
      </c>
      <c r="B52" s="10" t="s">
        <v>249</v>
      </c>
      <c r="C52" s="5" t="s">
        <v>250</v>
      </c>
      <c r="D52" s="5" t="s">
        <v>61</v>
      </c>
      <c r="E52" s="5" t="s">
        <v>154</v>
      </c>
      <c r="F52" s="14">
        <v>-1</v>
      </c>
      <c r="G52" s="5" t="s">
        <v>63</v>
      </c>
      <c r="H52" s="5"/>
      <c r="I52" s="5">
        <v>100</v>
      </c>
      <c r="J52" s="5" t="s">
        <v>251</v>
      </c>
      <c r="K52" s="5" t="s">
        <v>252</v>
      </c>
      <c r="L52" s="5" t="s">
        <v>253</v>
      </c>
      <c r="M52" s="5"/>
      <c r="N52" s="5"/>
      <c r="O52" s="5"/>
    </row>
    <row r="53" spans="1:15" x14ac:dyDescent="0.3">
      <c r="A53" s="23" t="s">
        <v>248</v>
      </c>
      <c r="B53" s="10" t="s">
        <v>249</v>
      </c>
      <c r="C53" s="5" t="s">
        <v>250</v>
      </c>
      <c r="D53" s="5" t="s">
        <v>79</v>
      </c>
      <c r="E53" s="5" t="s">
        <v>80</v>
      </c>
      <c r="F53" s="14">
        <v>-1</v>
      </c>
      <c r="G53" s="5" t="s">
        <v>63</v>
      </c>
      <c r="H53" s="5"/>
      <c r="I53" s="5">
        <f>INT((1/COUNTIF(B:B,B53))*100)</f>
        <v>16</v>
      </c>
      <c r="J53" s="5" t="s">
        <v>254</v>
      </c>
      <c r="K53" s="5" t="s">
        <v>255</v>
      </c>
      <c r="L53" s="5" t="s">
        <v>256</v>
      </c>
      <c r="M53" s="5"/>
      <c r="N53" s="5">
        <v>5</v>
      </c>
      <c r="O53" s="5"/>
    </row>
    <row r="54" spans="1:15" x14ac:dyDescent="0.3">
      <c r="A54" s="23" t="s">
        <v>248</v>
      </c>
      <c r="B54" s="10" t="s">
        <v>249</v>
      </c>
      <c r="C54" s="5" t="s">
        <v>250</v>
      </c>
      <c r="D54" s="5" t="s">
        <v>257</v>
      </c>
      <c r="E54" s="5" t="s">
        <v>154</v>
      </c>
      <c r="F54" s="14">
        <v>-1</v>
      </c>
      <c r="G54" s="5" t="s">
        <v>72</v>
      </c>
      <c r="H54" s="5" t="s">
        <v>73</v>
      </c>
      <c r="I54" s="5">
        <f>INT((1/COUNTIF(B:B,B54))*100)</f>
        <v>16</v>
      </c>
      <c r="J54" s="5" t="s">
        <v>249</v>
      </c>
      <c r="K54" s="5" t="s">
        <v>258</v>
      </c>
      <c r="L54" s="5" t="s">
        <v>259</v>
      </c>
      <c r="M54" s="5"/>
      <c r="N54" s="5">
        <v>20</v>
      </c>
      <c r="O54" s="5" t="s">
        <v>260</v>
      </c>
    </row>
    <row r="55" spans="1:15" x14ac:dyDescent="0.3">
      <c r="A55" s="23" t="s">
        <v>248</v>
      </c>
      <c r="B55" s="10" t="s">
        <v>249</v>
      </c>
      <c r="C55" s="5" t="s">
        <v>250</v>
      </c>
      <c r="D55" s="5" t="s">
        <v>257</v>
      </c>
      <c r="E55" s="5" t="s">
        <v>154</v>
      </c>
      <c r="F55" s="14">
        <v>-1</v>
      </c>
      <c r="G55" s="5" t="s">
        <v>72</v>
      </c>
      <c r="H55" s="5" t="s">
        <v>77</v>
      </c>
      <c r="I55" s="5">
        <f>INT((1/COUNTIF(B:B,B55))*100)</f>
        <v>16</v>
      </c>
      <c r="J55" s="5" t="s">
        <v>249</v>
      </c>
      <c r="K55" s="5" t="s">
        <v>258</v>
      </c>
      <c r="L55" s="5" t="s">
        <v>261</v>
      </c>
      <c r="M55" s="5"/>
      <c r="N55" s="5"/>
      <c r="O55" s="5"/>
    </row>
    <row r="56" spans="1:15" x14ac:dyDescent="0.3">
      <c r="A56" s="23" t="s">
        <v>248</v>
      </c>
      <c r="B56" s="10" t="s">
        <v>249</v>
      </c>
      <c r="C56" s="5" t="s">
        <v>250</v>
      </c>
      <c r="D56" s="5" t="s">
        <v>262</v>
      </c>
      <c r="E56" s="5" t="s">
        <v>154</v>
      </c>
      <c r="F56" s="14">
        <v>-1</v>
      </c>
      <c r="G56" s="5" t="s">
        <v>63</v>
      </c>
      <c r="H56" s="5"/>
      <c r="I56" s="5">
        <f>INT((1/COUNTIF(B:B,B56))*100)</f>
        <v>16</v>
      </c>
      <c r="J56" s="5" t="s">
        <v>338</v>
      </c>
      <c r="K56" s="5" t="s">
        <v>336</v>
      </c>
      <c r="L56" s="5" t="s">
        <v>263</v>
      </c>
      <c r="M56" s="5"/>
      <c r="N56" s="5"/>
      <c r="O56" s="5" t="s">
        <v>264</v>
      </c>
    </row>
    <row r="57" spans="1:15" x14ac:dyDescent="0.3">
      <c r="A57" s="23" t="s">
        <v>248</v>
      </c>
      <c r="B57" s="10" t="s">
        <v>249</v>
      </c>
      <c r="C57" s="5" t="s">
        <v>250</v>
      </c>
      <c r="D57" s="5" t="s">
        <v>265</v>
      </c>
      <c r="E57" s="5" t="s">
        <v>154</v>
      </c>
      <c r="F57" s="14">
        <v>-1</v>
      </c>
      <c r="G57" s="5" t="s">
        <v>63</v>
      </c>
      <c r="H57" s="5"/>
      <c r="I57" s="5">
        <f>INT((1/COUNTIF(B:B,B57))*100)</f>
        <v>16</v>
      </c>
      <c r="J57" s="5" t="s">
        <v>339</v>
      </c>
      <c r="K57" s="5" t="s">
        <v>337</v>
      </c>
      <c r="L57" s="5" t="s">
        <v>266</v>
      </c>
      <c r="M57" s="5"/>
      <c r="N57" s="5"/>
      <c r="O57" s="5"/>
    </row>
    <row r="58" spans="1:15" x14ac:dyDescent="0.3">
      <c r="A58" s="24" t="s">
        <v>277</v>
      </c>
      <c r="B58" s="25" t="s">
        <v>267</v>
      </c>
      <c r="C58" s="28" t="str">
        <f>VLOOKUP(A58&amp;"|"&amp;B58&amp;"|"&amp;"LOOK",'[1]NPC Dialogue'!$A:$F,6,FALSE)</f>
        <v>A tall mage.</v>
      </c>
      <c r="D58" s="7" t="s">
        <v>61</v>
      </c>
      <c r="E58" s="7" t="s">
        <v>96</v>
      </c>
      <c r="F58" s="14">
        <v>-1</v>
      </c>
      <c r="G58" s="4" t="s">
        <v>63</v>
      </c>
      <c r="H58" s="5"/>
      <c r="I58" s="5">
        <f>INT((1/COUNTIF(B:B,B58))*100)</f>
        <v>33</v>
      </c>
      <c r="J58" s="24" t="s">
        <v>310</v>
      </c>
      <c r="K58" s="24" t="s">
        <v>282</v>
      </c>
      <c r="L58" s="5" t="str">
        <f>B58&amp;": "&amp;K58</f>
        <v>Browning: An honest soul need remember no lies!</v>
      </c>
      <c r="M58" s="5"/>
      <c r="N58" s="5"/>
      <c r="O58" s="5"/>
    </row>
    <row r="59" spans="1:15" x14ac:dyDescent="0.3">
      <c r="A59" s="24" t="s">
        <v>277</v>
      </c>
      <c r="B59" s="25" t="s">
        <v>267</v>
      </c>
      <c r="C59" s="28" t="str">
        <f>VLOOKUP(A59&amp;"|"&amp;B59&amp;"|"&amp;"LOOK",'[1]NPC Dialogue'!$A:$F,6,FALSE)</f>
        <v>A tall mage.</v>
      </c>
      <c r="D59" s="7" t="s">
        <v>61</v>
      </c>
      <c r="E59" s="7" t="s">
        <v>96</v>
      </c>
      <c r="F59" s="14">
        <v>-1</v>
      </c>
      <c r="G59" s="4" t="s">
        <v>63</v>
      </c>
      <c r="H59" s="5"/>
      <c r="I59" s="5">
        <f>INT((1/COUNTIF(B:B,B59))*100)</f>
        <v>33</v>
      </c>
      <c r="J59" s="24" t="s">
        <v>311</v>
      </c>
      <c r="K59" s="24" t="s">
        <v>283</v>
      </c>
      <c r="L59" s="5" t="str">
        <f t="shared" ref="L59:L98" si="0">B59&amp;": "&amp;K59</f>
        <v>Browning: I strive to live an honest life!</v>
      </c>
      <c r="M59" s="5"/>
      <c r="N59" s="5"/>
      <c r="O59" s="5"/>
    </row>
    <row r="60" spans="1:15" x14ac:dyDescent="0.3">
      <c r="A60" s="24" t="s">
        <v>277</v>
      </c>
      <c r="B60" s="25" t="s">
        <v>267</v>
      </c>
      <c r="C60" s="28" t="str">
        <f>VLOOKUP(A60&amp;"|"&amp;B60&amp;"|"&amp;"LOOK",'[1]NPC Dialogue'!$A:$F,6,FALSE)</f>
        <v>A tall mage.</v>
      </c>
      <c r="D60" s="7" t="s">
        <v>61</v>
      </c>
      <c r="E60" s="7" t="s">
        <v>96</v>
      </c>
      <c r="F60" s="14">
        <v>-1</v>
      </c>
      <c r="G60" s="4" t="s">
        <v>63</v>
      </c>
      <c r="H60" s="5"/>
      <c r="I60" s="5">
        <f>INT((1/COUNTIF(B:B,B60))*100)</f>
        <v>33</v>
      </c>
      <c r="J60" s="24" t="s">
        <v>315</v>
      </c>
      <c r="K60" s="24" t="s">
        <v>316</v>
      </c>
      <c r="L60" s="5" t="str">
        <f t="shared" si="0"/>
        <v>Browning: It is rooted in Knowledge and Courage.</v>
      </c>
      <c r="M60" s="5"/>
      <c r="N60" s="5"/>
      <c r="O60" s="5"/>
    </row>
    <row r="61" spans="1:15" ht="26.4" x14ac:dyDescent="0.3">
      <c r="A61" s="24" t="s">
        <v>277</v>
      </c>
      <c r="B61" s="25" t="s">
        <v>268</v>
      </c>
      <c r="C61" s="28" t="str">
        <f>VLOOKUP(A61&amp;"|"&amp;B61&amp;"|"&amp;"LOOK",'[1]NPC Dialogue'!$A:$F,6,FALSE)</f>
        <v>A tall mage.</v>
      </c>
      <c r="D61" s="7" t="s">
        <v>61</v>
      </c>
      <c r="E61" s="7" t="s">
        <v>154</v>
      </c>
      <c r="F61" s="14">
        <v>-1</v>
      </c>
      <c r="G61" s="4" t="s">
        <v>63</v>
      </c>
      <c r="H61" s="5"/>
      <c r="I61" s="5">
        <f>INT((1/COUNTIF(B:B,B61))*100)</f>
        <v>33</v>
      </c>
      <c r="J61" s="25" t="s">
        <v>343</v>
      </c>
      <c r="K61" s="25" t="s">
        <v>344</v>
      </c>
      <c r="L61" s="5" t="str">
        <f t="shared" si="0"/>
        <v>Calabrini: Yes several types of potions are sold here!</v>
      </c>
      <c r="M61" s="5"/>
      <c r="N61" s="5"/>
      <c r="O61" s="5"/>
    </row>
    <row r="62" spans="1:15" ht="26.4" x14ac:dyDescent="0.3">
      <c r="A62" s="24" t="s">
        <v>277</v>
      </c>
      <c r="B62" s="25" t="s">
        <v>268</v>
      </c>
      <c r="C62" s="28" t="str">
        <f>VLOOKUP(A62&amp;"|"&amp;B62&amp;"|"&amp;"LOOK",'[1]NPC Dialogue'!$A:$F,6,FALSE)</f>
        <v>A tall mage.</v>
      </c>
      <c r="D62" s="7" t="s">
        <v>61</v>
      </c>
      <c r="E62" s="7" t="s">
        <v>154</v>
      </c>
      <c r="F62" s="14">
        <v>-1</v>
      </c>
      <c r="G62" s="4" t="s">
        <v>63</v>
      </c>
      <c r="H62" s="5"/>
      <c r="I62" s="5">
        <f>INT((1/COUNTIF(B:B,B62))*100)</f>
        <v>33</v>
      </c>
      <c r="J62" s="24" t="s">
        <v>347</v>
      </c>
      <c r="K62" s="24" t="s">
        <v>348</v>
      </c>
      <c r="L62" s="5" t="str">
        <f t="shared" si="0"/>
        <v>Calabrini: The housekeeper at the inn is very chatty.</v>
      </c>
      <c r="M62" s="5"/>
      <c r="N62" s="5"/>
      <c r="O62" s="5"/>
    </row>
    <row r="63" spans="1:15" ht="26.4" x14ac:dyDescent="0.3">
      <c r="A63" s="24" t="s">
        <v>277</v>
      </c>
      <c r="B63" s="25" t="s">
        <v>268</v>
      </c>
      <c r="C63" s="28" t="str">
        <f>VLOOKUP(A63&amp;"|"&amp;B63&amp;"|"&amp;"LOOK",'[1]NPC Dialogue'!$A:$F,6,FALSE)</f>
        <v>A tall mage.</v>
      </c>
      <c r="D63" s="7" t="s">
        <v>61</v>
      </c>
      <c r="E63" s="7" t="s">
        <v>154</v>
      </c>
      <c r="F63" s="14">
        <v>-1</v>
      </c>
      <c r="G63" s="4" t="s">
        <v>63</v>
      </c>
      <c r="H63" s="5"/>
      <c r="I63" s="5">
        <f>INT((1/COUNTIF(B:B,B63))*100)</f>
        <v>33</v>
      </c>
      <c r="J63" s="24" t="s">
        <v>346</v>
      </c>
      <c r="K63" s="25" t="s">
        <v>345</v>
      </c>
      <c r="L63" s="5" t="str">
        <f t="shared" si="0"/>
        <v>Calabrini: I bear greetings from the HONEST town of Moonglow.</v>
      </c>
      <c r="M63" s="5"/>
      <c r="N63" s="5"/>
      <c r="O63" s="5"/>
    </row>
    <row r="64" spans="1:15" ht="21.6" x14ac:dyDescent="0.3">
      <c r="A64" s="24" t="s">
        <v>277</v>
      </c>
      <c r="B64" s="25" t="s">
        <v>269</v>
      </c>
      <c r="C64" s="28" t="str">
        <f>VLOOKUP(A64&amp;"|"&amp;B64&amp;"|"&amp;"LOOK",'[1]NPC Dialogue'!$A:$F,6,FALSE)</f>
        <v>The housekeeping nitwit.</v>
      </c>
      <c r="D64" s="7" t="s">
        <v>61</v>
      </c>
      <c r="E64" s="7" t="s">
        <v>96</v>
      </c>
      <c r="F64" s="14">
        <v>-1</v>
      </c>
      <c r="G64" s="4" t="s">
        <v>63</v>
      </c>
      <c r="H64" s="5"/>
      <c r="I64" s="5">
        <f>INT((1/COUNTIF(B:B,B64))*100)</f>
        <v>20</v>
      </c>
      <c r="J64" s="25" t="s">
        <v>322</v>
      </c>
      <c r="K64" s="25" t="s">
        <v>284</v>
      </c>
      <c r="L64" s="5" t="str">
        <f t="shared" si="0"/>
        <v>Christen: Honest friends are few!</v>
      </c>
      <c r="M64" s="5"/>
      <c r="N64" s="5"/>
      <c r="O64" s="5"/>
    </row>
    <row r="65" spans="1:15" ht="21.6" x14ac:dyDescent="0.3">
      <c r="A65" s="24" t="s">
        <v>277</v>
      </c>
      <c r="B65" s="25" t="s">
        <v>269</v>
      </c>
      <c r="C65" s="28" t="str">
        <f>VLOOKUP(A65&amp;"|"&amp;B65&amp;"|"&amp;"LOOK",'[1]NPC Dialogue'!$A:$F,6,FALSE)</f>
        <v>The housekeeping nitwit.</v>
      </c>
      <c r="D65" s="7" t="s">
        <v>61</v>
      </c>
      <c r="E65" s="7" t="s">
        <v>96</v>
      </c>
      <c r="F65" s="14">
        <v>-1</v>
      </c>
      <c r="G65" s="4" t="s">
        <v>63</v>
      </c>
      <c r="H65" s="5"/>
      <c r="I65" s="5">
        <f>INT((1/COUNTIF(B:B,B65))*100)</f>
        <v>20</v>
      </c>
      <c r="J65" s="24" t="s">
        <v>323</v>
      </c>
      <c r="K65" s="24" t="s">
        <v>319</v>
      </c>
      <c r="L65" s="5" t="str">
        <f t="shared" si="0"/>
        <v>Christen: Imma feeling gooood!</v>
      </c>
      <c r="M65" s="5"/>
      <c r="N65" s="5"/>
      <c r="O65" s="5"/>
    </row>
    <row r="66" spans="1:15" ht="26.4" x14ac:dyDescent="0.3">
      <c r="A66" s="24" t="s">
        <v>277</v>
      </c>
      <c r="B66" s="25" t="s">
        <v>269</v>
      </c>
      <c r="C66" s="28" t="str">
        <f>VLOOKUP(A66&amp;"|"&amp;B66&amp;"|"&amp;"LOOK",'[1]NPC Dialogue'!$A:$F,6,FALSE)</f>
        <v>The housekeeping nitwit.</v>
      </c>
      <c r="D66" s="7" t="s">
        <v>61</v>
      </c>
      <c r="E66" s="7" t="s">
        <v>96</v>
      </c>
      <c r="F66" s="14">
        <v>-1</v>
      </c>
      <c r="G66" s="4" t="s">
        <v>63</v>
      </c>
      <c r="H66" s="5"/>
      <c r="I66" s="5">
        <f>INT((1/COUNTIF(B:B,B66))*100)</f>
        <v>20</v>
      </c>
      <c r="J66" s="24" t="s">
        <v>321</v>
      </c>
      <c r="K66" s="25" t="s">
        <v>285</v>
      </c>
      <c r="L66" s="5" t="str">
        <f t="shared" si="0"/>
        <v>Christen: My friend William knows where the rune of honesty is.</v>
      </c>
      <c r="M66" s="5"/>
      <c r="N66" s="5"/>
      <c r="O66" s="5"/>
    </row>
    <row r="67" spans="1:15" ht="26.4" x14ac:dyDescent="0.3">
      <c r="A67" s="24" t="s">
        <v>277</v>
      </c>
      <c r="B67" s="25" t="s">
        <v>269</v>
      </c>
      <c r="C67" s="28" t="str">
        <f>VLOOKUP(A67&amp;"|"&amp;B67&amp;"|"&amp;"LOOK",'[1]NPC Dialogue'!$A:$F,6,FALSE)</f>
        <v>The housekeeping nitwit.</v>
      </c>
      <c r="D67" s="7" t="s">
        <v>61</v>
      </c>
      <c r="E67" s="7" t="s">
        <v>96</v>
      </c>
      <c r="F67" s="14">
        <v>-1</v>
      </c>
      <c r="G67" s="4" t="s">
        <v>63</v>
      </c>
      <c r="H67" s="5"/>
      <c r="I67" s="5">
        <f>INT((1/COUNTIF(B:B,B67))*100)</f>
        <v>20</v>
      </c>
      <c r="J67" s="24" t="s">
        <v>340</v>
      </c>
      <c r="K67" s="29" t="s">
        <v>349</v>
      </c>
      <c r="L67" s="26" t="str">
        <f t="shared" si="0"/>
        <v>Christen: Hey, don't open Rebelias' personal chests. That's not honest!</v>
      </c>
      <c r="M67" s="5"/>
      <c r="N67" s="5"/>
      <c r="O67" s="5"/>
    </row>
    <row r="68" spans="1:15" ht="21.6" x14ac:dyDescent="0.3">
      <c r="A68" s="24" t="s">
        <v>277</v>
      </c>
      <c r="B68" s="25" t="s">
        <v>269</v>
      </c>
      <c r="C68" s="28" t="str">
        <f>VLOOKUP(A68&amp;"|"&amp;B68&amp;"|"&amp;"LOOK",'[1]NPC Dialogue'!$A:$F,6,FALSE)</f>
        <v>The housekeeping nitwit.</v>
      </c>
      <c r="D68" s="7" t="s">
        <v>61</v>
      </c>
      <c r="E68" s="7" t="s">
        <v>96</v>
      </c>
      <c r="F68" s="14">
        <v>-1</v>
      </c>
      <c r="G68" s="4" t="s">
        <v>63</v>
      </c>
      <c r="H68" s="5"/>
      <c r="I68" s="5">
        <f>INT((1/COUNTIF(B:B,B68))*100)</f>
        <v>20</v>
      </c>
      <c r="J68" s="24" t="s">
        <v>335</v>
      </c>
      <c r="K68" s="24" t="s">
        <v>286</v>
      </c>
      <c r="L68" s="5" t="str">
        <f t="shared" si="0"/>
        <v>Christen: The housekeeping nitwit.</v>
      </c>
      <c r="M68" s="5"/>
      <c r="N68" s="5"/>
      <c r="O68" s="5"/>
    </row>
    <row r="69" spans="1:15" ht="26.4" x14ac:dyDescent="0.3">
      <c r="A69" s="24" t="s">
        <v>277</v>
      </c>
      <c r="B69" s="25" t="s">
        <v>270</v>
      </c>
      <c r="C69" s="28" t="str">
        <f>VLOOKUP(A69&amp;"|"&amp;B69&amp;"|"&amp;"LOOK",'[1]NPC Dialogue'!$A:$F,6,FALSE)</f>
        <v>I am a regal palladin.</v>
      </c>
      <c r="D69" s="7" t="s">
        <v>61</v>
      </c>
      <c r="E69" s="7" t="s">
        <v>96</v>
      </c>
      <c r="F69" s="14">
        <v>-1</v>
      </c>
      <c r="G69" s="4" t="s">
        <v>63</v>
      </c>
      <c r="H69" s="5"/>
      <c r="I69" s="5">
        <f>INT((1/COUNTIF(B:B,B69))*100)</f>
        <v>33</v>
      </c>
      <c r="J69" s="24" t="s">
        <v>326</v>
      </c>
      <c r="K69" s="24" t="s">
        <v>287</v>
      </c>
      <c r="L69" s="5" t="str">
        <f t="shared" si="0"/>
        <v>Cromwell: A few honest men are better than numbers!</v>
      </c>
      <c r="M69" s="5"/>
      <c r="N69" s="5"/>
      <c r="O69" s="5"/>
    </row>
    <row r="70" spans="1:15" x14ac:dyDescent="0.3">
      <c r="A70" s="24" t="s">
        <v>277</v>
      </c>
      <c r="B70" s="25" t="s">
        <v>270</v>
      </c>
      <c r="C70" s="28" t="str">
        <f>VLOOKUP(A70&amp;"|"&amp;B70&amp;"|"&amp;"LOOK",'[1]NPC Dialogue'!$A:$F,6,FALSE)</f>
        <v>I am a regal palladin.</v>
      </c>
      <c r="D70" s="7" t="s">
        <v>61</v>
      </c>
      <c r="E70" s="7" t="s">
        <v>96</v>
      </c>
      <c r="F70" s="14">
        <v>-1</v>
      </c>
      <c r="G70" s="4" t="s">
        <v>63</v>
      </c>
      <c r="H70" s="5"/>
      <c r="I70" s="5">
        <f>INT((1/COUNTIF(B:B,B70))*100)</f>
        <v>33</v>
      </c>
      <c r="J70" s="24" t="s">
        <v>311</v>
      </c>
      <c r="K70" s="24" t="s">
        <v>288</v>
      </c>
      <c r="L70" s="5" t="str">
        <f t="shared" si="0"/>
        <v>Cromwell: I speak of the virtues of honesty!</v>
      </c>
      <c r="M70" s="5"/>
      <c r="N70" s="5"/>
      <c r="O70" s="5"/>
    </row>
    <row r="71" spans="1:15" x14ac:dyDescent="0.3">
      <c r="A71" s="24" t="s">
        <v>277</v>
      </c>
      <c r="B71" s="25" t="s">
        <v>270</v>
      </c>
      <c r="C71" s="28" t="str">
        <f>VLOOKUP(A71&amp;"|"&amp;B71&amp;"|"&amp;"LOOK",'[1]NPC Dialogue'!$A:$F,6,FALSE)</f>
        <v>I am a regal palladin.</v>
      </c>
      <c r="D71" s="7" t="s">
        <v>61</v>
      </c>
      <c r="E71" s="7" t="s">
        <v>96</v>
      </c>
      <c r="F71" s="14">
        <v>-1</v>
      </c>
      <c r="G71" s="4" t="s">
        <v>63</v>
      </c>
      <c r="H71" s="5"/>
      <c r="I71" s="5">
        <f>INT((1/COUNTIF(B:B,B71))*100)</f>
        <v>33</v>
      </c>
      <c r="J71" s="24" t="s">
        <v>333</v>
      </c>
      <c r="K71" s="24" t="s">
        <v>289</v>
      </c>
      <c r="L71" s="5" t="str">
        <f t="shared" si="0"/>
        <v>Cromwell: The mantra for Honesty is ’AHM’.</v>
      </c>
      <c r="M71" s="5"/>
      <c r="N71" s="5"/>
      <c r="O71" s="5"/>
    </row>
    <row r="72" spans="1:15" ht="26.4" x14ac:dyDescent="0.3">
      <c r="A72" s="24" t="s">
        <v>277</v>
      </c>
      <c r="B72" s="25" t="s">
        <v>271</v>
      </c>
      <c r="C72" s="28" t="str">
        <f>VLOOKUP(A72&amp;"|"&amp;B72&amp;"|"&amp;"LOOK",'[1]NPC Dialogue'!$A:$F,6,FALSE)</f>
        <v>A young mage</v>
      </c>
      <c r="D72" s="7" t="s">
        <v>61</v>
      </c>
      <c r="E72" s="7" t="s">
        <v>154</v>
      </c>
      <c r="F72" s="14">
        <v>-1</v>
      </c>
      <c r="G72" s="4" t="s">
        <v>63</v>
      </c>
      <c r="H72" s="5"/>
      <c r="I72" s="5">
        <f>INT((1/COUNTIF(B:B,B72))*100)</f>
        <v>33</v>
      </c>
      <c r="J72" s="24" t="s">
        <v>334</v>
      </c>
      <c r="K72" s="24" t="s">
        <v>342</v>
      </c>
      <c r="L72" s="5" t="str">
        <f t="shared" si="0"/>
        <v>Mariah: Yes, I hope to go on a great quest, one day!</v>
      </c>
      <c r="M72" s="5"/>
      <c r="N72" s="5"/>
      <c r="O72" s="5"/>
    </row>
    <row r="73" spans="1:15" x14ac:dyDescent="0.3">
      <c r="A73" s="24" t="s">
        <v>277</v>
      </c>
      <c r="B73" s="25" t="s">
        <v>271</v>
      </c>
      <c r="C73" s="28" t="str">
        <f>VLOOKUP(A73&amp;"|"&amp;B73&amp;"|"&amp;"LOOK",'[1]NPC Dialogue'!$A:$F,6,FALSE)</f>
        <v>A young mage</v>
      </c>
      <c r="D73" s="7" t="s">
        <v>61</v>
      </c>
      <c r="E73" s="7" t="s">
        <v>154</v>
      </c>
      <c r="F73" s="14">
        <v>-1</v>
      </c>
      <c r="G73" s="4" t="s">
        <v>63</v>
      </c>
      <c r="H73" s="5"/>
      <c r="I73" s="5">
        <f>INT((1/COUNTIF(B:B,B73))*100)</f>
        <v>33</v>
      </c>
      <c r="J73" s="24" t="s">
        <v>311</v>
      </c>
      <c r="K73" s="24" t="s">
        <v>341</v>
      </c>
      <c r="L73" s="5" t="str">
        <f t="shared" si="0"/>
        <v>Mariah: I tend to the pond fish. It's honest work.</v>
      </c>
      <c r="M73" s="5"/>
      <c r="N73" s="5"/>
      <c r="O73" s="5"/>
    </row>
    <row r="74" spans="1:15" x14ac:dyDescent="0.3">
      <c r="A74" s="24" t="s">
        <v>277</v>
      </c>
      <c r="B74" s="25" t="s">
        <v>271</v>
      </c>
      <c r="C74" s="28" t="str">
        <f>VLOOKUP(A74&amp;"|"&amp;B74&amp;"|"&amp;"LOOK",'[1]NPC Dialogue'!$A:$F,6,FALSE)</f>
        <v>A young mage</v>
      </c>
      <c r="D74" s="7" t="s">
        <v>61</v>
      </c>
      <c r="E74" s="7" t="s">
        <v>154</v>
      </c>
      <c r="F74" s="14">
        <v>-1</v>
      </c>
      <c r="G74" s="4" t="s">
        <v>63</v>
      </c>
      <c r="H74" s="5"/>
      <c r="I74" s="5">
        <f>INT((1/COUNTIF(B:B,B74))*100)</f>
        <v>33</v>
      </c>
      <c r="J74" s="24" t="s">
        <v>332</v>
      </c>
      <c r="K74" s="24" t="s">
        <v>290</v>
      </c>
      <c r="L74" s="5" t="str">
        <f t="shared" si="0"/>
        <v>Mariah: The quest of the avatar is noble indeed!</v>
      </c>
      <c r="M74" s="5"/>
      <c r="N74" s="5"/>
      <c r="O74" s="5"/>
    </row>
    <row r="75" spans="1:15" ht="39.6" x14ac:dyDescent="0.3">
      <c r="A75" s="24" t="s">
        <v>277</v>
      </c>
      <c r="B75" s="25" t="s">
        <v>272</v>
      </c>
      <c r="C75" s="28" t="str">
        <f>VLOOKUP(A75&amp;"|"&amp;B75&amp;"|"&amp;"LOOK",'[1]NPC Dialogue'!$A:$F,6,FALSE)</f>
        <v>A meek shepherd.</v>
      </c>
      <c r="D75" s="7" t="s">
        <v>61</v>
      </c>
      <c r="E75" s="7" t="s">
        <v>154</v>
      </c>
      <c r="F75" s="14">
        <v>-1</v>
      </c>
      <c r="G75" s="4" t="s">
        <v>63</v>
      </c>
      <c r="H75" s="5"/>
      <c r="I75" s="5">
        <f>INT((1/COUNTIF(B:B,B75))*100)</f>
        <v>33</v>
      </c>
      <c r="J75" s="24" t="s">
        <v>330</v>
      </c>
      <c r="K75" s="24" t="s">
        <v>317</v>
      </c>
      <c r="L75" s="5" t="str">
        <f t="shared" si="0"/>
        <v>Patric the Humble Shepherd: Humility is not derived from any of the four principles.</v>
      </c>
      <c r="M75" s="5"/>
      <c r="N75" s="5"/>
      <c r="O75" s="5"/>
    </row>
    <row r="76" spans="1:15" ht="39.6" x14ac:dyDescent="0.3">
      <c r="A76" s="24" t="s">
        <v>277</v>
      </c>
      <c r="B76" s="25" t="s">
        <v>272</v>
      </c>
      <c r="C76" s="28" t="str">
        <f>VLOOKUP(A76&amp;"|"&amp;B76&amp;"|"&amp;"LOOK",'[1]NPC Dialogue'!$A:$F,6,FALSE)</f>
        <v>A meek shepherd.</v>
      </c>
      <c r="D76" s="7" t="s">
        <v>61</v>
      </c>
      <c r="E76" s="7" t="s">
        <v>154</v>
      </c>
      <c r="F76" s="14">
        <v>-1</v>
      </c>
      <c r="G76" s="4" t="s">
        <v>63</v>
      </c>
      <c r="H76" s="5"/>
      <c r="I76" s="5">
        <f>INT((1/COUNTIF(B:B,B76))*100)</f>
        <v>33</v>
      </c>
      <c r="J76" s="24" t="s">
        <v>331</v>
      </c>
      <c r="K76" s="24" t="s">
        <v>318</v>
      </c>
      <c r="L76" s="5" t="str">
        <f t="shared" si="0"/>
        <v>Patric the Humble Shepherd: Humility is to act while remaining humble.</v>
      </c>
      <c r="M76" s="5"/>
      <c r="N76" s="5"/>
      <c r="O76" s="5"/>
    </row>
    <row r="77" spans="1:15" ht="39.6" x14ac:dyDescent="0.3">
      <c r="A77" s="24" t="s">
        <v>277</v>
      </c>
      <c r="B77" s="25" t="s">
        <v>272</v>
      </c>
      <c r="C77" s="28" t="str">
        <f>VLOOKUP(A77&amp;"|"&amp;B77&amp;"|"&amp;"LOOK",'[1]NPC Dialogue'!$A:$F,6,FALSE)</f>
        <v>A meek shepherd.</v>
      </c>
      <c r="D77" s="7" t="s">
        <v>61</v>
      </c>
      <c r="E77" s="7" t="s">
        <v>154</v>
      </c>
      <c r="F77" s="14">
        <v>-1</v>
      </c>
      <c r="G77" s="4" t="s">
        <v>63</v>
      </c>
      <c r="H77" s="5"/>
      <c r="I77" s="5">
        <f>INT((1/COUNTIF(B:B,B77))*100)</f>
        <v>33</v>
      </c>
      <c r="J77" s="24" t="s">
        <v>311</v>
      </c>
      <c r="K77" s="24" t="s">
        <v>291</v>
      </c>
      <c r="L77" s="5" t="str">
        <f t="shared" si="0"/>
        <v>Patric the Humble Shepherd: I am a meek shepherd.</v>
      </c>
      <c r="M77" s="5"/>
      <c r="N77" s="5"/>
      <c r="O77" s="5"/>
    </row>
    <row r="78" spans="1:15" x14ac:dyDescent="0.3">
      <c r="A78" s="24" t="s">
        <v>277</v>
      </c>
      <c r="B78" s="25" t="s">
        <v>273</v>
      </c>
      <c r="C78" s="28" t="str">
        <f>VLOOKUP(A78&amp;"|"&amp;B78&amp;"|"&amp;"LOOK",'[1]NPC Dialogue'!$A:$F,6,FALSE)</f>
        <v>A mystic wizard.</v>
      </c>
      <c r="D78" s="7" t="s">
        <v>61</v>
      </c>
      <c r="E78" s="7" t="s">
        <v>96</v>
      </c>
      <c r="F78" s="14">
        <v>-1</v>
      </c>
      <c r="G78" s="4" t="s">
        <v>63</v>
      </c>
      <c r="H78" s="5"/>
      <c r="I78" s="5">
        <f>INT((1/COUNTIF(B:B,B78))*100)</f>
        <v>33</v>
      </c>
      <c r="J78" s="24" t="s">
        <v>329</v>
      </c>
      <c r="K78" s="24" t="s">
        <v>292</v>
      </c>
      <c r="L78" s="5" t="str">
        <f t="shared" si="0"/>
        <v>Rebelias: Evil still exists in our hearts and souls!</v>
      </c>
      <c r="M78" s="5"/>
      <c r="N78" s="5"/>
      <c r="O78" s="5"/>
    </row>
    <row r="79" spans="1:15" ht="26.4" x14ac:dyDescent="0.3">
      <c r="A79" s="24" t="s">
        <v>277</v>
      </c>
      <c r="B79" s="25" t="s">
        <v>273</v>
      </c>
      <c r="C79" s="28" t="str">
        <f>VLOOKUP(A79&amp;"|"&amp;B79&amp;"|"&amp;"LOOK",'[1]NPC Dialogue'!$A:$F,6,FALSE)</f>
        <v>A mystic wizard.</v>
      </c>
      <c r="D79" s="7" t="s">
        <v>61</v>
      </c>
      <c r="E79" s="7" t="s">
        <v>96</v>
      </c>
      <c r="F79" s="14">
        <v>-1</v>
      </c>
      <c r="G79" s="4" t="s">
        <v>63</v>
      </c>
      <c r="H79" s="5"/>
      <c r="I79" s="5">
        <f>INT((1/COUNTIF(B:B,B79))*100)</f>
        <v>33</v>
      </c>
      <c r="J79" s="24" t="s">
        <v>320</v>
      </c>
      <c r="K79" s="24" t="s">
        <v>328</v>
      </c>
      <c r="L79" s="5" t="str">
        <f t="shared" si="0"/>
        <v>Rebelias: Speak the truth always and shame evil forces!</v>
      </c>
      <c r="M79" s="5"/>
      <c r="N79" s="5"/>
      <c r="O79" s="5"/>
    </row>
    <row r="80" spans="1:15" x14ac:dyDescent="0.3">
      <c r="A80" s="24" t="s">
        <v>277</v>
      </c>
      <c r="B80" s="25" t="s">
        <v>273</v>
      </c>
      <c r="C80" s="28" t="str">
        <f>VLOOKUP(A80&amp;"|"&amp;B80&amp;"|"&amp;"LOOK",'[1]NPC Dialogue'!$A:$F,6,FALSE)</f>
        <v>A mystic wizard.</v>
      </c>
      <c r="D80" s="7" t="s">
        <v>61</v>
      </c>
      <c r="E80" s="7" t="s">
        <v>96</v>
      </c>
      <c r="F80" s="14">
        <v>-1</v>
      </c>
      <c r="G80" s="4" t="s">
        <v>63</v>
      </c>
      <c r="H80" s="5"/>
      <c r="I80" s="5">
        <f>INT((1/COUNTIF(B:B,B80))*100)</f>
        <v>33</v>
      </c>
      <c r="J80" s="24" t="s">
        <v>311</v>
      </c>
      <c r="K80" s="24" t="s">
        <v>293</v>
      </c>
      <c r="L80" s="5" t="str">
        <f t="shared" si="0"/>
        <v>Rebelias: I live an honest life as a mystic wizard.</v>
      </c>
      <c r="M80" s="5"/>
      <c r="N80" s="5"/>
      <c r="O80" s="5"/>
    </row>
    <row r="81" spans="1:15" ht="21.6" x14ac:dyDescent="0.3">
      <c r="A81" s="29" t="s">
        <v>277</v>
      </c>
      <c r="B81" s="29" t="s">
        <v>280</v>
      </c>
      <c r="C81" s="28" t="str">
        <f>VLOOKUP(A81&amp;"|"&amp;B81&amp;"|"&amp;"LOOK",'[1]NPC Dialogue'!$A:$F,6,FALSE)</f>
        <v>I am the Proprietor of Inn</v>
      </c>
      <c r="D81" s="7" t="s">
        <v>61</v>
      </c>
      <c r="E81" s="7" t="s">
        <v>154</v>
      </c>
      <c r="F81" s="14">
        <v>-1</v>
      </c>
      <c r="G81" s="4" t="s">
        <v>63</v>
      </c>
      <c r="H81" s="5"/>
      <c r="I81" s="5">
        <f>INT((1/COUNTIF(B:B,B81))*100)</f>
        <v>100</v>
      </c>
      <c r="J81" s="29" t="s">
        <v>314</v>
      </c>
      <c r="K81" s="29" t="s">
        <v>294</v>
      </c>
      <c r="L81" s="5" t="str">
        <f t="shared" si="0"/>
        <v>Scatu: I am the Proprietor of Inn</v>
      </c>
      <c r="M81" s="5"/>
      <c r="N81" s="5"/>
      <c r="O81" s="5"/>
    </row>
    <row r="82" spans="1:15" x14ac:dyDescent="0.3">
      <c r="A82" s="24" t="s">
        <v>277</v>
      </c>
      <c r="B82" s="25" t="s">
        <v>274</v>
      </c>
      <c r="C82" s="28" t="str">
        <f>VLOOKUP(A82&amp;"|"&amp;B82&amp;"|"&amp;"LOOK",'[1]NPC Dialogue'!$A:$F,6,FALSE)</f>
        <v>A wise wizard.</v>
      </c>
      <c r="D82" s="7" t="s">
        <v>61</v>
      </c>
      <c r="E82" s="7" t="s">
        <v>96</v>
      </c>
      <c r="F82" s="14">
        <v>-1</v>
      </c>
      <c r="G82" s="4" t="s">
        <v>63</v>
      </c>
      <c r="H82" s="5"/>
      <c r="I82" s="5">
        <f>INT((1/COUNTIF(B:B,B82))*100)</f>
        <v>20</v>
      </c>
      <c r="J82" s="24" t="s">
        <v>327</v>
      </c>
      <c r="K82" s="24" t="s">
        <v>295</v>
      </c>
      <c r="L82" s="5" t="str">
        <f t="shared" si="0"/>
        <v>Shakespeare: Corruption wins not more than honesty!</v>
      </c>
      <c r="M82" s="5"/>
      <c r="N82" s="5"/>
      <c r="O82" s="5"/>
    </row>
    <row r="83" spans="1:15" ht="26.4" x14ac:dyDescent="0.3">
      <c r="A83" s="24" t="s">
        <v>277</v>
      </c>
      <c r="B83" s="25" t="s">
        <v>274</v>
      </c>
      <c r="C83" s="28" t="str">
        <f>VLOOKUP(A83&amp;"|"&amp;B83&amp;"|"&amp;"LOOK",'[1]NPC Dialogue'!$A:$F,6,FALSE)</f>
        <v>A wise wizard.</v>
      </c>
      <c r="D83" s="7" t="s">
        <v>61</v>
      </c>
      <c r="E83" s="7" t="s">
        <v>96</v>
      </c>
      <c r="F83" s="14">
        <v>-1</v>
      </c>
      <c r="G83" s="4" t="s">
        <v>63</v>
      </c>
      <c r="H83" s="5"/>
      <c r="I83" s="5">
        <f>INT((1/COUNTIF(B:B,B83))*100)</f>
        <v>20</v>
      </c>
      <c r="J83" s="24" t="s">
        <v>326</v>
      </c>
      <c r="K83" s="24" t="s">
        <v>296</v>
      </c>
      <c r="L83" s="5" t="str">
        <f t="shared" si="0"/>
        <v>Shakespeare: Remember, there is no terror in threats for I am strong in honesty!</v>
      </c>
      <c r="M83" s="5"/>
      <c r="N83" s="5"/>
      <c r="O83" s="5"/>
    </row>
    <row r="84" spans="1:15" x14ac:dyDescent="0.3">
      <c r="A84" s="24" t="s">
        <v>277</v>
      </c>
      <c r="B84" s="25" t="s">
        <v>274</v>
      </c>
      <c r="C84" s="28" t="str">
        <f>VLOOKUP(A84&amp;"|"&amp;B84&amp;"|"&amp;"LOOK",'[1]NPC Dialogue'!$A:$F,6,FALSE)</f>
        <v>A wise wizard.</v>
      </c>
      <c r="D84" s="7" t="s">
        <v>61</v>
      </c>
      <c r="E84" s="7" t="s">
        <v>96</v>
      </c>
      <c r="F84" s="14">
        <v>-1</v>
      </c>
      <c r="G84" s="4" t="s">
        <v>63</v>
      </c>
      <c r="H84" s="5"/>
      <c r="I84" s="5">
        <f>INT((1/COUNTIF(B:B,B84))*100)</f>
        <v>20</v>
      </c>
      <c r="J84" s="24" t="s">
        <v>311</v>
      </c>
      <c r="K84" s="24" t="s">
        <v>297</v>
      </c>
      <c r="L84" s="5" t="str">
        <f t="shared" si="0"/>
        <v>Shakespeare: I create tales of honesty.</v>
      </c>
      <c r="M84" s="5"/>
      <c r="N84" s="5"/>
      <c r="O84" s="5"/>
    </row>
    <row r="85" spans="1:15" x14ac:dyDescent="0.3">
      <c r="A85" s="24" t="s">
        <v>277</v>
      </c>
      <c r="B85" s="25" t="s">
        <v>274</v>
      </c>
      <c r="C85" s="28" t="str">
        <f>VLOOKUP(A85&amp;"|"&amp;B85&amp;"|"&amp;"LOOK",'[1]NPC Dialogue'!$A:$F,6,FALSE)</f>
        <v>A wise wizard.</v>
      </c>
      <c r="D85" s="7" t="s">
        <v>61</v>
      </c>
      <c r="E85" s="7" t="s">
        <v>96</v>
      </c>
      <c r="F85" s="14">
        <v>-1</v>
      </c>
      <c r="G85" s="4" t="s">
        <v>63</v>
      </c>
      <c r="H85" s="5"/>
      <c r="I85" s="5">
        <f>INT((1/COUNTIF(B:B,B85))*100)</f>
        <v>20</v>
      </c>
      <c r="J85" s="29" t="s">
        <v>314</v>
      </c>
      <c r="K85" s="24" t="s">
        <v>298</v>
      </c>
      <c r="L85" s="5" t="str">
        <f t="shared" si="0"/>
        <v>Shakespeare: A wise wizard.</v>
      </c>
      <c r="M85" s="5"/>
      <c r="N85" s="5"/>
      <c r="O85" s="5"/>
    </row>
    <row r="86" spans="1:15" x14ac:dyDescent="0.3">
      <c r="A86" s="24" t="s">
        <v>277</v>
      </c>
      <c r="B86" s="25" t="s">
        <v>274</v>
      </c>
      <c r="C86" s="28" t="str">
        <f>VLOOKUP(A86&amp;"|"&amp;B86&amp;"|"&amp;"LOOK",'[1]NPC Dialogue'!$A:$F,6,FALSE)</f>
        <v>A wise wizard.</v>
      </c>
      <c r="D86" s="7" t="s">
        <v>61</v>
      </c>
      <c r="E86" s="7" t="s">
        <v>96</v>
      </c>
      <c r="F86" s="14">
        <v>-1</v>
      </c>
      <c r="G86" s="4" t="s">
        <v>63</v>
      </c>
      <c r="H86" s="5"/>
      <c r="I86" s="5">
        <f>INT((1/COUNTIF(B:B,B86))*100)</f>
        <v>20</v>
      </c>
      <c r="J86" s="24" t="s">
        <v>313</v>
      </c>
      <c r="K86" s="24" t="s">
        <v>274</v>
      </c>
      <c r="L86" s="5" t="str">
        <f t="shared" si="0"/>
        <v>Shakespeare: Shakespeare</v>
      </c>
      <c r="M86" s="5"/>
      <c r="N86" s="5"/>
      <c r="O86" s="5"/>
    </row>
    <row r="87" spans="1:15" ht="21.6" x14ac:dyDescent="0.3">
      <c r="A87" s="24" t="s">
        <v>277</v>
      </c>
      <c r="B87" s="25" t="s">
        <v>275</v>
      </c>
      <c r="C87" s="28" t="str">
        <f>VLOOKUP(A87&amp;"|"&amp;B87&amp;"|"&amp;"LOOK",'[1]NPC Dialogue'!$A:$F,6,FALSE)</f>
        <v>A dying young wizard.</v>
      </c>
      <c r="D87" s="7" t="s">
        <v>61</v>
      </c>
      <c r="E87" s="7" t="s">
        <v>154</v>
      </c>
      <c r="F87" s="14">
        <v>-1</v>
      </c>
      <c r="G87" s="4" t="s">
        <v>63</v>
      </c>
      <c r="H87" s="5"/>
      <c r="I87" s="5">
        <f>INT((1/COUNTIF(B:B,B87))*100)</f>
        <v>20</v>
      </c>
      <c r="J87" s="24" t="s">
        <v>312</v>
      </c>
      <c r="K87" s="24" t="s">
        <v>299</v>
      </c>
      <c r="L87" s="5" t="str">
        <f t="shared" si="0"/>
        <v>Shazom: I will soon die.</v>
      </c>
      <c r="M87" s="5"/>
      <c r="N87" s="5"/>
      <c r="O87" s="5"/>
    </row>
    <row r="88" spans="1:15" ht="26.4" x14ac:dyDescent="0.3">
      <c r="A88" s="24" t="s">
        <v>277</v>
      </c>
      <c r="B88" s="25" t="s">
        <v>275</v>
      </c>
      <c r="C88" s="28" t="str">
        <f>VLOOKUP(A88&amp;"|"&amp;B88&amp;"|"&amp;"LOOK",'[1]NPC Dialogue'!$A:$F,6,FALSE)</f>
        <v>A dying young wizard.</v>
      </c>
      <c r="D88" s="7" t="s">
        <v>61</v>
      </c>
      <c r="E88" s="7" t="s">
        <v>154</v>
      </c>
      <c r="F88" s="14">
        <v>-1</v>
      </c>
      <c r="G88" s="4" t="s">
        <v>63</v>
      </c>
      <c r="H88" s="5"/>
      <c r="I88" s="5">
        <f>INT((1/COUNTIF(B:B,B88))*100)</f>
        <v>20</v>
      </c>
      <c r="J88" s="24" t="s">
        <v>311</v>
      </c>
      <c r="K88" s="24" t="s">
        <v>300</v>
      </c>
      <c r="L88" s="5" t="str">
        <f t="shared" si="0"/>
        <v>Shazom: I am apprentice to the great wizard Nigel!</v>
      </c>
      <c r="M88" s="5"/>
      <c r="N88" s="5"/>
      <c r="O88" s="5"/>
    </row>
    <row r="89" spans="1:15" ht="21.6" x14ac:dyDescent="0.3">
      <c r="A89" s="24" t="s">
        <v>277</v>
      </c>
      <c r="B89" s="25" t="s">
        <v>275</v>
      </c>
      <c r="C89" s="28" t="str">
        <f>VLOOKUP(A89&amp;"|"&amp;B89&amp;"|"&amp;"LOOK",'[1]NPC Dialogue'!$A:$F,6,FALSE)</f>
        <v>A dying young wizard.</v>
      </c>
      <c r="D89" s="7" t="s">
        <v>61</v>
      </c>
      <c r="E89" s="7" t="s">
        <v>154</v>
      </c>
      <c r="F89" s="14">
        <v>-1</v>
      </c>
      <c r="G89" s="4" t="s">
        <v>63</v>
      </c>
      <c r="H89" s="5"/>
      <c r="I89" s="5">
        <f>INT((1/COUNTIF(B:B,B89))*100)</f>
        <v>20</v>
      </c>
      <c r="J89" s="29" t="s">
        <v>314</v>
      </c>
      <c r="K89" s="24" t="s">
        <v>301</v>
      </c>
      <c r="L89" s="5" t="str">
        <f t="shared" si="0"/>
        <v>Shazom: A dying young wizard.</v>
      </c>
      <c r="M89" s="5"/>
      <c r="N89" s="5"/>
      <c r="O89" s="5"/>
    </row>
    <row r="90" spans="1:15" ht="21.6" x14ac:dyDescent="0.3">
      <c r="A90" s="24" t="s">
        <v>277</v>
      </c>
      <c r="B90" s="25" t="s">
        <v>275</v>
      </c>
      <c r="C90" s="28" t="str">
        <f>VLOOKUP(A90&amp;"|"&amp;B90&amp;"|"&amp;"LOOK",'[1]NPC Dialogue'!$A:$F,6,FALSE)</f>
        <v>A dying young wizard.</v>
      </c>
      <c r="D90" s="7" t="s">
        <v>61</v>
      </c>
      <c r="E90" s="7" t="s">
        <v>154</v>
      </c>
      <c r="F90" s="14">
        <v>-1</v>
      </c>
      <c r="G90" s="4" t="s">
        <v>63</v>
      </c>
      <c r="H90" s="5"/>
      <c r="I90" s="5">
        <f>INT((1/COUNTIF(B:B,B90))*100)</f>
        <v>20</v>
      </c>
      <c r="J90" s="24" t="s">
        <v>313</v>
      </c>
      <c r="K90" s="24" t="s">
        <v>275</v>
      </c>
      <c r="L90" s="5" t="str">
        <f t="shared" si="0"/>
        <v>Shazom: Shazom</v>
      </c>
      <c r="M90" s="5"/>
      <c r="N90" s="5"/>
      <c r="O90" s="5"/>
    </row>
    <row r="91" spans="1:15" ht="26.4" x14ac:dyDescent="0.3">
      <c r="A91" s="24" t="s">
        <v>277</v>
      </c>
      <c r="B91" s="25" t="s">
        <v>275</v>
      </c>
      <c r="C91" s="28" t="str">
        <f>VLOOKUP(A91&amp;"|"&amp;B91&amp;"|"&amp;"LOOK",'[1]NPC Dialogue'!$A:$F,6,FALSE)</f>
        <v>A dying young wizard.</v>
      </c>
      <c r="D91" s="7" t="s">
        <v>61</v>
      </c>
      <c r="E91" s="7" t="s">
        <v>154</v>
      </c>
      <c r="F91" s="14">
        <v>-1</v>
      </c>
      <c r="G91" s="4" t="s">
        <v>63</v>
      </c>
      <c r="H91" s="5"/>
      <c r="I91" s="5">
        <f>INT((1/COUNTIF(B:B,B91))*100)</f>
        <v>20</v>
      </c>
      <c r="J91" s="24" t="s">
        <v>325</v>
      </c>
      <c r="K91" s="24" t="s">
        <v>302</v>
      </c>
      <c r="L91" s="5" t="str">
        <f t="shared" si="0"/>
        <v>Shazom: I will soon need to use the spell he calls ’recall’.</v>
      </c>
      <c r="M91" s="5"/>
      <c r="N91" s="5"/>
      <c r="O91" s="5"/>
    </row>
    <row r="92" spans="1:15" ht="21.6" x14ac:dyDescent="0.3">
      <c r="A92" s="24" t="s">
        <v>277</v>
      </c>
      <c r="B92" s="25" t="s">
        <v>276</v>
      </c>
      <c r="C92" s="28" t="str">
        <f>VLOOKUP(A92&amp;"|"&amp;B92&amp;"|"&amp;"LOOK",'[1]NPC Dialogue'!$A:$F,6,FALSE)</f>
        <v>A Nitwit eating a sandwich.</v>
      </c>
      <c r="D92" s="7" t="s">
        <v>61</v>
      </c>
      <c r="E92" s="7" t="s">
        <v>154</v>
      </c>
      <c r="F92" s="14">
        <v>-1</v>
      </c>
      <c r="G92" s="4" t="s">
        <v>63</v>
      </c>
      <c r="H92" s="5"/>
      <c r="I92" s="5">
        <v>20</v>
      </c>
      <c r="J92" s="24" t="s">
        <v>323</v>
      </c>
      <c r="K92" s="24" t="s">
        <v>303</v>
      </c>
      <c r="L92" s="5" t="str">
        <f t="shared" si="0"/>
        <v>William: Pretty good.</v>
      </c>
      <c r="M92" s="5"/>
      <c r="N92" s="5"/>
      <c r="O92" s="5"/>
    </row>
    <row r="93" spans="1:15" ht="21.6" x14ac:dyDescent="0.3">
      <c r="A93" s="24" t="s">
        <v>277</v>
      </c>
      <c r="B93" s="25" t="s">
        <v>276</v>
      </c>
      <c r="C93" s="28" t="str">
        <f>VLOOKUP(A93&amp;"|"&amp;B93&amp;"|"&amp;"LOOK",'[1]NPC Dialogue'!$A:$F,6,FALSE)</f>
        <v>A Nitwit eating a sandwich.</v>
      </c>
      <c r="D93" s="7" t="s">
        <v>61</v>
      </c>
      <c r="E93" s="7" t="s">
        <v>154</v>
      </c>
      <c r="F93" s="14">
        <v>-1</v>
      </c>
      <c r="G93" s="4" t="s">
        <v>63</v>
      </c>
      <c r="H93" s="5"/>
      <c r="I93" s="5">
        <v>30</v>
      </c>
      <c r="J93" s="29" t="s">
        <v>314</v>
      </c>
      <c r="K93" s="25" t="s">
        <v>304</v>
      </c>
      <c r="L93" s="5" t="str">
        <f t="shared" si="0"/>
        <v>William: A Nitwit eating a sandwich.</v>
      </c>
      <c r="M93" s="5"/>
      <c r="N93" s="5"/>
      <c r="O93" s="5"/>
    </row>
    <row r="94" spans="1:15" ht="26.4" x14ac:dyDescent="0.3">
      <c r="A94" s="24" t="s">
        <v>277</v>
      </c>
      <c r="B94" s="25" t="s">
        <v>276</v>
      </c>
      <c r="C94" s="28" t="str">
        <f>VLOOKUP(A94&amp;"|"&amp;B94&amp;"|"&amp;"LOOK",'[1]NPC Dialogue'!$A:$F,6,FALSE)</f>
        <v>A Nitwit eating a sandwich.</v>
      </c>
      <c r="D94" s="7" t="s">
        <v>61</v>
      </c>
      <c r="E94" s="7" t="s">
        <v>154</v>
      </c>
      <c r="F94" s="14">
        <v>-1</v>
      </c>
      <c r="G94" s="4" t="s">
        <v>63</v>
      </c>
      <c r="H94" s="5"/>
      <c r="I94" s="5">
        <v>20</v>
      </c>
      <c r="J94" s="24" t="s">
        <v>321</v>
      </c>
      <c r="K94" s="24" t="s">
        <v>305</v>
      </c>
      <c r="L94" s="5" t="str">
        <f t="shared" si="0"/>
        <v>William: Search for the rune of honesty near Mariah’s gold chest!</v>
      </c>
      <c r="M94" s="5"/>
      <c r="N94" s="5"/>
      <c r="O94" s="5"/>
    </row>
    <row r="95" spans="1:15" ht="26.4" x14ac:dyDescent="0.3">
      <c r="A95" s="24" t="s">
        <v>277</v>
      </c>
      <c r="B95" s="25" t="s">
        <v>276</v>
      </c>
      <c r="C95" s="28" t="str">
        <f>VLOOKUP(A95&amp;"|"&amp;B95&amp;"|"&amp;"LOOK",'[1]NPC Dialogue'!$A:$F,6,FALSE)</f>
        <v>A Nitwit eating a sandwich.</v>
      </c>
      <c r="D95" s="7" t="s">
        <v>61</v>
      </c>
      <c r="E95" s="7" t="s">
        <v>154</v>
      </c>
      <c r="F95" s="14">
        <v>-1</v>
      </c>
      <c r="G95" s="4" t="s">
        <v>63</v>
      </c>
      <c r="H95" s="5"/>
      <c r="I95" s="5">
        <v>30</v>
      </c>
      <c r="J95" s="24" t="s">
        <v>324</v>
      </c>
      <c r="K95" s="24" t="s">
        <v>306</v>
      </c>
      <c r="L95" s="5" t="str">
        <f t="shared" si="0"/>
        <v>William: It’s a peanut butter and grape jelly on lightly toasted bread!</v>
      </c>
      <c r="M95" s="5"/>
      <c r="N95" s="5"/>
      <c r="O95" s="5"/>
    </row>
    <row r="96" spans="1:15" ht="26.4" x14ac:dyDescent="0.3">
      <c r="A96" s="29" t="s">
        <v>277</v>
      </c>
      <c r="B96" s="29" t="s">
        <v>281</v>
      </c>
      <c r="C96" s="28" t="str">
        <f>VLOOKUP(A96&amp;"|"&amp;B96&amp;"|"&amp;"LOOK",'[1]NPC Dialogue'!$A:$F,6,FALSE)</f>
        <v>I am the Proprietor of Sage Deli, here.</v>
      </c>
      <c r="D96" s="7" t="s">
        <v>61</v>
      </c>
      <c r="E96" s="7" t="s">
        <v>154</v>
      </c>
      <c r="F96" s="14">
        <v>-1</v>
      </c>
      <c r="G96" s="4" t="s">
        <v>63</v>
      </c>
      <c r="H96" s="5"/>
      <c r="I96" s="5">
        <f>INT((1/COUNTIF(B:B,B96))*100)</f>
        <v>100</v>
      </c>
      <c r="J96" s="29" t="s">
        <v>314</v>
      </c>
      <c r="K96" s="29" t="s">
        <v>307</v>
      </c>
      <c r="L96" s="5" t="str">
        <f t="shared" si="0"/>
        <v>Shaman: I am the Proprietor of Sage Deli, here.</v>
      </c>
      <c r="M96" s="5"/>
      <c r="N96" s="5"/>
      <c r="O96" s="5"/>
    </row>
    <row r="97" spans="1:15" ht="26.4" x14ac:dyDescent="0.3">
      <c r="A97" s="29" t="s">
        <v>277</v>
      </c>
      <c r="B97" s="29" t="s">
        <v>278</v>
      </c>
      <c r="C97" s="28" t="str">
        <f>VLOOKUP(A97&amp;"|"&amp;B97&amp;"|"&amp;"LOOK",'[1]NPC Dialogue'!$A:$F,6,FALSE)</f>
        <v>I am the Proprietor of The Healer shoppe.</v>
      </c>
      <c r="D97" s="7" t="s">
        <v>61</v>
      </c>
      <c r="E97" s="7" t="s">
        <v>154</v>
      </c>
      <c r="F97" s="14">
        <v>-1</v>
      </c>
      <c r="G97" s="4" t="s">
        <v>63</v>
      </c>
      <c r="H97" s="5"/>
      <c r="I97" s="5">
        <f>INT((1/COUNTIF(B:B,B97))*100)</f>
        <v>100</v>
      </c>
      <c r="J97" s="29" t="s">
        <v>314</v>
      </c>
      <c r="K97" s="29" t="s">
        <v>308</v>
      </c>
      <c r="L97" s="5" t="str">
        <f t="shared" si="0"/>
        <v>Harmony: I am the Proprietor of The Healer shoppe.</v>
      </c>
      <c r="M97" s="5"/>
      <c r="N97" s="5"/>
      <c r="O97" s="5"/>
    </row>
    <row r="98" spans="1:15" ht="21.6" x14ac:dyDescent="0.3">
      <c r="A98" s="27" t="s">
        <v>277</v>
      </c>
      <c r="B98" s="29" t="s">
        <v>279</v>
      </c>
      <c r="C98" s="28" t="str">
        <f>VLOOKUP(A98&amp;"|"&amp;B98&amp;"|"&amp;"LOOK",'[1]NPC Dialogue'!$A:$F,6,FALSE)</f>
        <v>I am the Propriety of Magical Herbs</v>
      </c>
      <c r="D98" s="7" t="s">
        <v>61</v>
      </c>
      <c r="E98" s="7" t="s">
        <v>154</v>
      </c>
      <c r="F98" s="14">
        <v>-1</v>
      </c>
      <c r="G98" s="4" t="s">
        <v>63</v>
      </c>
      <c r="H98" s="5"/>
      <c r="I98" s="5">
        <f>INT((1/COUNTIF(B:B,B98))*100)</f>
        <v>100</v>
      </c>
      <c r="J98" s="29" t="s">
        <v>314</v>
      </c>
      <c r="K98" s="27" t="s">
        <v>309</v>
      </c>
      <c r="L98" s="5" t="str">
        <f t="shared" si="0"/>
        <v>Margot: I am the Propriety of Magical Herbs</v>
      </c>
      <c r="M98" s="5"/>
      <c r="N98" s="5"/>
      <c r="O98" s="5"/>
    </row>
    <row r="99" spans="1:15" x14ac:dyDescent="0.3">
      <c r="A99" s="5" t="s">
        <v>350</v>
      </c>
      <c r="B99" s="5" t="s">
        <v>351</v>
      </c>
      <c r="C99" s="5" t="s">
        <v>352</v>
      </c>
      <c r="D99" s="5" t="s">
        <v>61</v>
      </c>
      <c r="E99" s="5" t="s">
        <v>154</v>
      </c>
      <c r="F99" s="14">
        <v>-1</v>
      </c>
      <c r="G99" s="5" t="s">
        <v>63</v>
      </c>
      <c r="H99" s="5"/>
      <c r="I99" s="5">
        <v>25</v>
      </c>
      <c r="J99" s="5" t="s">
        <v>353</v>
      </c>
      <c r="K99" s="5" t="s">
        <v>354</v>
      </c>
      <c r="L99" s="5" t="s">
        <v>355</v>
      </c>
      <c r="M99" s="5"/>
      <c r="N99" s="5"/>
      <c r="O99" s="5"/>
    </row>
    <row r="100" spans="1:15" x14ac:dyDescent="0.3">
      <c r="A100" s="5" t="s">
        <v>350</v>
      </c>
      <c r="B100" s="5" t="s">
        <v>351</v>
      </c>
      <c r="C100" s="5" t="s">
        <v>352</v>
      </c>
      <c r="D100" s="5" t="s">
        <v>61</v>
      </c>
      <c r="E100" s="5" t="s">
        <v>154</v>
      </c>
      <c r="F100" s="14">
        <v>-1</v>
      </c>
      <c r="G100" s="5" t="s">
        <v>63</v>
      </c>
      <c r="H100" s="5"/>
      <c r="I100" s="5">
        <v>25</v>
      </c>
      <c r="J100" s="5" t="s">
        <v>356</v>
      </c>
      <c r="K100" s="5" t="s">
        <v>357</v>
      </c>
      <c r="L100" s="5" t="s">
        <v>358</v>
      </c>
      <c r="M100" s="5"/>
      <c r="N100" s="5"/>
      <c r="O100" s="5"/>
    </row>
    <row r="101" spans="1:15" x14ac:dyDescent="0.3">
      <c r="A101" s="5" t="s">
        <v>350</v>
      </c>
      <c r="B101" s="5" t="s">
        <v>351</v>
      </c>
      <c r="C101" s="5" t="s">
        <v>352</v>
      </c>
      <c r="D101" s="5" t="s">
        <v>61</v>
      </c>
      <c r="E101" s="5" t="s">
        <v>154</v>
      </c>
      <c r="F101" s="14">
        <v>-1</v>
      </c>
      <c r="G101" s="5" t="s">
        <v>63</v>
      </c>
      <c r="H101" s="5"/>
      <c r="I101" s="5">
        <v>25</v>
      </c>
      <c r="J101" s="5" t="s">
        <v>359</v>
      </c>
      <c r="K101" s="5" t="s">
        <v>360</v>
      </c>
      <c r="L101" s="5" t="s">
        <v>361</v>
      </c>
      <c r="M101" s="5"/>
      <c r="N101" s="5"/>
      <c r="O101" s="5"/>
    </row>
    <row r="102" spans="1:15" x14ac:dyDescent="0.3">
      <c r="A102" s="5" t="s">
        <v>350</v>
      </c>
      <c r="B102" s="5" t="s">
        <v>351</v>
      </c>
      <c r="C102" s="5" t="s">
        <v>352</v>
      </c>
      <c r="D102" s="5" t="s">
        <v>61</v>
      </c>
      <c r="E102" s="5" t="s">
        <v>154</v>
      </c>
      <c r="F102" s="14">
        <v>-1</v>
      </c>
      <c r="G102" s="5" t="s">
        <v>63</v>
      </c>
      <c r="H102" s="5"/>
      <c r="I102" s="5">
        <v>25</v>
      </c>
      <c r="J102" s="5" t="s">
        <v>362</v>
      </c>
      <c r="K102" s="5" t="s">
        <v>363</v>
      </c>
      <c r="L102" s="5" t="s">
        <v>364</v>
      </c>
      <c r="M102" s="5"/>
      <c r="N102" s="5"/>
      <c r="O102" s="5"/>
    </row>
    <row r="103" spans="1:15" x14ac:dyDescent="0.3">
      <c r="A103" s="5" t="s">
        <v>350</v>
      </c>
      <c r="B103" s="5" t="s">
        <v>366</v>
      </c>
      <c r="C103" s="5" t="s">
        <v>352</v>
      </c>
      <c r="D103" s="5" t="s">
        <v>61</v>
      </c>
      <c r="E103" s="5" t="s">
        <v>154</v>
      </c>
      <c r="F103" s="14">
        <v>-1</v>
      </c>
      <c r="G103" s="5" t="s">
        <v>63</v>
      </c>
      <c r="H103" s="5"/>
      <c r="I103" s="5">
        <v>20</v>
      </c>
      <c r="J103" s="5" t="s">
        <v>495</v>
      </c>
      <c r="K103" s="5" t="s">
        <v>497</v>
      </c>
      <c r="L103" s="5" t="s">
        <v>496</v>
      </c>
      <c r="M103" s="5"/>
      <c r="N103" s="5">
        <v>40</v>
      </c>
      <c r="O103" s="5"/>
    </row>
    <row r="104" spans="1:15" x14ac:dyDescent="0.3">
      <c r="A104" s="5" t="s">
        <v>350</v>
      </c>
      <c r="B104" s="5" t="s">
        <v>366</v>
      </c>
      <c r="C104" s="5" t="s">
        <v>352</v>
      </c>
      <c r="D104" s="5" t="s">
        <v>61</v>
      </c>
      <c r="E104" s="5" t="s">
        <v>154</v>
      </c>
      <c r="F104" s="14">
        <v>-1</v>
      </c>
      <c r="G104" s="5" t="s">
        <v>63</v>
      </c>
      <c r="H104" s="5"/>
      <c r="I104" s="5">
        <v>20</v>
      </c>
      <c r="J104" s="5" t="s">
        <v>370</v>
      </c>
      <c r="K104" s="5" t="s">
        <v>371</v>
      </c>
      <c r="L104" s="5" t="s">
        <v>372</v>
      </c>
      <c r="M104" s="5"/>
      <c r="N104" s="5"/>
      <c r="O104" s="5"/>
    </row>
    <row r="105" spans="1:15" x14ac:dyDescent="0.3">
      <c r="A105" s="5" t="s">
        <v>350</v>
      </c>
      <c r="B105" s="5" t="s">
        <v>366</v>
      </c>
      <c r="C105" s="5" t="s">
        <v>352</v>
      </c>
      <c r="D105" s="5" t="s">
        <v>61</v>
      </c>
      <c r="E105" s="5" t="s">
        <v>154</v>
      </c>
      <c r="F105" s="14">
        <v>-1</v>
      </c>
      <c r="G105" s="5" t="s">
        <v>63</v>
      </c>
      <c r="H105" s="5"/>
      <c r="I105" s="5">
        <v>20</v>
      </c>
      <c r="J105" s="5" t="s">
        <v>367</v>
      </c>
      <c r="K105" s="5" t="s">
        <v>368</v>
      </c>
      <c r="L105" s="5" t="s">
        <v>369</v>
      </c>
      <c r="M105" s="5"/>
      <c r="N105" s="5">
        <v>5</v>
      </c>
      <c r="O105" s="5"/>
    </row>
    <row r="106" spans="1:15" x14ac:dyDescent="0.3">
      <c r="A106" s="5" t="s">
        <v>350</v>
      </c>
      <c r="B106" s="5" t="s">
        <v>366</v>
      </c>
      <c r="C106" s="5" t="s">
        <v>352</v>
      </c>
      <c r="D106" s="5" t="s">
        <v>61</v>
      </c>
      <c r="E106" s="5" t="s">
        <v>154</v>
      </c>
      <c r="F106" s="14">
        <v>-1</v>
      </c>
      <c r="G106" s="5" t="s">
        <v>63</v>
      </c>
      <c r="H106" s="5"/>
      <c r="I106" s="5">
        <v>20</v>
      </c>
      <c r="J106" s="5" t="s">
        <v>435</v>
      </c>
      <c r="K106" s="5" t="s">
        <v>437</v>
      </c>
      <c r="L106" s="5" t="s">
        <v>436</v>
      </c>
      <c r="M106" s="5"/>
      <c r="N106" s="5">
        <v>10</v>
      </c>
      <c r="O106" s="5"/>
    </row>
    <row r="107" spans="1:15" x14ac:dyDescent="0.3">
      <c r="A107" s="5" t="s">
        <v>350</v>
      </c>
      <c r="B107" s="5" t="s">
        <v>366</v>
      </c>
      <c r="C107" s="5" t="s">
        <v>352</v>
      </c>
      <c r="D107" s="5" t="s">
        <v>61</v>
      </c>
      <c r="E107" s="5" t="s">
        <v>154</v>
      </c>
      <c r="F107" s="14">
        <v>-1</v>
      </c>
      <c r="G107" s="5" t="s">
        <v>63</v>
      </c>
      <c r="H107" s="5"/>
      <c r="I107" s="5">
        <v>20</v>
      </c>
      <c r="J107" s="5" t="s">
        <v>434</v>
      </c>
      <c r="K107" s="5" t="s">
        <v>433</v>
      </c>
      <c r="L107" s="5" t="s">
        <v>432</v>
      </c>
      <c r="M107" s="5"/>
      <c r="N107" s="5">
        <v>5</v>
      </c>
      <c r="O107" s="5"/>
    </row>
    <row r="108" spans="1:15" x14ac:dyDescent="0.3">
      <c r="A108" s="5" t="s">
        <v>350</v>
      </c>
      <c r="B108" s="5" t="s">
        <v>373</v>
      </c>
      <c r="C108" s="5" t="s">
        <v>374</v>
      </c>
      <c r="D108" s="5" t="s">
        <v>61</v>
      </c>
      <c r="E108" s="5" t="s">
        <v>154</v>
      </c>
      <c r="F108" s="14">
        <v>-1</v>
      </c>
      <c r="G108" s="5" t="s">
        <v>63</v>
      </c>
      <c r="H108" s="5"/>
      <c r="I108" s="5">
        <v>25</v>
      </c>
      <c r="J108" s="5" t="s">
        <v>494</v>
      </c>
      <c r="K108" s="5" t="s">
        <v>489</v>
      </c>
      <c r="L108" s="5" t="s">
        <v>490</v>
      </c>
      <c r="M108" s="5"/>
      <c r="N108" s="5"/>
      <c r="O108" s="5"/>
    </row>
    <row r="109" spans="1:15" x14ac:dyDescent="0.3">
      <c r="A109" s="5" t="s">
        <v>350</v>
      </c>
      <c r="B109" s="5" t="s">
        <v>373</v>
      </c>
      <c r="C109" s="5" t="s">
        <v>374</v>
      </c>
      <c r="D109" s="5" t="s">
        <v>61</v>
      </c>
      <c r="E109" s="5" t="s">
        <v>154</v>
      </c>
      <c r="F109" s="14">
        <v>-1</v>
      </c>
      <c r="G109" s="5" t="s">
        <v>63</v>
      </c>
      <c r="H109" s="5"/>
      <c r="I109" s="5">
        <v>25</v>
      </c>
      <c r="J109" s="5" t="s">
        <v>362</v>
      </c>
      <c r="K109" s="5" t="s">
        <v>491</v>
      </c>
      <c r="L109" s="5" t="s">
        <v>492</v>
      </c>
      <c r="M109" s="5"/>
      <c r="N109" s="5"/>
      <c r="O109" s="5"/>
    </row>
    <row r="110" spans="1:15" x14ac:dyDescent="0.3">
      <c r="A110" s="5" t="s">
        <v>350</v>
      </c>
      <c r="B110" s="5" t="s">
        <v>373</v>
      </c>
      <c r="C110" s="5" t="s">
        <v>374</v>
      </c>
      <c r="D110" s="5" t="s">
        <v>61</v>
      </c>
      <c r="E110" s="5" t="s">
        <v>154</v>
      </c>
      <c r="F110" s="14">
        <v>-1</v>
      </c>
      <c r="G110" s="5" t="s">
        <v>63</v>
      </c>
      <c r="H110" s="5"/>
      <c r="I110" s="5">
        <v>25</v>
      </c>
      <c r="J110" s="5" t="s">
        <v>493</v>
      </c>
      <c r="K110" s="5" t="s">
        <v>375</v>
      </c>
      <c r="L110" s="5" t="s">
        <v>376</v>
      </c>
      <c r="M110" s="5"/>
      <c r="N110" s="5"/>
      <c r="O110" s="5" t="s">
        <v>377</v>
      </c>
    </row>
    <row r="111" spans="1:15" x14ac:dyDescent="0.3">
      <c r="A111" s="5" t="s">
        <v>350</v>
      </c>
      <c r="B111" s="5" t="s">
        <v>373</v>
      </c>
      <c r="C111" s="5" t="s">
        <v>374</v>
      </c>
      <c r="D111" s="5" t="s">
        <v>61</v>
      </c>
      <c r="E111" s="5" t="s">
        <v>154</v>
      </c>
      <c r="F111" s="14">
        <v>-1</v>
      </c>
      <c r="G111" s="5" t="s">
        <v>63</v>
      </c>
      <c r="H111" s="5"/>
      <c r="I111" s="5">
        <v>25</v>
      </c>
      <c r="J111" s="5" t="s">
        <v>505</v>
      </c>
      <c r="K111" s="5" t="s">
        <v>504</v>
      </c>
      <c r="L111" s="5" t="s">
        <v>503</v>
      </c>
      <c r="M111" s="5"/>
      <c r="N111" s="5"/>
      <c r="O111" s="5"/>
    </row>
    <row r="112" spans="1:15" x14ac:dyDescent="0.3">
      <c r="A112" s="5" t="s">
        <v>350</v>
      </c>
      <c r="B112" s="5" t="s">
        <v>373</v>
      </c>
      <c r="C112" s="5" t="s">
        <v>374</v>
      </c>
      <c r="D112" s="5" t="s">
        <v>61</v>
      </c>
      <c r="E112" s="5" t="s">
        <v>154</v>
      </c>
      <c r="F112" s="14">
        <v>-1</v>
      </c>
      <c r="G112" s="5" t="s">
        <v>72</v>
      </c>
      <c r="H112" s="5" t="s">
        <v>73</v>
      </c>
      <c r="I112" s="5"/>
      <c r="J112" s="5" t="s">
        <v>498</v>
      </c>
      <c r="K112" s="5" t="s">
        <v>499</v>
      </c>
      <c r="L112" s="5" t="s">
        <v>500</v>
      </c>
      <c r="M112" s="5"/>
      <c r="N112" s="5"/>
      <c r="O112" s="5" t="s">
        <v>506</v>
      </c>
    </row>
    <row r="113" spans="1:15" x14ac:dyDescent="0.3">
      <c r="A113" s="5" t="s">
        <v>350</v>
      </c>
      <c r="B113" s="5" t="s">
        <v>373</v>
      </c>
      <c r="C113" s="5" t="s">
        <v>374</v>
      </c>
      <c r="D113" s="5" t="s">
        <v>61</v>
      </c>
      <c r="E113" s="5" t="s">
        <v>154</v>
      </c>
      <c r="F113" s="14">
        <v>-1</v>
      </c>
      <c r="G113" s="5" t="s">
        <v>72</v>
      </c>
      <c r="H113" s="5" t="s">
        <v>77</v>
      </c>
      <c r="I113" s="5"/>
      <c r="J113" s="5" t="s">
        <v>498</v>
      </c>
      <c r="K113" s="5" t="s">
        <v>501</v>
      </c>
      <c r="L113" s="5" t="s">
        <v>502</v>
      </c>
      <c r="M113" s="5"/>
      <c r="N113" s="5"/>
      <c r="O113" s="5" t="s">
        <v>506</v>
      </c>
    </row>
    <row r="114" spans="1:15" x14ac:dyDescent="0.3">
      <c r="A114" s="5" t="s">
        <v>350</v>
      </c>
      <c r="B114" s="5" t="s">
        <v>378</v>
      </c>
      <c r="C114" s="5" t="s">
        <v>352</v>
      </c>
      <c r="D114" s="5" t="s">
        <v>61</v>
      </c>
      <c r="E114" s="5" t="s">
        <v>154</v>
      </c>
      <c r="F114" s="14">
        <v>-1</v>
      </c>
      <c r="G114" s="5" t="s">
        <v>63</v>
      </c>
      <c r="H114" s="5"/>
      <c r="I114" s="5">
        <v>25</v>
      </c>
      <c r="J114" s="5" t="s">
        <v>379</v>
      </c>
      <c r="K114" s="5" t="s">
        <v>380</v>
      </c>
      <c r="L114" s="5" t="s">
        <v>381</v>
      </c>
      <c r="M114" s="5"/>
      <c r="N114" s="5"/>
      <c r="O114" s="5" t="s">
        <v>377</v>
      </c>
    </row>
    <row r="115" spans="1:15" x14ac:dyDescent="0.3">
      <c r="A115" s="5" t="s">
        <v>350</v>
      </c>
      <c r="B115" s="5" t="s">
        <v>378</v>
      </c>
      <c r="C115" s="5" t="s">
        <v>352</v>
      </c>
      <c r="D115" s="5" t="s">
        <v>61</v>
      </c>
      <c r="E115" s="5" t="s">
        <v>154</v>
      </c>
      <c r="F115" s="14">
        <v>-1</v>
      </c>
      <c r="G115" s="5" t="s">
        <v>63</v>
      </c>
      <c r="H115" s="5"/>
      <c r="I115" s="5">
        <v>25</v>
      </c>
      <c r="J115" s="5" t="s">
        <v>365</v>
      </c>
      <c r="K115" s="5" t="s">
        <v>412</v>
      </c>
      <c r="L115" s="5" t="s">
        <v>382</v>
      </c>
      <c r="M115" s="5"/>
      <c r="N115" s="5"/>
      <c r="O115" s="5"/>
    </row>
    <row r="116" spans="1:15" x14ac:dyDescent="0.3">
      <c r="A116" s="5" t="s">
        <v>350</v>
      </c>
      <c r="B116" s="5" t="s">
        <v>378</v>
      </c>
      <c r="C116" s="5" t="s">
        <v>352</v>
      </c>
      <c r="D116" s="5" t="s">
        <v>61</v>
      </c>
      <c r="E116" s="5" t="s">
        <v>154</v>
      </c>
      <c r="F116" s="14">
        <v>-1</v>
      </c>
      <c r="G116" s="5" t="s">
        <v>63</v>
      </c>
      <c r="H116" s="5"/>
      <c r="I116" s="5">
        <v>25</v>
      </c>
      <c r="J116" s="5" t="s">
        <v>362</v>
      </c>
      <c r="K116" s="5" t="s">
        <v>383</v>
      </c>
      <c r="L116" s="5" t="s">
        <v>384</v>
      </c>
      <c r="M116" s="5"/>
      <c r="N116" s="5"/>
      <c r="O116" s="5"/>
    </row>
    <row r="117" spans="1:15" x14ac:dyDescent="0.3">
      <c r="A117" s="5" t="s">
        <v>350</v>
      </c>
      <c r="B117" s="5" t="s">
        <v>378</v>
      </c>
      <c r="C117" s="5" t="s">
        <v>352</v>
      </c>
      <c r="D117" s="5" t="s">
        <v>61</v>
      </c>
      <c r="E117" s="5" t="s">
        <v>154</v>
      </c>
      <c r="F117" s="14">
        <v>-1</v>
      </c>
      <c r="G117" s="5" t="s">
        <v>63</v>
      </c>
      <c r="H117" s="5"/>
      <c r="I117" s="5">
        <v>25</v>
      </c>
      <c r="J117" s="5" t="s">
        <v>385</v>
      </c>
      <c r="K117" s="5" t="s">
        <v>386</v>
      </c>
      <c r="L117" s="5" t="s">
        <v>387</v>
      </c>
      <c r="M117" s="5"/>
      <c r="N117" s="5"/>
      <c r="O117" s="5" t="s">
        <v>388</v>
      </c>
    </row>
    <row r="118" spans="1:15" x14ac:dyDescent="0.3">
      <c r="A118" s="5" t="s">
        <v>350</v>
      </c>
      <c r="B118" s="5" t="s">
        <v>378</v>
      </c>
      <c r="C118" s="5" t="s">
        <v>352</v>
      </c>
      <c r="D118" s="5" t="s">
        <v>61</v>
      </c>
      <c r="E118" s="5" t="s">
        <v>154</v>
      </c>
      <c r="F118" s="14">
        <v>-1</v>
      </c>
      <c r="G118" s="5" t="s">
        <v>72</v>
      </c>
      <c r="H118" s="5" t="s">
        <v>73</v>
      </c>
      <c r="I118" s="5"/>
      <c r="J118" s="5" t="s">
        <v>415</v>
      </c>
      <c r="K118" s="5" t="s">
        <v>389</v>
      </c>
      <c r="L118" s="5" t="s">
        <v>390</v>
      </c>
      <c r="M118" s="5"/>
      <c r="N118" s="5">
        <v>20</v>
      </c>
      <c r="O118" s="5" t="s">
        <v>391</v>
      </c>
    </row>
    <row r="119" spans="1:15" x14ac:dyDescent="0.3">
      <c r="A119" s="5" t="s">
        <v>350</v>
      </c>
      <c r="B119" s="5" t="s">
        <v>378</v>
      </c>
      <c r="C119" s="5" t="s">
        <v>352</v>
      </c>
      <c r="D119" s="5" t="s">
        <v>61</v>
      </c>
      <c r="E119" s="5" t="s">
        <v>154</v>
      </c>
      <c r="F119" s="14">
        <v>-1</v>
      </c>
      <c r="G119" s="5" t="s">
        <v>72</v>
      </c>
      <c r="H119" s="5" t="s">
        <v>77</v>
      </c>
      <c r="I119" s="5"/>
      <c r="J119" s="5" t="s">
        <v>415</v>
      </c>
      <c r="K119" s="5" t="s">
        <v>414</v>
      </c>
      <c r="L119" s="5" t="s">
        <v>413</v>
      </c>
      <c r="M119" s="5"/>
      <c r="N119" s="5">
        <v>-50</v>
      </c>
      <c r="O119" s="5"/>
    </row>
    <row r="120" spans="1:15" s="9" customFormat="1" x14ac:dyDescent="0.3">
      <c r="A120" s="10" t="s">
        <v>350</v>
      </c>
      <c r="B120" s="10" t="s">
        <v>392</v>
      </c>
      <c r="C120" s="10" t="s">
        <v>393</v>
      </c>
      <c r="D120" s="10" t="s">
        <v>61</v>
      </c>
      <c r="E120" s="5" t="s">
        <v>429</v>
      </c>
      <c r="F120" s="34">
        <v>-1</v>
      </c>
      <c r="G120" s="10" t="s">
        <v>63</v>
      </c>
      <c r="H120" s="10"/>
      <c r="I120" s="10">
        <v>15</v>
      </c>
      <c r="J120" s="10" t="s">
        <v>456</v>
      </c>
      <c r="K120" s="10" t="s">
        <v>458</v>
      </c>
      <c r="L120" s="10" t="s">
        <v>457</v>
      </c>
      <c r="M120" s="10"/>
      <c r="N120" s="10"/>
      <c r="O120" s="10"/>
    </row>
    <row r="121" spans="1:15" s="9" customFormat="1" x14ac:dyDescent="0.3">
      <c r="A121" s="10" t="s">
        <v>350</v>
      </c>
      <c r="B121" s="10" t="s">
        <v>392</v>
      </c>
      <c r="C121" s="10" t="s">
        <v>393</v>
      </c>
      <c r="D121" s="10" t="s">
        <v>61</v>
      </c>
      <c r="E121" s="5" t="s">
        <v>429</v>
      </c>
      <c r="F121" s="34">
        <v>-1</v>
      </c>
      <c r="G121" s="10" t="s">
        <v>63</v>
      </c>
      <c r="H121" s="10"/>
      <c r="I121" s="10">
        <v>20</v>
      </c>
      <c r="J121" s="10" t="s">
        <v>459</v>
      </c>
      <c r="K121" s="10" t="s">
        <v>463</v>
      </c>
      <c r="L121" s="10" t="s">
        <v>464</v>
      </c>
      <c r="M121" s="10"/>
      <c r="N121" s="10"/>
      <c r="O121" s="10"/>
    </row>
    <row r="122" spans="1:15" s="9" customFormat="1" x14ac:dyDescent="0.3">
      <c r="A122" s="10" t="s">
        <v>350</v>
      </c>
      <c r="B122" s="10" t="s">
        <v>392</v>
      </c>
      <c r="C122" s="10" t="s">
        <v>393</v>
      </c>
      <c r="D122" s="10" t="s">
        <v>61</v>
      </c>
      <c r="E122" s="5" t="s">
        <v>429</v>
      </c>
      <c r="F122" s="34">
        <v>-1</v>
      </c>
      <c r="G122" s="10" t="s">
        <v>63</v>
      </c>
      <c r="H122" s="10"/>
      <c r="I122" s="10">
        <v>20</v>
      </c>
      <c r="J122" s="10" t="s">
        <v>460</v>
      </c>
      <c r="K122" s="10" t="s">
        <v>461</v>
      </c>
      <c r="L122" s="10" t="s">
        <v>462</v>
      </c>
      <c r="M122" s="10"/>
      <c r="N122" s="10"/>
      <c r="O122" s="10"/>
    </row>
    <row r="123" spans="1:15" s="9" customFormat="1" x14ac:dyDescent="0.3">
      <c r="A123" s="10" t="s">
        <v>350</v>
      </c>
      <c r="B123" s="10" t="s">
        <v>392</v>
      </c>
      <c r="C123" s="10" t="s">
        <v>393</v>
      </c>
      <c r="D123" s="10" t="s">
        <v>61</v>
      </c>
      <c r="E123" s="5" t="s">
        <v>429</v>
      </c>
      <c r="F123" s="34">
        <v>-1</v>
      </c>
      <c r="G123" s="10" t="s">
        <v>63</v>
      </c>
      <c r="H123" s="10"/>
      <c r="I123" s="10">
        <v>15</v>
      </c>
      <c r="J123" s="10" t="s">
        <v>362</v>
      </c>
      <c r="K123" s="10" t="s">
        <v>465</v>
      </c>
      <c r="L123" s="10" t="s">
        <v>466</v>
      </c>
      <c r="M123" s="10"/>
      <c r="N123" s="10"/>
      <c r="O123" s="5" t="s">
        <v>484</v>
      </c>
    </row>
    <row r="124" spans="1:15" x14ac:dyDescent="0.3">
      <c r="A124" s="10" t="s">
        <v>350</v>
      </c>
      <c r="B124" s="10" t="s">
        <v>392</v>
      </c>
      <c r="C124" s="10" t="s">
        <v>393</v>
      </c>
      <c r="D124" s="5" t="s">
        <v>61</v>
      </c>
      <c r="E124" s="5" t="s">
        <v>429</v>
      </c>
      <c r="F124" s="14">
        <v>-1</v>
      </c>
      <c r="G124" s="5" t="s">
        <v>72</v>
      </c>
      <c r="H124" s="5" t="s">
        <v>73</v>
      </c>
      <c r="I124" s="5"/>
      <c r="J124" s="5" t="s">
        <v>467</v>
      </c>
      <c r="K124" s="5" t="s">
        <v>481</v>
      </c>
      <c r="L124" s="5" t="s">
        <v>480</v>
      </c>
      <c r="M124" s="5">
        <v>10</v>
      </c>
      <c r="N124" s="5">
        <v>10</v>
      </c>
    </row>
    <row r="125" spans="1:15" x14ac:dyDescent="0.3">
      <c r="A125" s="10" t="s">
        <v>350</v>
      </c>
      <c r="B125" s="10" t="s">
        <v>392</v>
      </c>
      <c r="C125" s="10" t="s">
        <v>393</v>
      </c>
      <c r="D125" s="5" t="s">
        <v>61</v>
      </c>
      <c r="E125" s="5" t="s">
        <v>429</v>
      </c>
      <c r="F125" s="14">
        <v>-1</v>
      </c>
      <c r="G125" s="5" t="s">
        <v>72</v>
      </c>
      <c r="H125" s="5" t="s">
        <v>77</v>
      </c>
      <c r="I125" s="5"/>
      <c r="J125" s="5" t="s">
        <v>467</v>
      </c>
      <c r="K125" s="5" t="s">
        <v>482</v>
      </c>
      <c r="L125" s="5" t="s">
        <v>483</v>
      </c>
      <c r="M125" s="5"/>
      <c r="N125" s="5">
        <v>0</v>
      </c>
      <c r="O125" s="5"/>
    </row>
    <row r="126" spans="1:15" s="9" customFormat="1" x14ac:dyDescent="0.3">
      <c r="A126" s="10" t="s">
        <v>350</v>
      </c>
      <c r="B126" s="10" t="s">
        <v>392</v>
      </c>
      <c r="C126" s="10" t="s">
        <v>393</v>
      </c>
      <c r="D126" s="10" t="s">
        <v>61</v>
      </c>
      <c r="E126" s="5" t="s">
        <v>429</v>
      </c>
      <c r="F126" s="34">
        <v>-1</v>
      </c>
      <c r="G126" s="10" t="s">
        <v>63</v>
      </c>
      <c r="H126" s="10"/>
      <c r="I126" s="10">
        <v>15</v>
      </c>
      <c r="J126" s="10" t="s">
        <v>416</v>
      </c>
      <c r="K126" s="10" t="s">
        <v>417</v>
      </c>
      <c r="L126" s="10" t="s">
        <v>418</v>
      </c>
      <c r="M126" s="10"/>
      <c r="N126" s="10"/>
      <c r="O126" s="10"/>
    </row>
    <row r="127" spans="1:15" s="9" customFormat="1" x14ac:dyDescent="0.3">
      <c r="A127" s="10" t="s">
        <v>350</v>
      </c>
      <c r="B127" s="10" t="s">
        <v>392</v>
      </c>
      <c r="C127" s="10" t="s">
        <v>393</v>
      </c>
      <c r="D127" s="10" t="s">
        <v>61</v>
      </c>
      <c r="E127" s="10" t="s">
        <v>154</v>
      </c>
      <c r="F127" s="34">
        <v>-1</v>
      </c>
      <c r="G127" s="10" t="s">
        <v>63</v>
      </c>
      <c r="H127" s="10"/>
      <c r="I127" s="10">
        <v>15</v>
      </c>
      <c r="J127" s="10" t="s">
        <v>455</v>
      </c>
      <c r="K127" s="10" t="s">
        <v>419</v>
      </c>
      <c r="L127" s="10" t="s">
        <v>420</v>
      </c>
      <c r="M127" s="10"/>
      <c r="N127" s="10"/>
      <c r="O127" s="10"/>
    </row>
    <row r="128" spans="1:15" s="9" customFormat="1" x14ac:dyDescent="0.3">
      <c r="A128" s="10" t="s">
        <v>350</v>
      </c>
      <c r="B128" s="10" t="s">
        <v>394</v>
      </c>
      <c r="C128" s="10" t="s">
        <v>121</v>
      </c>
      <c r="D128" s="10" t="s">
        <v>61</v>
      </c>
      <c r="E128" s="10" t="s">
        <v>429</v>
      </c>
      <c r="F128" s="34">
        <v>-1</v>
      </c>
      <c r="G128" s="10" t="s">
        <v>63</v>
      </c>
      <c r="H128" s="10"/>
      <c r="I128" s="10">
        <v>20</v>
      </c>
      <c r="J128" s="10" t="s">
        <v>395</v>
      </c>
      <c r="K128" s="10" t="s">
        <v>431</v>
      </c>
      <c r="L128" s="10" t="s">
        <v>430</v>
      </c>
      <c r="M128" s="10"/>
      <c r="N128" s="10"/>
      <c r="O128" s="10"/>
    </row>
    <row r="129" spans="1:15" s="9" customFormat="1" x14ac:dyDescent="0.3">
      <c r="A129" s="10" t="s">
        <v>350</v>
      </c>
      <c r="B129" s="10" t="s">
        <v>394</v>
      </c>
      <c r="C129" s="10" t="s">
        <v>121</v>
      </c>
      <c r="D129" s="10" t="s">
        <v>61</v>
      </c>
      <c r="E129" s="10" t="s">
        <v>429</v>
      </c>
      <c r="F129" s="34">
        <v>-1</v>
      </c>
      <c r="G129" s="10" t="s">
        <v>63</v>
      </c>
      <c r="H129" s="10"/>
      <c r="I129" s="10">
        <v>20</v>
      </c>
      <c r="J129" s="10" t="s">
        <v>426</v>
      </c>
      <c r="K129" s="10" t="s">
        <v>427</v>
      </c>
      <c r="L129" s="10" t="s">
        <v>428</v>
      </c>
      <c r="M129" s="10"/>
      <c r="N129" s="10"/>
      <c r="O129" s="10"/>
    </row>
    <row r="130" spans="1:15" s="9" customFormat="1" x14ac:dyDescent="0.3">
      <c r="A130" s="10" t="s">
        <v>350</v>
      </c>
      <c r="B130" s="10" t="s">
        <v>394</v>
      </c>
      <c r="C130" s="10" t="s">
        <v>121</v>
      </c>
      <c r="D130" s="10" t="s">
        <v>61</v>
      </c>
      <c r="E130" s="10" t="s">
        <v>429</v>
      </c>
      <c r="F130" s="34">
        <v>-1</v>
      </c>
      <c r="G130" s="10" t="s">
        <v>63</v>
      </c>
      <c r="H130" s="10"/>
      <c r="I130" s="10">
        <v>20</v>
      </c>
      <c r="J130" s="10" t="s">
        <v>477</v>
      </c>
      <c r="K130" s="10" t="s">
        <v>478</v>
      </c>
      <c r="L130" s="10" t="s">
        <v>479</v>
      </c>
      <c r="M130" s="10"/>
      <c r="N130" s="10"/>
      <c r="O130" s="10"/>
    </row>
    <row r="131" spans="1:15" s="9" customFormat="1" x14ac:dyDescent="0.3">
      <c r="A131" s="10" t="s">
        <v>350</v>
      </c>
      <c r="B131" s="10" t="s">
        <v>394</v>
      </c>
      <c r="C131" s="10" t="s">
        <v>121</v>
      </c>
      <c r="D131" s="10" t="s">
        <v>61</v>
      </c>
      <c r="E131" s="10" t="s">
        <v>429</v>
      </c>
      <c r="F131" s="34">
        <v>-1</v>
      </c>
      <c r="G131" s="10" t="s">
        <v>63</v>
      </c>
      <c r="H131" s="10"/>
      <c r="I131" s="10">
        <v>20</v>
      </c>
      <c r="J131" s="10" t="s">
        <v>362</v>
      </c>
      <c r="K131" s="10" t="s">
        <v>396</v>
      </c>
      <c r="L131" s="10" t="s">
        <v>397</v>
      </c>
      <c r="M131" s="10"/>
      <c r="N131" s="10"/>
      <c r="O131" s="10"/>
    </row>
    <row r="132" spans="1:15" s="9" customFormat="1" x14ac:dyDescent="0.3">
      <c r="A132" s="10" t="s">
        <v>350</v>
      </c>
      <c r="B132" s="10" t="s">
        <v>394</v>
      </c>
      <c r="C132" s="10" t="s">
        <v>121</v>
      </c>
      <c r="D132" s="10" t="s">
        <v>61</v>
      </c>
      <c r="E132" s="10" t="s">
        <v>429</v>
      </c>
      <c r="F132" s="34">
        <v>-1</v>
      </c>
      <c r="G132" s="10" t="s">
        <v>63</v>
      </c>
      <c r="H132" s="10"/>
      <c r="I132" s="10">
        <v>20</v>
      </c>
      <c r="J132" s="10" t="s">
        <v>370</v>
      </c>
      <c r="K132" s="10" t="s">
        <v>398</v>
      </c>
      <c r="L132" s="10" t="s">
        <v>474</v>
      </c>
      <c r="M132" s="10"/>
      <c r="N132" s="10"/>
      <c r="O132" s="10"/>
    </row>
    <row r="133" spans="1:15" x14ac:dyDescent="0.3">
      <c r="A133" s="5" t="s">
        <v>350</v>
      </c>
      <c r="B133" s="5" t="s">
        <v>399</v>
      </c>
      <c r="C133" s="5" t="s">
        <v>400</v>
      </c>
      <c r="D133" s="5" t="s">
        <v>61</v>
      </c>
      <c r="E133" s="5" t="s">
        <v>429</v>
      </c>
      <c r="F133" s="14">
        <v>-1</v>
      </c>
      <c r="G133" s="5" t="s">
        <v>63</v>
      </c>
      <c r="H133" s="5"/>
      <c r="I133" s="5">
        <v>25</v>
      </c>
      <c r="J133" s="5" t="s">
        <v>359</v>
      </c>
      <c r="K133" s="5" t="s">
        <v>401</v>
      </c>
      <c r="L133" s="5" t="s">
        <v>402</v>
      </c>
      <c r="M133" s="5"/>
      <c r="N133" s="5"/>
      <c r="O133" s="5"/>
    </row>
    <row r="134" spans="1:15" x14ac:dyDescent="0.3">
      <c r="A134" s="5" t="s">
        <v>350</v>
      </c>
      <c r="B134" s="5" t="s">
        <v>399</v>
      </c>
      <c r="C134" s="5" t="s">
        <v>400</v>
      </c>
      <c r="D134" s="5" t="s">
        <v>61</v>
      </c>
      <c r="E134" s="5" t="s">
        <v>429</v>
      </c>
      <c r="F134" s="14">
        <v>-1</v>
      </c>
      <c r="G134" s="5" t="s">
        <v>63</v>
      </c>
      <c r="H134" s="5"/>
      <c r="I134" s="5">
        <v>25</v>
      </c>
      <c r="J134" s="5" t="s">
        <v>362</v>
      </c>
      <c r="K134" s="5" t="s">
        <v>403</v>
      </c>
      <c r="L134" s="5" t="s">
        <v>404</v>
      </c>
      <c r="M134" s="5"/>
      <c r="N134" s="5"/>
      <c r="O134" s="5"/>
    </row>
    <row r="135" spans="1:15" x14ac:dyDescent="0.3">
      <c r="A135" s="5" t="s">
        <v>350</v>
      </c>
      <c r="B135" s="5" t="s">
        <v>399</v>
      </c>
      <c r="C135" s="5" t="s">
        <v>400</v>
      </c>
      <c r="D135" s="5" t="s">
        <v>61</v>
      </c>
      <c r="E135" s="5" t="s">
        <v>429</v>
      </c>
      <c r="F135" s="14">
        <v>-1</v>
      </c>
      <c r="G135" s="5" t="s">
        <v>63</v>
      </c>
      <c r="H135" s="5"/>
      <c r="I135" s="5">
        <v>25</v>
      </c>
      <c r="J135" s="5" t="s">
        <v>405</v>
      </c>
      <c r="K135" s="5" t="s">
        <v>406</v>
      </c>
      <c r="L135" s="5" t="s">
        <v>407</v>
      </c>
      <c r="M135" s="5"/>
      <c r="N135" s="5"/>
      <c r="O135" s="5"/>
    </row>
    <row r="136" spans="1:15" x14ac:dyDescent="0.3">
      <c r="A136" s="5" t="s">
        <v>350</v>
      </c>
      <c r="B136" s="5" t="s">
        <v>399</v>
      </c>
      <c r="C136" s="5" t="s">
        <v>400</v>
      </c>
      <c r="D136" s="5" t="s">
        <v>61</v>
      </c>
      <c r="E136" s="5" t="s">
        <v>429</v>
      </c>
      <c r="F136" s="14">
        <v>-1</v>
      </c>
      <c r="G136" s="5" t="s">
        <v>63</v>
      </c>
      <c r="H136" s="5"/>
      <c r="I136" s="5">
        <v>25</v>
      </c>
      <c r="J136" s="5" t="s">
        <v>408</v>
      </c>
      <c r="K136" s="5" t="s">
        <v>409</v>
      </c>
      <c r="L136" s="5" t="s">
        <v>410</v>
      </c>
      <c r="M136" s="5"/>
      <c r="N136" s="5"/>
      <c r="O136" s="5" t="s">
        <v>377</v>
      </c>
    </row>
    <row r="137" spans="1:15" x14ac:dyDescent="0.3">
      <c r="A137" s="5" t="s">
        <v>350</v>
      </c>
      <c r="B137" s="5" t="s">
        <v>399</v>
      </c>
      <c r="C137" s="5" t="s">
        <v>400</v>
      </c>
      <c r="D137" s="5" t="s">
        <v>61</v>
      </c>
      <c r="E137" s="5" t="s">
        <v>429</v>
      </c>
      <c r="F137" s="14">
        <v>-1</v>
      </c>
      <c r="G137" s="5" t="s">
        <v>72</v>
      </c>
      <c r="H137" s="5" t="s">
        <v>73</v>
      </c>
      <c r="I137" s="5"/>
      <c r="J137" s="5" t="s">
        <v>421</v>
      </c>
      <c r="K137" s="5" t="s">
        <v>423</v>
      </c>
      <c r="L137" s="5" t="s">
        <v>422</v>
      </c>
      <c r="M137" s="5"/>
      <c r="N137" s="5">
        <v>2</v>
      </c>
      <c r="O137" s="5" t="s">
        <v>411</v>
      </c>
    </row>
    <row r="138" spans="1:15" x14ac:dyDescent="0.3">
      <c r="A138" s="5" t="s">
        <v>350</v>
      </c>
      <c r="B138" s="5" t="s">
        <v>399</v>
      </c>
      <c r="C138" s="5" t="s">
        <v>400</v>
      </c>
      <c r="D138" s="5" t="s">
        <v>61</v>
      </c>
      <c r="E138" s="5" t="s">
        <v>429</v>
      </c>
      <c r="F138" s="14">
        <v>-1</v>
      </c>
      <c r="G138" s="5" t="s">
        <v>72</v>
      </c>
      <c r="H138" s="5" t="s">
        <v>77</v>
      </c>
      <c r="I138" s="5"/>
      <c r="J138" s="5" t="s">
        <v>421</v>
      </c>
      <c r="K138" s="5" t="s">
        <v>424</v>
      </c>
      <c r="L138" s="5" t="s">
        <v>425</v>
      </c>
      <c r="M138" s="5"/>
      <c r="N138" s="5">
        <v>2</v>
      </c>
      <c r="O138" s="5"/>
    </row>
    <row r="139" spans="1:15" x14ac:dyDescent="0.3">
      <c r="A139" s="5" t="s">
        <v>350</v>
      </c>
      <c r="B139" s="31" t="s">
        <v>438</v>
      </c>
      <c r="C139" s="32" t="s">
        <v>142</v>
      </c>
      <c r="D139" s="5" t="s">
        <v>61</v>
      </c>
      <c r="E139" s="5" t="s">
        <v>154</v>
      </c>
      <c r="F139" s="14">
        <v>-1</v>
      </c>
      <c r="G139" s="5" t="s">
        <v>63</v>
      </c>
      <c r="H139" s="5"/>
      <c r="I139" s="5">
        <v>100</v>
      </c>
      <c r="J139" s="5" t="s">
        <v>442</v>
      </c>
      <c r="K139" s="30" t="s">
        <v>446</v>
      </c>
      <c r="L139" s="5" t="str">
        <f>B139&amp;": "&amp;K139</f>
        <v>Jean: I am the Proprietor of Duelling Weapons.</v>
      </c>
      <c r="M139" s="5"/>
      <c r="N139" s="5"/>
      <c r="O139" s="5"/>
    </row>
    <row r="140" spans="1:15" x14ac:dyDescent="0.3">
      <c r="A140" s="5" t="s">
        <v>350</v>
      </c>
      <c r="B140" s="31" t="s">
        <v>439</v>
      </c>
      <c r="C140" s="33" t="s">
        <v>134</v>
      </c>
      <c r="D140" s="5" t="s">
        <v>61</v>
      </c>
      <c r="E140" s="5" t="s">
        <v>154</v>
      </c>
      <c r="F140" s="14">
        <v>-1</v>
      </c>
      <c r="G140" s="5" t="s">
        <v>63</v>
      </c>
      <c r="H140" s="5"/>
      <c r="I140" s="5">
        <v>100</v>
      </c>
      <c r="J140" s="5" t="s">
        <v>443</v>
      </c>
      <c r="K140" s="30" t="s">
        <v>447</v>
      </c>
      <c r="L140" s="5" t="str">
        <f t="shared" ref="L140:L142" si="1">B140&amp;": "&amp;K140</f>
        <v>Jumar: I am the Proprietor of Duelling Armour.</v>
      </c>
      <c r="M140" s="5"/>
      <c r="N140" s="5"/>
      <c r="O140" s="5"/>
    </row>
    <row r="141" spans="1:15" x14ac:dyDescent="0.3">
      <c r="A141" s="5" t="s">
        <v>350</v>
      </c>
      <c r="B141" s="31" t="s">
        <v>440</v>
      </c>
      <c r="C141" s="32" t="s">
        <v>91</v>
      </c>
      <c r="D141" s="5" t="s">
        <v>61</v>
      </c>
      <c r="E141" s="5" t="s">
        <v>154</v>
      </c>
      <c r="F141" s="14">
        <v>-1</v>
      </c>
      <c r="G141" s="5" t="s">
        <v>63</v>
      </c>
      <c r="H141" s="5"/>
      <c r="I141" s="5">
        <v>100</v>
      </c>
      <c r="J141" s="5" t="s">
        <v>445</v>
      </c>
      <c r="K141" s="30" t="s">
        <v>449</v>
      </c>
      <c r="L141" s="5" t="str">
        <f t="shared" si="1"/>
        <v>Terran: I am the Proprietor of The Keg Tap.</v>
      </c>
      <c r="M141" s="5"/>
      <c r="N141" s="5"/>
      <c r="O141" s="5"/>
    </row>
    <row r="142" spans="1:15" x14ac:dyDescent="0.3">
      <c r="A142" s="5" t="s">
        <v>350</v>
      </c>
      <c r="B142" s="31" t="s">
        <v>441</v>
      </c>
      <c r="C142" s="32" t="s">
        <v>111</v>
      </c>
      <c r="D142" s="5" t="s">
        <v>61</v>
      </c>
      <c r="E142" s="5" t="s">
        <v>154</v>
      </c>
      <c r="F142" s="14">
        <v>-1</v>
      </c>
      <c r="G142" s="5" t="s">
        <v>63</v>
      </c>
      <c r="H142" s="5"/>
      <c r="I142" s="5">
        <v>100</v>
      </c>
      <c r="J142" s="5" t="s">
        <v>444</v>
      </c>
      <c r="K142" s="30" t="s">
        <v>448</v>
      </c>
      <c r="L142" s="5" t="str">
        <f t="shared" si="1"/>
        <v>Zajac: I am the Proprietor of the Honorable Inn.</v>
      </c>
      <c r="M142" s="5"/>
      <c r="N142" s="5"/>
      <c r="O142" s="5"/>
    </row>
    <row r="143" spans="1:15" x14ac:dyDescent="0.3">
      <c r="A143" s="5" t="s">
        <v>350</v>
      </c>
      <c r="B143" s="31" t="s">
        <v>441</v>
      </c>
      <c r="C143" s="32" t="s">
        <v>111</v>
      </c>
      <c r="D143" s="5" t="s">
        <v>61</v>
      </c>
      <c r="E143" s="5" t="s">
        <v>154</v>
      </c>
      <c r="F143" s="14">
        <v>-1</v>
      </c>
      <c r="G143" s="5" t="s">
        <v>72</v>
      </c>
      <c r="H143" s="5" t="s">
        <v>73</v>
      </c>
      <c r="I143" s="5"/>
      <c r="J143" s="5" t="s">
        <v>450</v>
      </c>
      <c r="K143" s="5" t="s">
        <v>451</v>
      </c>
      <c r="L143" s="5" t="s">
        <v>452</v>
      </c>
      <c r="M143" s="5"/>
      <c r="N143" s="5">
        <v>50</v>
      </c>
      <c r="O143" s="5" t="s">
        <v>485</v>
      </c>
    </row>
    <row r="144" spans="1:15" x14ac:dyDescent="0.3">
      <c r="A144" s="5" t="s">
        <v>350</v>
      </c>
      <c r="B144" s="31" t="s">
        <v>441</v>
      </c>
      <c r="C144" s="32" t="s">
        <v>111</v>
      </c>
      <c r="D144" s="5" t="s">
        <v>61</v>
      </c>
      <c r="E144" s="5" t="s">
        <v>154</v>
      </c>
      <c r="F144" s="14">
        <v>-1</v>
      </c>
      <c r="G144" s="5" t="s">
        <v>72</v>
      </c>
      <c r="H144" s="5" t="s">
        <v>77</v>
      </c>
      <c r="I144" s="5"/>
      <c r="J144" s="5" t="s">
        <v>450</v>
      </c>
      <c r="K144" s="5" t="s">
        <v>454</v>
      </c>
      <c r="L144" s="5" t="s">
        <v>453</v>
      </c>
      <c r="M144" s="5"/>
      <c r="N144" s="5">
        <v>0</v>
      </c>
      <c r="O144" s="5"/>
    </row>
    <row r="145" spans="1:15" x14ac:dyDescent="0.3">
      <c r="A145" s="5" t="s">
        <v>512</v>
      </c>
      <c r="B145" s="5" t="s">
        <v>513</v>
      </c>
      <c r="C145" s="5" t="s">
        <v>514</v>
      </c>
      <c r="D145" s="5" t="s">
        <v>61</v>
      </c>
      <c r="E145" s="5" t="s">
        <v>154</v>
      </c>
      <c r="F145" s="14">
        <v>-1</v>
      </c>
      <c r="G145" s="5" t="s">
        <v>63</v>
      </c>
      <c r="H145" s="5"/>
      <c r="I145" s="5">
        <v>20</v>
      </c>
      <c r="J145" s="5" t="s">
        <v>660</v>
      </c>
      <c r="K145" s="5" t="s">
        <v>515</v>
      </c>
      <c r="L145" s="5" t="s">
        <v>516</v>
      </c>
      <c r="M145" s="5"/>
      <c r="N145" s="5"/>
      <c r="O145" s="5"/>
    </row>
    <row r="146" spans="1:15" x14ac:dyDescent="0.3">
      <c r="A146" s="5" t="s">
        <v>512</v>
      </c>
      <c r="B146" s="5" t="s">
        <v>513</v>
      </c>
      <c r="C146" s="5" t="s">
        <v>514</v>
      </c>
      <c r="D146" s="5" t="s">
        <v>61</v>
      </c>
      <c r="E146" s="5" t="s">
        <v>154</v>
      </c>
      <c r="F146" s="14">
        <v>-1</v>
      </c>
      <c r="G146" s="5" t="s">
        <v>63</v>
      </c>
      <c r="H146" s="5"/>
      <c r="I146" s="5">
        <v>20</v>
      </c>
      <c r="J146" s="5" t="s">
        <v>661</v>
      </c>
      <c r="K146" s="5" t="s">
        <v>517</v>
      </c>
      <c r="L146" s="5" t="s">
        <v>518</v>
      </c>
      <c r="M146" s="5"/>
      <c r="N146" s="5"/>
      <c r="O146" s="5"/>
    </row>
    <row r="147" spans="1:15" x14ac:dyDescent="0.3">
      <c r="A147" s="5" t="s">
        <v>512</v>
      </c>
      <c r="B147" s="5" t="s">
        <v>513</v>
      </c>
      <c r="C147" s="5" t="s">
        <v>514</v>
      </c>
      <c r="D147" s="5" t="s">
        <v>61</v>
      </c>
      <c r="E147" s="5" t="s">
        <v>154</v>
      </c>
      <c r="F147" s="14">
        <v>-1</v>
      </c>
      <c r="G147" s="5" t="s">
        <v>63</v>
      </c>
      <c r="H147" s="5"/>
      <c r="I147" s="5">
        <v>20</v>
      </c>
      <c r="J147" s="5" t="s">
        <v>362</v>
      </c>
      <c r="K147" s="5" t="s">
        <v>519</v>
      </c>
      <c r="L147" s="5" t="s">
        <v>520</v>
      </c>
      <c r="M147" s="5"/>
      <c r="N147" s="5"/>
      <c r="O147" s="5"/>
    </row>
    <row r="148" spans="1:15" x14ac:dyDescent="0.3">
      <c r="A148" s="5" t="s">
        <v>512</v>
      </c>
      <c r="B148" s="5" t="s">
        <v>513</v>
      </c>
      <c r="C148" s="5" t="s">
        <v>514</v>
      </c>
      <c r="D148" s="5" t="s">
        <v>61</v>
      </c>
      <c r="E148" s="5" t="s">
        <v>154</v>
      </c>
      <c r="F148" s="14">
        <v>-1</v>
      </c>
      <c r="G148" s="5" t="s">
        <v>63</v>
      </c>
      <c r="H148" s="5"/>
      <c r="I148" s="5">
        <v>20</v>
      </c>
      <c r="J148" s="5" t="s">
        <v>521</v>
      </c>
      <c r="K148" s="5" t="s">
        <v>522</v>
      </c>
      <c r="L148" s="5" t="s">
        <v>523</v>
      </c>
      <c r="M148" s="5"/>
      <c r="N148" s="5"/>
      <c r="O148" s="5"/>
    </row>
    <row r="149" spans="1:15" x14ac:dyDescent="0.3">
      <c r="A149" s="5" t="s">
        <v>512</v>
      </c>
      <c r="B149" s="5" t="s">
        <v>513</v>
      </c>
      <c r="C149" s="5" t="s">
        <v>514</v>
      </c>
      <c r="D149" s="5" t="s">
        <v>61</v>
      </c>
      <c r="E149" s="5" t="s">
        <v>154</v>
      </c>
      <c r="F149" s="14">
        <v>-1</v>
      </c>
      <c r="G149" s="5" t="s">
        <v>63</v>
      </c>
      <c r="H149" s="5"/>
      <c r="I149" s="5">
        <v>20</v>
      </c>
      <c r="J149" s="5" t="s">
        <v>524</v>
      </c>
      <c r="K149" s="5" t="s">
        <v>525</v>
      </c>
      <c r="L149" s="5" t="s">
        <v>526</v>
      </c>
      <c r="M149" s="5"/>
      <c r="N149" s="5"/>
      <c r="O149" s="5" t="s">
        <v>377</v>
      </c>
    </row>
    <row r="150" spans="1:15" x14ac:dyDescent="0.3">
      <c r="A150" s="5" t="s">
        <v>512</v>
      </c>
      <c r="B150" s="5" t="s">
        <v>513</v>
      </c>
      <c r="C150" s="5" t="s">
        <v>514</v>
      </c>
      <c r="D150" s="5" t="s">
        <v>61</v>
      </c>
      <c r="E150" s="5" t="s">
        <v>154</v>
      </c>
      <c r="F150" s="14">
        <v>-1</v>
      </c>
      <c r="G150" s="5" t="s">
        <v>72</v>
      </c>
      <c r="H150" s="5" t="s">
        <v>73</v>
      </c>
      <c r="I150" s="5"/>
      <c r="J150" s="5" t="s">
        <v>527</v>
      </c>
      <c r="K150" s="5" t="s">
        <v>528</v>
      </c>
      <c r="L150" s="5" t="s">
        <v>529</v>
      </c>
      <c r="M150" s="5"/>
      <c r="N150" s="5"/>
      <c r="O150" s="5" t="s">
        <v>530</v>
      </c>
    </row>
    <row r="151" spans="1:15" x14ac:dyDescent="0.3">
      <c r="A151" s="5" t="s">
        <v>512</v>
      </c>
      <c r="B151" s="5" t="s">
        <v>513</v>
      </c>
      <c r="C151" s="5" t="s">
        <v>514</v>
      </c>
      <c r="D151" s="5" t="s">
        <v>61</v>
      </c>
      <c r="E151" s="5" t="s">
        <v>154</v>
      </c>
      <c r="F151" s="14">
        <v>-1</v>
      </c>
      <c r="G151" s="5" t="s">
        <v>72</v>
      </c>
      <c r="H151" s="5" t="s">
        <v>77</v>
      </c>
      <c r="I151" s="5"/>
      <c r="J151" s="5" t="s">
        <v>527</v>
      </c>
      <c r="K151" s="5" t="s">
        <v>531</v>
      </c>
      <c r="L151" s="5" t="s">
        <v>532</v>
      </c>
      <c r="M151" s="5"/>
      <c r="N151" s="5"/>
      <c r="O151" s="5" t="s">
        <v>530</v>
      </c>
    </row>
    <row r="152" spans="1:15" s="45" customFormat="1" x14ac:dyDescent="0.3">
      <c r="A152" s="43" t="s">
        <v>512</v>
      </c>
      <c r="B152" s="49" t="s">
        <v>1434</v>
      </c>
      <c r="C152" s="43" t="s">
        <v>534</v>
      </c>
      <c r="D152" s="43" t="s">
        <v>61</v>
      </c>
      <c r="E152" s="43" t="s">
        <v>154</v>
      </c>
      <c r="F152" s="44">
        <v>-1</v>
      </c>
      <c r="G152" s="43" t="s">
        <v>63</v>
      </c>
      <c r="H152" s="43"/>
      <c r="I152" s="43">
        <v>20</v>
      </c>
      <c r="J152" s="43" t="s">
        <v>660</v>
      </c>
      <c r="K152" s="43" t="s">
        <v>535</v>
      </c>
      <c r="L152" s="43" t="s">
        <v>1437</v>
      </c>
      <c r="M152" s="43"/>
      <c r="N152" s="43"/>
      <c r="O152" s="43"/>
    </row>
    <row r="153" spans="1:15" s="45" customFormat="1" x14ac:dyDescent="0.3">
      <c r="A153" s="43" t="s">
        <v>512</v>
      </c>
      <c r="B153" s="49" t="s">
        <v>1434</v>
      </c>
      <c r="C153" s="43" t="s">
        <v>534</v>
      </c>
      <c r="D153" s="43" t="s">
        <v>61</v>
      </c>
      <c r="E153" s="43" t="s">
        <v>154</v>
      </c>
      <c r="F153" s="44">
        <v>-1</v>
      </c>
      <c r="G153" s="43" t="s">
        <v>63</v>
      </c>
      <c r="H153" s="43"/>
      <c r="I153" s="43">
        <v>20</v>
      </c>
      <c r="J153" s="43" t="s">
        <v>662</v>
      </c>
      <c r="K153" s="43" t="s">
        <v>536</v>
      </c>
      <c r="L153" s="43" t="s">
        <v>1438</v>
      </c>
      <c r="M153" s="43"/>
      <c r="N153" s="43"/>
      <c r="O153" s="43"/>
    </row>
    <row r="154" spans="1:15" s="45" customFormat="1" x14ac:dyDescent="0.3">
      <c r="A154" s="43" t="s">
        <v>512</v>
      </c>
      <c r="B154" s="49" t="s">
        <v>1434</v>
      </c>
      <c r="C154" s="43" t="s">
        <v>534</v>
      </c>
      <c r="D154" s="43" t="s">
        <v>61</v>
      </c>
      <c r="E154" s="43" t="s">
        <v>154</v>
      </c>
      <c r="F154" s="44">
        <v>-1</v>
      </c>
      <c r="G154" s="43" t="s">
        <v>63</v>
      </c>
      <c r="H154" s="43"/>
      <c r="I154" s="43">
        <v>20</v>
      </c>
      <c r="J154" s="43" t="s">
        <v>362</v>
      </c>
      <c r="K154" s="43" t="s">
        <v>537</v>
      </c>
      <c r="L154" s="43" t="s">
        <v>1439</v>
      </c>
      <c r="M154" s="43"/>
      <c r="N154" s="43"/>
      <c r="O154" s="43"/>
    </row>
    <row r="155" spans="1:15" s="45" customFormat="1" x14ac:dyDescent="0.3">
      <c r="A155" s="43" t="s">
        <v>512</v>
      </c>
      <c r="B155" s="49" t="s">
        <v>1434</v>
      </c>
      <c r="C155" s="43" t="s">
        <v>534</v>
      </c>
      <c r="D155" s="43" t="s">
        <v>61</v>
      </c>
      <c r="E155" s="43" t="s">
        <v>154</v>
      </c>
      <c r="F155" s="44">
        <v>-1</v>
      </c>
      <c r="G155" s="43" t="s">
        <v>63</v>
      </c>
      <c r="H155" s="43"/>
      <c r="I155" s="43">
        <v>20</v>
      </c>
      <c r="J155" s="43" t="s">
        <v>663</v>
      </c>
      <c r="K155" s="43" t="s">
        <v>538</v>
      </c>
      <c r="L155" s="43" t="s">
        <v>1440</v>
      </c>
      <c r="M155" s="43"/>
      <c r="N155" s="43"/>
      <c r="O155" s="43"/>
    </row>
    <row r="156" spans="1:15" s="45" customFormat="1" x14ac:dyDescent="0.3">
      <c r="A156" s="43" t="s">
        <v>512</v>
      </c>
      <c r="B156" s="49" t="s">
        <v>1434</v>
      </c>
      <c r="C156" s="43" t="s">
        <v>534</v>
      </c>
      <c r="D156" s="43" t="s">
        <v>61</v>
      </c>
      <c r="E156" s="43" t="s">
        <v>154</v>
      </c>
      <c r="F156" s="44">
        <v>-1</v>
      </c>
      <c r="G156" s="43" t="s">
        <v>63</v>
      </c>
      <c r="H156" s="43"/>
      <c r="I156" s="43">
        <v>20</v>
      </c>
      <c r="J156" s="43" t="s">
        <v>918</v>
      </c>
      <c r="K156" s="46" t="s">
        <v>919</v>
      </c>
      <c r="L156" s="46" t="str">
        <f>B156&amp;": "&amp;K156</f>
        <v>Estrol: It must be here somewhere!  …2.1….2.1…</v>
      </c>
      <c r="M156" s="43"/>
      <c r="N156" s="43"/>
      <c r="O156" s="43" t="s">
        <v>377</v>
      </c>
    </row>
    <row r="157" spans="1:15" s="45" customFormat="1" x14ac:dyDescent="0.3">
      <c r="A157" s="43" t="s">
        <v>512</v>
      </c>
      <c r="B157" s="49" t="s">
        <v>1434</v>
      </c>
      <c r="C157" s="43" t="s">
        <v>534</v>
      </c>
      <c r="D157" s="43" t="s">
        <v>61</v>
      </c>
      <c r="E157" s="43" t="s">
        <v>154</v>
      </c>
      <c r="F157" s="44">
        <v>-1</v>
      </c>
      <c r="G157" s="43" t="s">
        <v>72</v>
      </c>
      <c r="H157" s="43" t="s">
        <v>73</v>
      </c>
      <c r="I157" s="43"/>
      <c r="J157" s="43" t="s">
        <v>539</v>
      </c>
      <c r="K157" s="43" t="s">
        <v>540</v>
      </c>
      <c r="L157" s="43" t="s">
        <v>1441</v>
      </c>
      <c r="M157" s="43"/>
      <c r="N157" s="43"/>
      <c r="O157" s="43" t="s">
        <v>541</v>
      </c>
    </row>
    <row r="158" spans="1:15" s="45" customFormat="1" x14ac:dyDescent="0.3">
      <c r="A158" s="43" t="s">
        <v>512</v>
      </c>
      <c r="B158" s="49" t="s">
        <v>1434</v>
      </c>
      <c r="C158" s="43" t="s">
        <v>534</v>
      </c>
      <c r="D158" s="43" t="s">
        <v>61</v>
      </c>
      <c r="E158" s="43" t="s">
        <v>154</v>
      </c>
      <c r="F158" s="44">
        <v>-1</v>
      </c>
      <c r="G158" s="43" t="s">
        <v>72</v>
      </c>
      <c r="H158" s="43" t="s">
        <v>77</v>
      </c>
      <c r="I158" s="43"/>
      <c r="J158" s="43" t="s">
        <v>539</v>
      </c>
      <c r="K158" s="43" t="s">
        <v>542</v>
      </c>
      <c r="L158" s="43" t="s">
        <v>1442</v>
      </c>
      <c r="M158" s="43"/>
      <c r="N158" s="43"/>
      <c r="O158" s="43" t="s">
        <v>541</v>
      </c>
    </row>
    <row r="159" spans="1:15" x14ac:dyDescent="0.3">
      <c r="A159" s="5" t="s">
        <v>512</v>
      </c>
      <c r="B159" s="5" t="s">
        <v>543</v>
      </c>
      <c r="C159" s="5" t="s">
        <v>544</v>
      </c>
      <c r="D159" s="5" t="s">
        <v>61</v>
      </c>
      <c r="E159" s="5" t="s">
        <v>154</v>
      </c>
      <c r="F159" s="14">
        <v>-1</v>
      </c>
      <c r="G159" s="5" t="s">
        <v>63</v>
      </c>
      <c r="H159" s="5"/>
      <c r="I159" s="5">
        <v>20</v>
      </c>
      <c r="J159" s="5" t="s">
        <v>660</v>
      </c>
      <c r="K159" s="5" t="s">
        <v>545</v>
      </c>
      <c r="L159" s="5" t="s">
        <v>546</v>
      </c>
      <c r="M159" s="5"/>
      <c r="N159" s="5"/>
      <c r="O159" s="5"/>
    </row>
    <row r="160" spans="1:15" x14ac:dyDescent="0.3">
      <c r="A160" s="5" t="s">
        <v>512</v>
      </c>
      <c r="B160" s="5" t="s">
        <v>543</v>
      </c>
      <c r="C160" s="5" t="s">
        <v>544</v>
      </c>
      <c r="D160" s="5" t="s">
        <v>61</v>
      </c>
      <c r="E160" s="5" t="s">
        <v>154</v>
      </c>
      <c r="F160" s="14">
        <v>-1</v>
      </c>
      <c r="G160" s="5" t="s">
        <v>63</v>
      </c>
      <c r="H160" s="5"/>
      <c r="I160" s="5">
        <v>20</v>
      </c>
      <c r="J160" s="5" t="s">
        <v>664</v>
      </c>
      <c r="K160" s="5" t="s">
        <v>547</v>
      </c>
      <c r="L160" s="5" t="s">
        <v>548</v>
      </c>
      <c r="M160" s="5"/>
      <c r="N160" s="5"/>
      <c r="O160" s="5"/>
    </row>
    <row r="161" spans="1:15" x14ac:dyDescent="0.3">
      <c r="A161" s="5" t="s">
        <v>512</v>
      </c>
      <c r="B161" s="5" t="s">
        <v>543</v>
      </c>
      <c r="C161" s="5" t="s">
        <v>544</v>
      </c>
      <c r="D161" s="5" t="s">
        <v>61</v>
      </c>
      <c r="E161" s="5" t="s">
        <v>154</v>
      </c>
      <c r="F161" s="14">
        <v>-1</v>
      </c>
      <c r="G161" s="5" t="s">
        <v>63</v>
      </c>
      <c r="H161" s="5"/>
      <c r="I161" s="5">
        <v>20</v>
      </c>
      <c r="J161" s="5" t="s">
        <v>665</v>
      </c>
      <c r="K161" s="5" t="s">
        <v>549</v>
      </c>
      <c r="L161" s="5" t="s">
        <v>550</v>
      </c>
      <c r="M161" s="5"/>
      <c r="N161" s="5"/>
      <c r="O161" s="5"/>
    </row>
    <row r="162" spans="1:15" x14ac:dyDescent="0.3">
      <c r="A162" s="5" t="s">
        <v>512</v>
      </c>
      <c r="B162" s="5" t="s">
        <v>543</v>
      </c>
      <c r="C162" s="5" t="s">
        <v>544</v>
      </c>
      <c r="D162" s="5" t="s">
        <v>61</v>
      </c>
      <c r="E162" s="5" t="s">
        <v>154</v>
      </c>
      <c r="F162" s="14">
        <v>-1</v>
      </c>
      <c r="G162" s="5" t="s">
        <v>63</v>
      </c>
      <c r="H162" s="5"/>
      <c r="I162" s="5">
        <v>20</v>
      </c>
      <c r="J162" s="5" t="s">
        <v>362</v>
      </c>
      <c r="K162" s="5" t="s">
        <v>551</v>
      </c>
      <c r="L162" s="5" t="s">
        <v>552</v>
      </c>
      <c r="M162" s="5"/>
      <c r="N162" s="5"/>
      <c r="O162" s="5"/>
    </row>
    <row r="163" spans="1:15" x14ac:dyDescent="0.3">
      <c r="A163" s="5" t="s">
        <v>512</v>
      </c>
      <c r="B163" s="5" t="s">
        <v>543</v>
      </c>
      <c r="C163" s="5" t="s">
        <v>544</v>
      </c>
      <c r="D163" s="5" t="s">
        <v>61</v>
      </c>
      <c r="E163" s="5" t="s">
        <v>154</v>
      </c>
      <c r="F163" s="14">
        <v>-1</v>
      </c>
      <c r="G163" s="5" t="s">
        <v>63</v>
      </c>
      <c r="H163" s="5"/>
      <c r="I163" s="5">
        <v>20</v>
      </c>
      <c r="J163" s="5" t="s">
        <v>553</v>
      </c>
      <c r="K163" s="5" t="s">
        <v>554</v>
      </c>
      <c r="L163" s="5" t="s">
        <v>555</v>
      </c>
      <c r="M163" s="5"/>
      <c r="N163" s="5"/>
      <c r="O163" s="5" t="s">
        <v>377</v>
      </c>
    </row>
    <row r="164" spans="1:15" x14ac:dyDescent="0.3">
      <c r="A164" s="5" t="s">
        <v>512</v>
      </c>
      <c r="B164" s="5" t="s">
        <v>543</v>
      </c>
      <c r="C164" s="5" t="s">
        <v>544</v>
      </c>
      <c r="D164" s="5" t="s">
        <v>61</v>
      </c>
      <c r="E164" s="5" t="s">
        <v>154</v>
      </c>
      <c r="F164" s="14">
        <v>-1</v>
      </c>
      <c r="G164" s="5" t="s">
        <v>72</v>
      </c>
      <c r="H164" s="5" t="s">
        <v>73</v>
      </c>
      <c r="I164" s="5"/>
      <c r="J164" s="5" t="s">
        <v>556</v>
      </c>
      <c r="K164" s="5" t="s">
        <v>557</v>
      </c>
      <c r="L164" s="5" t="s">
        <v>558</v>
      </c>
      <c r="M164" s="5"/>
      <c r="N164" s="5"/>
      <c r="O164" s="5" t="s">
        <v>559</v>
      </c>
    </row>
    <row r="165" spans="1:15" x14ac:dyDescent="0.3">
      <c r="A165" s="5" t="s">
        <v>512</v>
      </c>
      <c r="B165" s="5" t="s">
        <v>543</v>
      </c>
      <c r="C165" s="5" t="s">
        <v>544</v>
      </c>
      <c r="D165" s="5" t="s">
        <v>61</v>
      </c>
      <c r="E165" s="5" t="s">
        <v>154</v>
      </c>
      <c r="F165" s="14">
        <v>-1</v>
      </c>
      <c r="G165" s="5" t="s">
        <v>72</v>
      </c>
      <c r="H165" s="5" t="s">
        <v>77</v>
      </c>
      <c r="I165" s="5"/>
      <c r="J165" s="5" t="s">
        <v>556</v>
      </c>
      <c r="K165" s="5" t="s">
        <v>560</v>
      </c>
      <c r="L165" s="5" t="s">
        <v>561</v>
      </c>
      <c r="M165" s="5"/>
      <c r="N165" s="5"/>
      <c r="O165" s="5" t="s">
        <v>559</v>
      </c>
    </row>
    <row r="166" spans="1:15" s="45" customFormat="1" x14ac:dyDescent="0.3">
      <c r="A166" s="43" t="s">
        <v>512</v>
      </c>
      <c r="B166" s="43" t="s">
        <v>562</v>
      </c>
      <c r="C166" s="43" t="s">
        <v>60</v>
      </c>
      <c r="D166" s="43" t="s">
        <v>61</v>
      </c>
      <c r="E166" s="43" t="s">
        <v>154</v>
      </c>
      <c r="F166" s="44">
        <v>-1</v>
      </c>
      <c r="G166" s="43" t="s">
        <v>63</v>
      </c>
      <c r="H166" s="43"/>
      <c r="I166" s="43">
        <v>20</v>
      </c>
      <c r="J166" s="46" t="s">
        <v>763</v>
      </c>
      <c r="K166" s="46" t="s">
        <v>761</v>
      </c>
      <c r="L166" s="46" t="str">
        <f>B166&amp;": "&amp;K166</f>
        <v>Lord Terence: We have a card catalogue, y'know.,,!</v>
      </c>
      <c r="M166" s="43"/>
      <c r="N166" s="43"/>
      <c r="O166" s="43"/>
    </row>
    <row r="167" spans="1:15" s="45" customFormat="1" x14ac:dyDescent="0.3">
      <c r="A167" s="43" t="s">
        <v>512</v>
      </c>
      <c r="B167" s="43" t="s">
        <v>562</v>
      </c>
      <c r="C167" s="43" t="s">
        <v>60</v>
      </c>
      <c r="D167" s="43" t="s">
        <v>61</v>
      </c>
      <c r="E167" s="43" t="s">
        <v>154</v>
      </c>
      <c r="F167" s="44">
        <v>-1</v>
      </c>
      <c r="G167" s="43" t="s">
        <v>63</v>
      </c>
      <c r="H167" s="43"/>
      <c r="I167" s="43">
        <v>20</v>
      </c>
      <c r="J167" s="43" t="s">
        <v>659</v>
      </c>
      <c r="K167" s="43" t="s">
        <v>564</v>
      </c>
      <c r="L167" s="43" t="s">
        <v>565</v>
      </c>
      <c r="M167" s="43"/>
      <c r="N167" s="43"/>
      <c r="O167" s="43"/>
    </row>
    <row r="168" spans="1:15" s="45" customFormat="1" x14ac:dyDescent="0.3">
      <c r="A168" s="43" t="s">
        <v>512</v>
      </c>
      <c r="B168" s="43" t="s">
        <v>562</v>
      </c>
      <c r="C168" s="43" t="s">
        <v>60</v>
      </c>
      <c r="D168" s="43" t="s">
        <v>61</v>
      </c>
      <c r="E168" s="43" t="s">
        <v>154</v>
      </c>
      <c r="F168" s="44">
        <v>-1</v>
      </c>
      <c r="G168" s="43" t="s">
        <v>63</v>
      </c>
      <c r="H168" s="43"/>
      <c r="I168" s="43">
        <v>20</v>
      </c>
      <c r="J168" s="43" t="s">
        <v>566</v>
      </c>
      <c r="K168" s="43" t="s">
        <v>567</v>
      </c>
      <c r="L168" s="43" t="s">
        <v>568</v>
      </c>
      <c r="M168" s="43"/>
      <c r="N168" s="43"/>
      <c r="O168" s="43"/>
    </row>
    <row r="169" spans="1:15" s="45" customFormat="1" x14ac:dyDescent="0.3">
      <c r="A169" s="43" t="s">
        <v>512</v>
      </c>
      <c r="B169" s="43" t="s">
        <v>562</v>
      </c>
      <c r="C169" s="43" t="s">
        <v>60</v>
      </c>
      <c r="D169" s="43" t="s">
        <v>61</v>
      </c>
      <c r="E169" s="43" t="s">
        <v>154</v>
      </c>
      <c r="F169" s="44">
        <v>-1</v>
      </c>
      <c r="G169" s="43" t="s">
        <v>63</v>
      </c>
      <c r="H169" s="43"/>
      <c r="I169" s="43">
        <v>20</v>
      </c>
      <c r="J169" s="43" t="s">
        <v>362</v>
      </c>
      <c r="K169" s="43" t="s">
        <v>569</v>
      </c>
      <c r="L169" s="43" t="s">
        <v>570</v>
      </c>
      <c r="M169" s="43"/>
      <c r="N169" s="43"/>
      <c r="O169" s="43"/>
    </row>
    <row r="170" spans="1:15" s="45" customFormat="1" x14ac:dyDescent="0.3">
      <c r="A170" s="43" t="s">
        <v>512</v>
      </c>
      <c r="B170" s="43" t="s">
        <v>562</v>
      </c>
      <c r="C170" s="43" t="s">
        <v>60</v>
      </c>
      <c r="D170" s="43" t="s">
        <v>61</v>
      </c>
      <c r="E170" s="43" t="s">
        <v>154</v>
      </c>
      <c r="F170" s="44">
        <v>-1</v>
      </c>
      <c r="G170" s="43" t="s">
        <v>63</v>
      </c>
      <c r="H170" s="43"/>
      <c r="I170" s="43">
        <v>20</v>
      </c>
      <c r="J170" s="46" t="s">
        <v>762</v>
      </c>
      <c r="K170" s="46" t="s">
        <v>760</v>
      </c>
      <c r="L170" s="46" t="str">
        <f>B170&amp;": "&amp;K170</f>
        <v>Lord Terence: The book you seek is in ...(4,8)-something…</v>
      </c>
      <c r="M170" s="43"/>
      <c r="N170" s="43"/>
      <c r="O170" s="43" t="s">
        <v>377</v>
      </c>
    </row>
    <row r="171" spans="1:15" s="45" customFormat="1" x14ac:dyDescent="0.3">
      <c r="A171" s="43" t="s">
        <v>512</v>
      </c>
      <c r="B171" s="43" t="s">
        <v>562</v>
      </c>
      <c r="C171" s="43" t="s">
        <v>60</v>
      </c>
      <c r="D171" s="43" t="s">
        <v>61</v>
      </c>
      <c r="E171" s="43" t="s">
        <v>154</v>
      </c>
      <c r="F171" s="44">
        <v>-1</v>
      </c>
      <c r="G171" s="43" t="s">
        <v>72</v>
      </c>
      <c r="H171" s="43" t="s">
        <v>73</v>
      </c>
      <c r="I171" s="43"/>
      <c r="J171" s="43" t="s">
        <v>571</v>
      </c>
      <c r="K171" s="43" t="s">
        <v>572</v>
      </c>
      <c r="L171" s="43" t="s">
        <v>573</v>
      </c>
      <c r="M171" s="43"/>
      <c r="N171" s="43"/>
      <c r="O171" s="43" t="s">
        <v>574</v>
      </c>
    </row>
    <row r="172" spans="1:15" s="45" customFormat="1" x14ac:dyDescent="0.3">
      <c r="A172" s="43" t="s">
        <v>512</v>
      </c>
      <c r="B172" s="43" t="s">
        <v>562</v>
      </c>
      <c r="C172" s="43" t="s">
        <v>60</v>
      </c>
      <c r="D172" s="43" t="s">
        <v>61</v>
      </c>
      <c r="E172" s="43" t="s">
        <v>154</v>
      </c>
      <c r="F172" s="44">
        <v>-1</v>
      </c>
      <c r="G172" s="43" t="s">
        <v>72</v>
      </c>
      <c r="H172" s="43" t="s">
        <v>77</v>
      </c>
      <c r="I172" s="43"/>
      <c r="J172" s="43" t="s">
        <v>571</v>
      </c>
      <c r="K172" s="43" t="s">
        <v>575</v>
      </c>
      <c r="L172" s="43" t="s">
        <v>576</v>
      </c>
      <c r="M172" s="43"/>
      <c r="N172" s="43"/>
      <c r="O172" s="43" t="s">
        <v>574</v>
      </c>
    </row>
    <row r="173" spans="1:15" s="45" customFormat="1" x14ac:dyDescent="0.3">
      <c r="A173" s="43" t="s">
        <v>512</v>
      </c>
      <c r="B173" s="43" t="s">
        <v>577</v>
      </c>
      <c r="C173" s="43" t="s">
        <v>393</v>
      </c>
      <c r="D173" s="43" t="s">
        <v>61</v>
      </c>
      <c r="E173" s="43" t="s">
        <v>154</v>
      </c>
      <c r="F173" s="44">
        <v>-1</v>
      </c>
      <c r="G173" s="43" t="s">
        <v>63</v>
      </c>
      <c r="H173" s="43"/>
      <c r="I173" s="43">
        <v>20</v>
      </c>
      <c r="J173" s="43" t="s">
        <v>660</v>
      </c>
      <c r="K173" s="43" t="s">
        <v>578</v>
      </c>
      <c r="L173" s="43" t="s">
        <v>579</v>
      </c>
      <c r="M173" s="43"/>
      <c r="N173" s="43"/>
      <c r="O173" s="43"/>
    </row>
    <row r="174" spans="1:15" s="45" customFormat="1" x14ac:dyDescent="0.3">
      <c r="A174" s="43" t="s">
        <v>512</v>
      </c>
      <c r="B174" s="43" t="s">
        <v>577</v>
      </c>
      <c r="C174" s="43" t="s">
        <v>393</v>
      </c>
      <c r="D174" s="43" t="s">
        <v>61</v>
      </c>
      <c r="E174" s="43" t="s">
        <v>154</v>
      </c>
      <c r="F174" s="44">
        <v>-1</v>
      </c>
      <c r="G174" s="43" t="s">
        <v>63</v>
      </c>
      <c r="H174" s="43"/>
      <c r="I174" s="43">
        <v>20</v>
      </c>
      <c r="J174" s="43" t="s">
        <v>666</v>
      </c>
      <c r="K174" s="43" t="s">
        <v>580</v>
      </c>
      <c r="L174" s="43" t="s">
        <v>581</v>
      </c>
      <c r="M174" s="43"/>
      <c r="N174" s="43"/>
      <c r="O174" s="43"/>
    </row>
    <row r="175" spans="1:15" s="45" customFormat="1" x14ac:dyDescent="0.3">
      <c r="A175" s="43" t="s">
        <v>512</v>
      </c>
      <c r="B175" s="43" t="s">
        <v>577</v>
      </c>
      <c r="C175" s="43" t="s">
        <v>393</v>
      </c>
      <c r="D175" s="43" t="s">
        <v>61</v>
      </c>
      <c r="E175" s="43" t="s">
        <v>154</v>
      </c>
      <c r="F175" s="44">
        <v>-1</v>
      </c>
      <c r="G175" s="43" t="s">
        <v>63</v>
      </c>
      <c r="H175" s="43"/>
      <c r="I175" s="43">
        <v>20</v>
      </c>
      <c r="J175" s="43" t="s">
        <v>362</v>
      </c>
      <c r="K175" s="43" t="s">
        <v>582</v>
      </c>
      <c r="L175" s="43" t="s">
        <v>583</v>
      </c>
      <c r="M175" s="43"/>
      <c r="N175" s="43"/>
      <c r="O175" s="43"/>
    </row>
    <row r="176" spans="1:15" s="45" customFormat="1" x14ac:dyDescent="0.3">
      <c r="A176" s="43" t="s">
        <v>512</v>
      </c>
      <c r="B176" s="43" t="s">
        <v>577</v>
      </c>
      <c r="C176" s="43" t="s">
        <v>393</v>
      </c>
      <c r="D176" s="43" t="s">
        <v>61</v>
      </c>
      <c r="E176" s="43" t="s">
        <v>154</v>
      </c>
      <c r="F176" s="44">
        <v>-1</v>
      </c>
      <c r="G176" s="43" t="s">
        <v>63</v>
      </c>
      <c r="H176" s="43"/>
      <c r="I176" s="43">
        <v>20</v>
      </c>
      <c r="J176" s="43" t="s">
        <v>667</v>
      </c>
      <c r="K176" s="43" t="s">
        <v>584</v>
      </c>
      <c r="L176" s="43" t="s">
        <v>585</v>
      </c>
      <c r="M176" s="43"/>
      <c r="N176" s="43"/>
      <c r="O176" s="43"/>
    </row>
    <row r="177" spans="1:15" s="45" customFormat="1" x14ac:dyDescent="0.3">
      <c r="A177" s="43" t="s">
        <v>512</v>
      </c>
      <c r="B177" s="43" t="s">
        <v>577</v>
      </c>
      <c r="C177" s="43" t="s">
        <v>393</v>
      </c>
      <c r="D177" s="43" t="s">
        <v>61</v>
      </c>
      <c r="E177" s="43" t="s">
        <v>154</v>
      </c>
      <c r="F177" s="44">
        <v>-1</v>
      </c>
      <c r="G177" s="43" t="s">
        <v>63</v>
      </c>
      <c r="H177" s="43"/>
      <c r="I177" s="43">
        <v>20</v>
      </c>
      <c r="J177" s="43" t="s">
        <v>586</v>
      </c>
      <c r="K177" s="43" t="s">
        <v>587</v>
      </c>
      <c r="L177" s="43" t="s">
        <v>588</v>
      </c>
      <c r="M177" s="43"/>
      <c r="N177" s="43"/>
      <c r="O177" s="43" t="s">
        <v>377</v>
      </c>
    </row>
    <row r="178" spans="1:15" s="45" customFormat="1" x14ac:dyDescent="0.3">
      <c r="A178" s="43" t="s">
        <v>512</v>
      </c>
      <c r="B178" s="43" t="s">
        <v>577</v>
      </c>
      <c r="C178" s="43" t="s">
        <v>393</v>
      </c>
      <c r="D178" s="43" t="s">
        <v>61</v>
      </c>
      <c r="E178" s="43" t="s">
        <v>154</v>
      </c>
      <c r="F178" s="44">
        <v>-1</v>
      </c>
      <c r="G178" s="43" t="s">
        <v>72</v>
      </c>
      <c r="H178" s="43" t="s">
        <v>73</v>
      </c>
      <c r="I178" s="43"/>
      <c r="J178" s="43" t="s">
        <v>589</v>
      </c>
      <c r="K178" s="46" t="s">
        <v>678</v>
      </c>
      <c r="L178" s="46" t="str">
        <f>B178&amp;": "&amp;K178</f>
        <v>Nigel: That's right. It's RECALL.</v>
      </c>
      <c r="M178" s="43"/>
      <c r="N178" s="43"/>
      <c r="O178" s="43" t="s">
        <v>590</v>
      </c>
    </row>
    <row r="179" spans="1:15" s="45" customFormat="1" x14ac:dyDescent="0.3">
      <c r="A179" s="43" t="s">
        <v>512</v>
      </c>
      <c r="B179" s="43" t="s">
        <v>577</v>
      </c>
      <c r="C179" s="43" t="s">
        <v>393</v>
      </c>
      <c r="D179" s="43" t="s">
        <v>61</v>
      </c>
      <c r="E179" s="43" t="s">
        <v>154</v>
      </c>
      <c r="F179" s="44">
        <v>-1</v>
      </c>
      <c r="G179" s="43" t="s">
        <v>72</v>
      </c>
      <c r="H179" s="43" t="s">
        <v>77</v>
      </c>
      <c r="I179" s="43"/>
      <c r="J179" s="43" t="s">
        <v>589</v>
      </c>
      <c r="K179" s="46" t="s">
        <v>677</v>
      </c>
      <c r="L179" s="46" t="str">
        <f>B179&amp;": "&amp;K179</f>
        <v>Nigel: It's RECALL. To resurrect the recently dead.</v>
      </c>
      <c r="M179" s="43"/>
      <c r="N179" s="43"/>
      <c r="O179" s="43" t="s">
        <v>590</v>
      </c>
    </row>
    <row r="180" spans="1:15" x14ac:dyDescent="0.3">
      <c r="A180" s="5" t="s">
        <v>512</v>
      </c>
      <c r="B180" s="5" t="s">
        <v>591</v>
      </c>
      <c r="C180" s="5" t="s">
        <v>514</v>
      </c>
      <c r="D180" s="5" t="s">
        <v>61</v>
      </c>
      <c r="E180" s="5" t="s">
        <v>154</v>
      </c>
      <c r="F180" s="14">
        <v>-1</v>
      </c>
      <c r="G180" s="5" t="s">
        <v>63</v>
      </c>
      <c r="H180" s="5"/>
      <c r="I180" s="5">
        <v>20</v>
      </c>
      <c r="J180" s="5" t="s">
        <v>1310</v>
      </c>
      <c r="K180" s="5" t="s">
        <v>1309</v>
      </c>
      <c r="L180" s="46" t="str">
        <f>B180&amp;": "&amp;K180</f>
        <v>Robert Frasier: We're only temporary custodians of that we keep.</v>
      </c>
      <c r="M180" s="5"/>
      <c r="N180" s="5"/>
      <c r="O180" s="5"/>
    </row>
    <row r="181" spans="1:15" x14ac:dyDescent="0.3">
      <c r="A181" s="5" t="s">
        <v>512</v>
      </c>
      <c r="B181" s="5" t="s">
        <v>591</v>
      </c>
      <c r="C181" s="5" t="s">
        <v>514</v>
      </c>
      <c r="D181" s="5" t="s">
        <v>61</v>
      </c>
      <c r="E181" s="5" t="s">
        <v>154</v>
      </c>
      <c r="F181" s="14">
        <v>-1</v>
      </c>
      <c r="G181" s="5" t="s">
        <v>63</v>
      </c>
      <c r="H181" s="5"/>
      <c r="I181" s="5">
        <v>20</v>
      </c>
      <c r="J181" s="5" t="s">
        <v>661</v>
      </c>
      <c r="K181" s="5" t="s">
        <v>592</v>
      </c>
      <c r="L181" s="5" t="s">
        <v>593</v>
      </c>
      <c r="M181" s="5"/>
      <c r="N181" s="5"/>
      <c r="O181" s="5"/>
    </row>
    <row r="182" spans="1:15" x14ac:dyDescent="0.3">
      <c r="A182" s="5" t="s">
        <v>512</v>
      </c>
      <c r="B182" s="5" t="s">
        <v>591</v>
      </c>
      <c r="C182" s="5" t="s">
        <v>514</v>
      </c>
      <c r="D182" s="5" t="s">
        <v>61</v>
      </c>
      <c r="E182" s="5" t="s">
        <v>154</v>
      </c>
      <c r="F182" s="14">
        <v>-1</v>
      </c>
      <c r="G182" s="5" t="s">
        <v>63</v>
      </c>
      <c r="H182" s="5"/>
      <c r="I182" s="5">
        <v>20</v>
      </c>
      <c r="J182" s="5" t="s">
        <v>362</v>
      </c>
      <c r="K182" s="5" t="s">
        <v>594</v>
      </c>
      <c r="L182" s="5" t="s">
        <v>595</v>
      </c>
      <c r="M182" s="5"/>
      <c r="N182" s="5"/>
      <c r="O182" s="5"/>
    </row>
    <row r="183" spans="1:15" x14ac:dyDescent="0.3">
      <c r="A183" s="5" t="s">
        <v>512</v>
      </c>
      <c r="B183" s="5" t="s">
        <v>591</v>
      </c>
      <c r="C183" s="5" t="s">
        <v>514</v>
      </c>
      <c r="D183" s="5" t="s">
        <v>61</v>
      </c>
      <c r="E183" s="5" t="s">
        <v>154</v>
      </c>
      <c r="F183" s="14">
        <v>-1</v>
      </c>
      <c r="G183" s="5" t="s">
        <v>63</v>
      </c>
      <c r="H183" s="5"/>
      <c r="I183" s="5">
        <v>20</v>
      </c>
      <c r="J183" s="5" t="s">
        <v>521</v>
      </c>
      <c r="K183" s="5" t="s">
        <v>596</v>
      </c>
      <c r="L183" s="5" t="s">
        <v>597</v>
      </c>
      <c r="M183" s="5"/>
      <c r="N183" s="5"/>
      <c r="O183" s="5"/>
    </row>
    <row r="184" spans="1:15" x14ac:dyDescent="0.3">
      <c r="A184" s="5" t="s">
        <v>512</v>
      </c>
      <c r="B184" s="5" t="s">
        <v>591</v>
      </c>
      <c r="C184" s="5" t="s">
        <v>514</v>
      </c>
      <c r="D184" s="5" t="s">
        <v>61</v>
      </c>
      <c r="E184" s="5" t="s">
        <v>154</v>
      </c>
      <c r="F184" s="14">
        <v>-1</v>
      </c>
      <c r="G184" s="5" t="s">
        <v>63</v>
      </c>
      <c r="H184" s="5"/>
      <c r="I184" s="5">
        <v>20</v>
      </c>
      <c r="J184" s="5" t="s">
        <v>598</v>
      </c>
      <c r="K184" s="5" t="s">
        <v>599</v>
      </c>
      <c r="L184" s="5" t="s">
        <v>600</v>
      </c>
      <c r="M184" s="5"/>
      <c r="N184" s="5"/>
      <c r="O184" s="5" t="s">
        <v>377</v>
      </c>
    </row>
    <row r="185" spans="1:15" x14ac:dyDescent="0.3">
      <c r="A185" s="5" t="s">
        <v>512</v>
      </c>
      <c r="B185" s="5" t="s">
        <v>591</v>
      </c>
      <c r="C185" s="5" t="s">
        <v>514</v>
      </c>
      <c r="D185" s="5" t="s">
        <v>61</v>
      </c>
      <c r="E185" s="5" t="s">
        <v>154</v>
      </c>
      <c r="F185" s="14">
        <v>-1</v>
      </c>
      <c r="G185" s="5" t="s">
        <v>72</v>
      </c>
      <c r="H185" s="5" t="s">
        <v>73</v>
      </c>
      <c r="I185" s="5"/>
      <c r="J185" s="5" t="s">
        <v>601</v>
      </c>
      <c r="K185" s="5" t="s">
        <v>602</v>
      </c>
      <c r="L185" s="5" t="s">
        <v>603</v>
      </c>
      <c r="M185" s="5"/>
      <c r="N185" s="5"/>
      <c r="O185" s="5" t="s">
        <v>604</v>
      </c>
    </row>
    <row r="186" spans="1:15" x14ac:dyDescent="0.3">
      <c r="A186" s="5" t="s">
        <v>512</v>
      </c>
      <c r="B186" s="5" t="s">
        <v>591</v>
      </c>
      <c r="C186" s="5" t="s">
        <v>514</v>
      </c>
      <c r="D186" s="5" t="s">
        <v>61</v>
      </c>
      <c r="E186" s="5" t="s">
        <v>154</v>
      </c>
      <c r="F186" s="14">
        <v>-1</v>
      </c>
      <c r="G186" s="5" t="s">
        <v>72</v>
      </c>
      <c r="H186" s="5" t="s">
        <v>77</v>
      </c>
      <c r="I186" s="5"/>
      <c r="J186" s="5" t="s">
        <v>601</v>
      </c>
      <c r="K186" s="5" t="s">
        <v>605</v>
      </c>
      <c r="L186" s="5" t="s">
        <v>606</v>
      </c>
      <c r="M186" s="5"/>
      <c r="N186" s="5"/>
      <c r="O186" s="5" t="s">
        <v>604</v>
      </c>
    </row>
    <row r="187" spans="1:15" s="45" customFormat="1" x14ac:dyDescent="0.3">
      <c r="A187" s="43" t="s">
        <v>512</v>
      </c>
      <c r="B187" s="43" t="s">
        <v>607</v>
      </c>
      <c r="C187" s="43" t="s">
        <v>608</v>
      </c>
      <c r="D187" s="43" t="s">
        <v>61</v>
      </c>
      <c r="E187" s="43" t="s">
        <v>154</v>
      </c>
      <c r="F187" s="44">
        <v>-1</v>
      </c>
      <c r="G187" s="43" t="s">
        <v>63</v>
      </c>
      <c r="H187" s="43"/>
      <c r="I187" s="43">
        <v>20</v>
      </c>
      <c r="J187" s="43" t="s">
        <v>660</v>
      </c>
      <c r="K187" s="43" t="s">
        <v>609</v>
      </c>
      <c r="L187" s="43" t="s">
        <v>610</v>
      </c>
      <c r="M187" s="43"/>
      <c r="N187" s="43"/>
      <c r="O187" s="43"/>
    </row>
    <row r="188" spans="1:15" s="45" customFormat="1" x14ac:dyDescent="0.3">
      <c r="A188" s="43" t="s">
        <v>512</v>
      </c>
      <c r="B188" s="43" t="s">
        <v>607</v>
      </c>
      <c r="C188" s="43" t="s">
        <v>608</v>
      </c>
      <c r="D188" s="43" t="s">
        <v>61</v>
      </c>
      <c r="E188" s="43" t="s">
        <v>154</v>
      </c>
      <c r="F188" s="44">
        <v>-1</v>
      </c>
      <c r="G188" s="43" t="s">
        <v>63</v>
      </c>
      <c r="H188" s="43"/>
      <c r="I188" s="43">
        <v>20</v>
      </c>
      <c r="J188" s="46" t="s">
        <v>745</v>
      </c>
      <c r="K188" s="43" t="s">
        <v>611</v>
      </c>
      <c r="L188" s="43" t="s">
        <v>612</v>
      </c>
      <c r="M188" s="43"/>
      <c r="N188" s="43"/>
      <c r="O188" s="43"/>
    </row>
    <row r="189" spans="1:15" s="45" customFormat="1" x14ac:dyDescent="0.3">
      <c r="A189" s="43" t="s">
        <v>512</v>
      </c>
      <c r="B189" s="43" t="s">
        <v>607</v>
      </c>
      <c r="C189" s="43" t="s">
        <v>608</v>
      </c>
      <c r="D189" s="43" t="s">
        <v>61</v>
      </c>
      <c r="E189" s="43" t="s">
        <v>154</v>
      </c>
      <c r="F189" s="44">
        <v>-1</v>
      </c>
      <c r="G189" s="43" t="s">
        <v>63</v>
      </c>
      <c r="H189" s="43"/>
      <c r="I189" s="43">
        <v>20</v>
      </c>
      <c r="J189" s="43" t="s">
        <v>362</v>
      </c>
      <c r="K189" s="43" t="s">
        <v>613</v>
      </c>
      <c r="L189" s="43" t="s">
        <v>614</v>
      </c>
      <c r="M189" s="43"/>
      <c r="N189" s="43"/>
      <c r="O189" s="43"/>
    </row>
    <row r="190" spans="1:15" s="45" customFormat="1" x14ac:dyDescent="0.3">
      <c r="A190" s="43" t="s">
        <v>512</v>
      </c>
      <c r="B190" s="43" t="s">
        <v>607</v>
      </c>
      <c r="C190" s="43" t="s">
        <v>608</v>
      </c>
      <c r="D190" s="43" t="s">
        <v>61</v>
      </c>
      <c r="E190" s="43" t="s">
        <v>154</v>
      </c>
      <c r="F190" s="44">
        <v>-1</v>
      </c>
      <c r="G190" s="43" t="s">
        <v>63</v>
      </c>
      <c r="H190" s="43"/>
      <c r="I190" s="43">
        <v>20</v>
      </c>
      <c r="J190" s="43" t="s">
        <v>669</v>
      </c>
      <c r="K190" s="43" t="s">
        <v>615</v>
      </c>
      <c r="L190" s="43" t="s">
        <v>616</v>
      </c>
      <c r="M190" s="43"/>
      <c r="N190" s="43"/>
      <c r="O190" s="43"/>
    </row>
    <row r="191" spans="1:15" s="45" customFormat="1" x14ac:dyDescent="0.3">
      <c r="A191" s="43" t="s">
        <v>512</v>
      </c>
      <c r="B191" s="43" t="s">
        <v>607</v>
      </c>
      <c r="C191" s="43" t="s">
        <v>608</v>
      </c>
      <c r="D191" s="43" t="s">
        <v>61</v>
      </c>
      <c r="E191" s="43" t="s">
        <v>154</v>
      </c>
      <c r="F191" s="44">
        <v>-1</v>
      </c>
      <c r="G191" s="43" t="s">
        <v>63</v>
      </c>
      <c r="H191" s="43"/>
      <c r="I191" s="43">
        <v>20</v>
      </c>
      <c r="J191" s="43" t="s">
        <v>670</v>
      </c>
      <c r="K191" s="43" t="s">
        <v>617</v>
      </c>
      <c r="L191" s="43" t="s">
        <v>618</v>
      </c>
      <c r="M191" s="43"/>
      <c r="N191" s="43"/>
      <c r="O191" s="43" t="s">
        <v>671</v>
      </c>
    </row>
    <row r="192" spans="1:15" s="45" customFormat="1" x14ac:dyDescent="0.3">
      <c r="A192" s="43" t="s">
        <v>512</v>
      </c>
      <c r="B192" s="43" t="s">
        <v>607</v>
      </c>
      <c r="C192" s="43" t="s">
        <v>608</v>
      </c>
      <c r="D192" s="43" t="s">
        <v>61</v>
      </c>
      <c r="E192" s="43" t="s">
        <v>154</v>
      </c>
      <c r="F192" s="44">
        <v>-1</v>
      </c>
      <c r="G192" s="43" t="s">
        <v>72</v>
      </c>
      <c r="H192" s="43" t="s">
        <v>73</v>
      </c>
      <c r="I192" s="43"/>
      <c r="J192" s="43" t="s">
        <v>619</v>
      </c>
      <c r="K192" s="43" t="s">
        <v>620</v>
      </c>
      <c r="L192" s="43" t="s">
        <v>621</v>
      </c>
      <c r="M192" s="43"/>
      <c r="N192" s="43"/>
      <c r="O192" s="43" t="s">
        <v>672</v>
      </c>
    </row>
    <row r="193" spans="1:15" s="45" customFormat="1" x14ac:dyDescent="0.3">
      <c r="A193" s="43" t="s">
        <v>512</v>
      </c>
      <c r="B193" s="43" t="s">
        <v>607</v>
      </c>
      <c r="C193" s="43" t="s">
        <v>608</v>
      </c>
      <c r="D193" s="43" t="s">
        <v>61</v>
      </c>
      <c r="E193" s="43" t="s">
        <v>154</v>
      </c>
      <c r="F193" s="44">
        <v>-1</v>
      </c>
      <c r="G193" s="43" t="s">
        <v>72</v>
      </c>
      <c r="H193" s="43" t="s">
        <v>77</v>
      </c>
      <c r="I193" s="43"/>
      <c r="J193" s="43" t="s">
        <v>619</v>
      </c>
      <c r="K193" s="43" t="s">
        <v>620</v>
      </c>
      <c r="L193" s="43" t="s">
        <v>621</v>
      </c>
      <c r="M193" s="43"/>
      <c r="N193" s="43"/>
      <c r="O193" s="43" t="s">
        <v>672</v>
      </c>
    </row>
    <row r="194" spans="1:15" s="45" customFormat="1" x14ac:dyDescent="0.3">
      <c r="A194" s="43" t="s">
        <v>512</v>
      </c>
      <c r="B194" s="43" t="s">
        <v>623</v>
      </c>
      <c r="C194" s="43" t="s">
        <v>624</v>
      </c>
      <c r="D194" s="43" t="s">
        <v>61</v>
      </c>
      <c r="E194" s="43" t="s">
        <v>154</v>
      </c>
      <c r="F194" s="44">
        <v>-1</v>
      </c>
      <c r="G194" s="43" t="s">
        <v>63</v>
      </c>
      <c r="H194" s="43"/>
      <c r="I194" s="43">
        <v>20</v>
      </c>
      <c r="J194" s="46" t="s">
        <v>746</v>
      </c>
      <c r="K194" s="43" t="s">
        <v>625</v>
      </c>
      <c r="L194" s="43" t="s">
        <v>626</v>
      </c>
      <c r="M194" s="43"/>
      <c r="N194" s="43"/>
      <c r="O194" s="43"/>
    </row>
    <row r="195" spans="1:15" s="45" customFormat="1" x14ac:dyDescent="0.3">
      <c r="A195" s="43" t="s">
        <v>512</v>
      </c>
      <c r="B195" s="43" t="s">
        <v>623</v>
      </c>
      <c r="C195" s="43" t="s">
        <v>624</v>
      </c>
      <c r="D195" s="43" t="s">
        <v>61</v>
      </c>
      <c r="E195" s="43" t="s">
        <v>154</v>
      </c>
      <c r="F195" s="44">
        <v>-1</v>
      </c>
      <c r="G195" s="43" t="s">
        <v>63</v>
      </c>
      <c r="H195" s="43"/>
      <c r="I195" s="43">
        <v>20</v>
      </c>
      <c r="J195" s="43" t="s">
        <v>673</v>
      </c>
      <c r="K195" s="43" t="s">
        <v>627</v>
      </c>
      <c r="L195" s="43" t="s">
        <v>628</v>
      </c>
      <c r="M195" s="43"/>
      <c r="N195" s="43"/>
      <c r="O195" s="43"/>
    </row>
    <row r="196" spans="1:15" s="45" customFormat="1" x14ac:dyDescent="0.3">
      <c r="A196" s="43" t="s">
        <v>512</v>
      </c>
      <c r="B196" s="43" t="s">
        <v>623</v>
      </c>
      <c r="C196" s="43" t="s">
        <v>624</v>
      </c>
      <c r="D196" s="43" t="s">
        <v>61</v>
      </c>
      <c r="E196" s="43" t="s">
        <v>154</v>
      </c>
      <c r="F196" s="44">
        <v>-1</v>
      </c>
      <c r="G196" s="43" t="s">
        <v>63</v>
      </c>
      <c r="H196" s="43"/>
      <c r="I196" s="43">
        <v>20</v>
      </c>
      <c r="J196" s="43" t="s">
        <v>362</v>
      </c>
      <c r="K196" s="43" t="s">
        <v>629</v>
      </c>
      <c r="L196" s="43" t="s">
        <v>630</v>
      </c>
      <c r="M196" s="43"/>
      <c r="N196" s="43"/>
      <c r="O196" s="43"/>
    </row>
    <row r="197" spans="1:15" s="45" customFormat="1" x14ac:dyDescent="0.3">
      <c r="A197" s="43" t="s">
        <v>512</v>
      </c>
      <c r="B197" s="43" t="s">
        <v>623</v>
      </c>
      <c r="C197" s="43" t="s">
        <v>624</v>
      </c>
      <c r="D197" s="43" t="s">
        <v>61</v>
      </c>
      <c r="E197" s="43" t="s">
        <v>154</v>
      </c>
      <c r="F197" s="44">
        <v>-1</v>
      </c>
      <c r="G197" s="43" t="s">
        <v>63</v>
      </c>
      <c r="H197" s="43"/>
      <c r="I197" s="43">
        <v>20</v>
      </c>
      <c r="J197" s="43" t="s">
        <v>674</v>
      </c>
      <c r="K197" s="43" t="s">
        <v>631</v>
      </c>
      <c r="L197" s="43" t="s">
        <v>632</v>
      </c>
      <c r="M197" s="43"/>
      <c r="N197" s="43"/>
      <c r="O197" s="43"/>
    </row>
    <row r="198" spans="1:15" s="45" customFormat="1" x14ac:dyDescent="0.3">
      <c r="A198" s="43" t="s">
        <v>512</v>
      </c>
      <c r="B198" s="43" t="s">
        <v>623</v>
      </c>
      <c r="C198" s="43" t="s">
        <v>624</v>
      </c>
      <c r="D198" s="43" t="s">
        <v>61</v>
      </c>
      <c r="E198" s="43" t="s">
        <v>154</v>
      </c>
      <c r="F198" s="44">
        <v>-1</v>
      </c>
      <c r="G198" s="43" t="s">
        <v>63</v>
      </c>
      <c r="H198" s="43"/>
      <c r="I198" s="43">
        <v>20</v>
      </c>
      <c r="J198" s="43" t="s">
        <v>675</v>
      </c>
      <c r="K198" s="43" t="s">
        <v>633</v>
      </c>
      <c r="L198" s="43" t="s">
        <v>634</v>
      </c>
      <c r="M198" s="43"/>
      <c r="N198" s="43"/>
      <c r="O198" s="43" t="s">
        <v>377</v>
      </c>
    </row>
    <row r="199" spans="1:15" s="45" customFormat="1" x14ac:dyDescent="0.3">
      <c r="A199" s="43" t="s">
        <v>512</v>
      </c>
      <c r="B199" s="43" t="s">
        <v>623</v>
      </c>
      <c r="C199" s="43" t="s">
        <v>624</v>
      </c>
      <c r="D199" s="43" t="s">
        <v>61</v>
      </c>
      <c r="E199" s="43" t="s">
        <v>154</v>
      </c>
      <c r="F199" s="44">
        <v>-1</v>
      </c>
      <c r="G199" s="43" t="s">
        <v>72</v>
      </c>
      <c r="H199" s="43" t="s">
        <v>73</v>
      </c>
      <c r="I199" s="43"/>
      <c r="J199" s="43" t="s">
        <v>635</v>
      </c>
      <c r="K199" s="43" t="s">
        <v>636</v>
      </c>
      <c r="L199" s="43" t="s">
        <v>637</v>
      </c>
      <c r="M199" s="43"/>
      <c r="N199" s="43"/>
      <c r="O199" s="43" t="s">
        <v>676</v>
      </c>
    </row>
    <row r="200" spans="1:15" s="45" customFormat="1" x14ac:dyDescent="0.3">
      <c r="A200" s="43" t="s">
        <v>512</v>
      </c>
      <c r="B200" s="43" t="s">
        <v>623</v>
      </c>
      <c r="C200" s="43" t="s">
        <v>624</v>
      </c>
      <c r="D200" s="43" t="s">
        <v>61</v>
      </c>
      <c r="E200" s="43" t="s">
        <v>154</v>
      </c>
      <c r="F200" s="44">
        <v>-1</v>
      </c>
      <c r="G200" s="43" t="s">
        <v>72</v>
      </c>
      <c r="H200" s="43" t="s">
        <v>77</v>
      </c>
      <c r="I200" s="43"/>
      <c r="J200" s="43" t="s">
        <v>635</v>
      </c>
      <c r="K200" s="43" t="s">
        <v>636</v>
      </c>
      <c r="L200" s="43" t="s">
        <v>637</v>
      </c>
      <c r="M200" s="43"/>
      <c r="N200" s="43"/>
      <c r="O200" s="43" t="s">
        <v>676</v>
      </c>
    </row>
    <row r="201" spans="1:15" s="45" customFormat="1" x14ac:dyDescent="0.3">
      <c r="A201" s="43" t="s">
        <v>512</v>
      </c>
      <c r="B201" s="43" t="s">
        <v>638</v>
      </c>
      <c r="C201" s="43" t="s">
        <v>393</v>
      </c>
      <c r="D201" s="43" t="s">
        <v>61</v>
      </c>
      <c r="E201" s="43" t="s">
        <v>154</v>
      </c>
      <c r="F201" s="44">
        <v>-1</v>
      </c>
      <c r="G201" s="43" t="s">
        <v>63</v>
      </c>
      <c r="H201" s="43"/>
      <c r="I201" s="43">
        <v>20</v>
      </c>
      <c r="J201" s="43" t="s">
        <v>660</v>
      </c>
      <c r="K201" s="43" t="s">
        <v>639</v>
      </c>
      <c r="L201" s="43" t="s">
        <v>640</v>
      </c>
      <c r="M201" s="43"/>
      <c r="N201" s="43"/>
      <c r="O201" s="43"/>
    </row>
    <row r="202" spans="1:15" s="45" customFormat="1" x14ac:dyDescent="0.3">
      <c r="A202" s="43" t="s">
        <v>512</v>
      </c>
      <c r="B202" s="43" t="s">
        <v>638</v>
      </c>
      <c r="C202" s="43" t="s">
        <v>393</v>
      </c>
      <c r="D202" s="43" t="s">
        <v>61</v>
      </c>
      <c r="E202" s="43" t="s">
        <v>154</v>
      </c>
      <c r="F202" s="44">
        <v>-1</v>
      </c>
      <c r="G202" s="43" t="s">
        <v>63</v>
      </c>
      <c r="H202" s="43"/>
      <c r="I202" s="43">
        <v>20</v>
      </c>
      <c r="J202" s="43" t="s">
        <v>661</v>
      </c>
      <c r="K202" s="43" t="s">
        <v>641</v>
      </c>
      <c r="L202" s="43" t="s">
        <v>642</v>
      </c>
      <c r="M202" s="43"/>
      <c r="N202" s="43"/>
      <c r="O202" s="43"/>
    </row>
    <row r="203" spans="1:15" s="45" customFormat="1" x14ac:dyDescent="0.3">
      <c r="A203" s="43" t="s">
        <v>512</v>
      </c>
      <c r="B203" s="43" t="s">
        <v>638</v>
      </c>
      <c r="C203" s="43" t="s">
        <v>393</v>
      </c>
      <c r="D203" s="43" t="s">
        <v>61</v>
      </c>
      <c r="E203" s="43" t="s">
        <v>154</v>
      </c>
      <c r="F203" s="44">
        <v>-1</v>
      </c>
      <c r="G203" s="43" t="s">
        <v>63</v>
      </c>
      <c r="H203" s="43"/>
      <c r="I203" s="43">
        <v>20</v>
      </c>
      <c r="J203" s="43" t="s">
        <v>362</v>
      </c>
      <c r="K203" s="43" t="s">
        <v>643</v>
      </c>
      <c r="L203" s="43" t="s">
        <v>644</v>
      </c>
      <c r="M203" s="43"/>
      <c r="N203" s="43"/>
      <c r="O203" s="43"/>
    </row>
    <row r="204" spans="1:15" s="45" customFormat="1" x14ac:dyDescent="0.3">
      <c r="A204" s="43" t="s">
        <v>512</v>
      </c>
      <c r="B204" s="43" t="s">
        <v>638</v>
      </c>
      <c r="C204" s="43" t="s">
        <v>393</v>
      </c>
      <c r="D204" s="43" t="s">
        <v>61</v>
      </c>
      <c r="E204" s="43" t="s">
        <v>154</v>
      </c>
      <c r="F204" s="44">
        <v>-1</v>
      </c>
      <c r="G204" s="43" t="s">
        <v>63</v>
      </c>
      <c r="H204" s="43"/>
      <c r="I204" s="43">
        <v>20</v>
      </c>
      <c r="J204" s="43" t="s">
        <v>365</v>
      </c>
      <c r="K204" s="43" t="s">
        <v>645</v>
      </c>
      <c r="L204" s="43" t="s">
        <v>646</v>
      </c>
      <c r="M204" s="43"/>
      <c r="N204" s="43"/>
      <c r="O204" s="43"/>
    </row>
    <row r="205" spans="1:15" s="45" customFormat="1" x14ac:dyDescent="0.3">
      <c r="A205" s="43" t="s">
        <v>512</v>
      </c>
      <c r="B205" s="43" t="s">
        <v>638</v>
      </c>
      <c r="C205" s="43" t="s">
        <v>393</v>
      </c>
      <c r="D205" s="43" t="s">
        <v>61</v>
      </c>
      <c r="E205" s="43" t="s">
        <v>154</v>
      </c>
      <c r="F205" s="44">
        <v>-1</v>
      </c>
      <c r="G205" s="43" t="s">
        <v>63</v>
      </c>
      <c r="H205" s="43"/>
      <c r="I205" s="43">
        <v>20</v>
      </c>
      <c r="J205" s="43" t="s">
        <v>647</v>
      </c>
      <c r="K205" s="43" t="s">
        <v>648</v>
      </c>
      <c r="L205" s="43" t="s">
        <v>649</v>
      </c>
      <c r="M205" s="43"/>
      <c r="N205" s="43"/>
      <c r="O205" s="43" t="s">
        <v>377</v>
      </c>
    </row>
    <row r="206" spans="1:15" s="45" customFormat="1" x14ac:dyDescent="0.3">
      <c r="A206" s="43" t="s">
        <v>512</v>
      </c>
      <c r="B206" s="43" t="s">
        <v>638</v>
      </c>
      <c r="C206" s="43" t="s">
        <v>393</v>
      </c>
      <c r="D206" s="43" t="s">
        <v>61</v>
      </c>
      <c r="E206" s="43" t="s">
        <v>154</v>
      </c>
      <c r="F206" s="44">
        <v>-1</v>
      </c>
      <c r="G206" s="43" t="s">
        <v>72</v>
      </c>
      <c r="H206" s="43" t="s">
        <v>73</v>
      </c>
      <c r="I206" s="43"/>
      <c r="J206" s="43" t="s">
        <v>650</v>
      </c>
      <c r="K206" s="46" t="s">
        <v>679</v>
      </c>
      <c r="L206" s="46" t="str">
        <f>B206&amp;": "&amp;K206</f>
        <v>Tymus: That's right. A BUNCH. I, ahem, know too.</v>
      </c>
      <c r="M206" s="43"/>
      <c r="N206" s="43"/>
      <c r="O206" s="43" t="s">
        <v>651</v>
      </c>
    </row>
    <row r="207" spans="1:15" s="45" customFormat="1" x14ac:dyDescent="0.3">
      <c r="A207" s="43" t="s">
        <v>512</v>
      </c>
      <c r="B207" s="43" t="s">
        <v>638</v>
      </c>
      <c r="C207" s="43" t="s">
        <v>393</v>
      </c>
      <c r="D207" s="43" t="s">
        <v>61</v>
      </c>
      <c r="E207" s="43" t="s">
        <v>154</v>
      </c>
      <c r="F207" s="44">
        <v>-1</v>
      </c>
      <c r="G207" s="43" t="s">
        <v>72</v>
      </c>
      <c r="H207" s="43" t="s">
        <v>77</v>
      </c>
      <c r="I207" s="43"/>
      <c r="J207" s="43" t="s">
        <v>650</v>
      </c>
      <c r="K207" s="43" t="s">
        <v>652</v>
      </c>
      <c r="L207" s="43" t="s">
        <v>653</v>
      </c>
      <c r="M207" s="43"/>
      <c r="N207" s="43"/>
      <c r="O207" s="43" t="s">
        <v>651</v>
      </c>
    </row>
    <row r="208" spans="1:15" x14ac:dyDescent="0.3">
      <c r="A208" s="5" t="s">
        <v>512</v>
      </c>
      <c r="B208" s="5" t="s">
        <v>654</v>
      </c>
      <c r="C208" s="5" t="s">
        <v>655</v>
      </c>
      <c r="D208" s="5" t="s">
        <v>61</v>
      </c>
      <c r="E208" s="5" t="s">
        <v>154</v>
      </c>
      <c r="F208" s="14">
        <v>-1</v>
      </c>
      <c r="G208" s="5" t="s">
        <v>656</v>
      </c>
      <c r="H208" s="5"/>
      <c r="I208" s="5">
        <v>100</v>
      </c>
      <c r="J208" s="5" t="s">
        <v>362</v>
      </c>
      <c r="K208" s="5" t="s">
        <v>657</v>
      </c>
      <c r="L208" s="5" t="s">
        <v>658</v>
      </c>
      <c r="M208" s="5"/>
      <c r="N208" s="5"/>
      <c r="O208" s="5"/>
    </row>
    <row r="209" spans="1:15" s="45" customFormat="1" x14ac:dyDescent="0.3">
      <c r="A209" s="43" t="s">
        <v>511</v>
      </c>
      <c r="B209" s="43" t="s">
        <v>680</v>
      </c>
      <c r="C209" s="43" t="s">
        <v>681</v>
      </c>
      <c r="D209" s="43" t="s">
        <v>61</v>
      </c>
      <c r="E209" s="43" t="s">
        <v>154</v>
      </c>
      <c r="F209" s="44">
        <v>-1</v>
      </c>
      <c r="G209" s="43" t="s">
        <v>63</v>
      </c>
      <c r="H209" s="43"/>
      <c r="I209" s="43">
        <v>20</v>
      </c>
      <c r="J209" s="43" t="s">
        <v>682</v>
      </c>
      <c r="K209" s="43" t="s">
        <v>683</v>
      </c>
      <c r="L209" s="43" t="s">
        <v>684</v>
      </c>
      <c r="M209" s="43"/>
      <c r="N209" s="43"/>
      <c r="O209" s="43"/>
    </row>
    <row r="210" spans="1:15" s="45" customFormat="1" x14ac:dyDescent="0.3">
      <c r="A210" s="43" t="s">
        <v>511</v>
      </c>
      <c r="B210" s="43" t="s">
        <v>680</v>
      </c>
      <c r="C210" s="43" t="s">
        <v>681</v>
      </c>
      <c r="D210" s="43" t="s">
        <v>61</v>
      </c>
      <c r="E210" s="43" t="s">
        <v>154</v>
      </c>
      <c r="F210" s="44">
        <v>-1</v>
      </c>
      <c r="G210" s="43" t="s">
        <v>63</v>
      </c>
      <c r="H210" s="43"/>
      <c r="I210" s="43">
        <v>20</v>
      </c>
      <c r="J210" s="43" t="s">
        <v>660</v>
      </c>
      <c r="K210" s="43" t="s">
        <v>685</v>
      </c>
      <c r="L210" s="43" t="s">
        <v>686</v>
      </c>
      <c r="M210" s="43"/>
      <c r="N210" s="43"/>
      <c r="O210" s="43"/>
    </row>
    <row r="211" spans="1:15" s="45" customFormat="1" x14ac:dyDescent="0.3">
      <c r="A211" s="43" t="s">
        <v>511</v>
      </c>
      <c r="B211" s="43" t="s">
        <v>680</v>
      </c>
      <c r="C211" s="43" t="s">
        <v>681</v>
      </c>
      <c r="D211" s="43" t="s">
        <v>61</v>
      </c>
      <c r="E211" s="43" t="s">
        <v>154</v>
      </c>
      <c r="F211" s="44">
        <v>-1</v>
      </c>
      <c r="G211" s="43" t="s">
        <v>63</v>
      </c>
      <c r="H211" s="43"/>
      <c r="I211" s="43">
        <v>20</v>
      </c>
      <c r="J211" s="43" t="s">
        <v>661</v>
      </c>
      <c r="K211" s="43" t="s">
        <v>687</v>
      </c>
      <c r="L211" s="43" t="s">
        <v>688</v>
      </c>
      <c r="M211" s="43"/>
      <c r="N211" s="43"/>
      <c r="O211" s="43"/>
    </row>
    <row r="212" spans="1:15" s="45" customFormat="1" x14ac:dyDescent="0.3">
      <c r="A212" s="43" t="s">
        <v>511</v>
      </c>
      <c r="B212" s="43" t="s">
        <v>680</v>
      </c>
      <c r="C212" s="43" t="s">
        <v>681</v>
      </c>
      <c r="D212" s="43" t="s">
        <v>61</v>
      </c>
      <c r="E212" s="43" t="s">
        <v>154</v>
      </c>
      <c r="F212" s="44">
        <v>-1</v>
      </c>
      <c r="G212" s="43" t="s">
        <v>63</v>
      </c>
      <c r="H212" s="43"/>
      <c r="I212" s="43">
        <v>20</v>
      </c>
      <c r="J212" s="43" t="s">
        <v>362</v>
      </c>
      <c r="K212" s="43" t="s">
        <v>689</v>
      </c>
      <c r="L212" s="43" t="s">
        <v>690</v>
      </c>
      <c r="M212" s="43"/>
      <c r="N212" s="43"/>
      <c r="O212" s="43"/>
    </row>
    <row r="213" spans="1:15" s="45" customFormat="1" x14ac:dyDescent="0.3">
      <c r="A213" s="43" t="s">
        <v>511</v>
      </c>
      <c r="B213" s="43" t="s">
        <v>680</v>
      </c>
      <c r="C213" s="43" t="s">
        <v>681</v>
      </c>
      <c r="D213" s="43" t="s">
        <v>61</v>
      </c>
      <c r="E213" s="43" t="s">
        <v>154</v>
      </c>
      <c r="F213" s="44">
        <v>-1</v>
      </c>
      <c r="G213" s="43" t="s">
        <v>63</v>
      </c>
      <c r="H213" s="43"/>
      <c r="I213" s="43">
        <v>20</v>
      </c>
      <c r="J213" s="43" t="s">
        <v>691</v>
      </c>
      <c r="K213" s="43" t="s">
        <v>692</v>
      </c>
      <c r="L213" s="43" t="s">
        <v>693</v>
      </c>
      <c r="M213" s="43"/>
      <c r="N213" s="43"/>
      <c r="O213" s="43" t="s">
        <v>377</v>
      </c>
    </row>
    <row r="214" spans="1:15" s="45" customFormat="1" x14ac:dyDescent="0.3">
      <c r="A214" s="43" t="s">
        <v>511</v>
      </c>
      <c r="B214" s="43" t="s">
        <v>680</v>
      </c>
      <c r="C214" s="43" t="s">
        <v>681</v>
      </c>
      <c r="D214" s="43" t="s">
        <v>61</v>
      </c>
      <c r="E214" s="43" t="s">
        <v>154</v>
      </c>
      <c r="F214" s="44">
        <v>-1</v>
      </c>
      <c r="G214" s="43" t="s">
        <v>72</v>
      </c>
      <c r="H214" s="43" t="s">
        <v>73</v>
      </c>
      <c r="I214" s="43"/>
      <c r="J214" s="43" t="s">
        <v>694</v>
      </c>
      <c r="K214" s="46" t="s">
        <v>740</v>
      </c>
      <c r="L214" s="46" t="str">
        <f t="shared" ref="L214:L215" si="2">B214&amp;": "&amp;K214</f>
        <v>Faultless: Not good. Pride is a grave sin!</v>
      </c>
      <c r="M214" s="43"/>
      <c r="N214" s="43"/>
      <c r="O214" s="43" t="s">
        <v>695</v>
      </c>
    </row>
    <row r="215" spans="1:15" s="45" customFormat="1" x14ac:dyDescent="0.3">
      <c r="A215" s="43" t="s">
        <v>511</v>
      </c>
      <c r="B215" s="43" t="s">
        <v>680</v>
      </c>
      <c r="C215" s="43" t="s">
        <v>681</v>
      </c>
      <c r="D215" s="43" t="s">
        <v>61</v>
      </c>
      <c r="E215" s="43" t="s">
        <v>154</v>
      </c>
      <c r="F215" s="44">
        <v>-1</v>
      </c>
      <c r="G215" s="43" t="s">
        <v>72</v>
      </c>
      <c r="H215" s="43" t="s">
        <v>77</v>
      </c>
      <c r="I215" s="43"/>
      <c r="J215" s="43" t="s">
        <v>694</v>
      </c>
      <c r="K215" s="46" t="s">
        <v>741</v>
      </c>
      <c r="L215" s="46" t="str">
        <f t="shared" si="2"/>
        <v>Faultless: Good. Pride is evil's favorite sin!</v>
      </c>
      <c r="M215" s="43"/>
      <c r="N215" s="43"/>
      <c r="O215" s="43" t="s">
        <v>695</v>
      </c>
    </row>
    <row r="216" spans="1:15" s="45" customFormat="1" x14ac:dyDescent="0.3">
      <c r="A216" s="43" t="s">
        <v>511</v>
      </c>
      <c r="B216" s="43" t="s">
        <v>696</v>
      </c>
      <c r="C216" s="43" t="s">
        <v>681</v>
      </c>
      <c r="D216" s="43" t="s">
        <v>61</v>
      </c>
      <c r="E216" s="43" t="s">
        <v>154</v>
      </c>
      <c r="F216" s="44">
        <v>-1</v>
      </c>
      <c r="G216" s="43" t="s">
        <v>63</v>
      </c>
      <c r="H216" s="43"/>
      <c r="I216" s="43">
        <v>20</v>
      </c>
      <c r="J216" s="43" t="s">
        <v>697</v>
      </c>
      <c r="K216" s="43" t="s">
        <v>698</v>
      </c>
      <c r="L216" s="43" t="s">
        <v>699</v>
      </c>
      <c r="M216" s="43"/>
      <c r="N216" s="43"/>
      <c r="O216" s="43"/>
    </row>
    <row r="217" spans="1:15" s="45" customFormat="1" x14ac:dyDescent="0.3">
      <c r="A217" s="43" t="s">
        <v>511</v>
      </c>
      <c r="B217" s="43" t="s">
        <v>696</v>
      </c>
      <c r="C217" s="43" t="s">
        <v>681</v>
      </c>
      <c r="D217" s="43" t="s">
        <v>61</v>
      </c>
      <c r="E217" s="43" t="s">
        <v>154</v>
      </c>
      <c r="F217" s="44">
        <v>-1</v>
      </c>
      <c r="G217" s="43" t="s">
        <v>63</v>
      </c>
      <c r="H217" s="43"/>
      <c r="I217" s="43">
        <v>20</v>
      </c>
      <c r="J217" s="43" t="s">
        <v>660</v>
      </c>
      <c r="K217" s="43" t="s">
        <v>700</v>
      </c>
      <c r="L217" s="43" t="s">
        <v>701</v>
      </c>
      <c r="M217" s="43"/>
      <c r="N217" s="43"/>
      <c r="O217" s="43"/>
    </row>
    <row r="218" spans="1:15" s="45" customFormat="1" x14ac:dyDescent="0.3">
      <c r="A218" s="43" t="s">
        <v>511</v>
      </c>
      <c r="B218" s="43" t="s">
        <v>696</v>
      </c>
      <c r="C218" s="43" t="s">
        <v>681</v>
      </c>
      <c r="D218" s="43" t="s">
        <v>61</v>
      </c>
      <c r="E218" s="43" t="s">
        <v>154</v>
      </c>
      <c r="F218" s="44">
        <v>-1</v>
      </c>
      <c r="G218" s="43" t="s">
        <v>63</v>
      </c>
      <c r="H218" s="43"/>
      <c r="I218" s="43">
        <v>20</v>
      </c>
      <c r="J218" s="43" t="s">
        <v>755</v>
      </c>
      <c r="K218" s="43" t="s">
        <v>756</v>
      </c>
      <c r="L218" s="46" t="str">
        <f t="shared" ref="L218" si="3">B218&amp;": "&amp;K218</f>
        <v>Heywood: I haunt eternally.</v>
      </c>
      <c r="M218" s="43"/>
      <c r="N218" s="43"/>
      <c r="O218" s="43"/>
    </row>
    <row r="219" spans="1:15" s="45" customFormat="1" x14ac:dyDescent="0.3">
      <c r="A219" s="43" t="s">
        <v>511</v>
      </c>
      <c r="B219" s="43" t="s">
        <v>696</v>
      </c>
      <c r="C219" s="43" t="s">
        <v>681</v>
      </c>
      <c r="D219" s="43" t="s">
        <v>61</v>
      </c>
      <c r="E219" s="43" t="s">
        <v>154</v>
      </c>
      <c r="F219" s="44">
        <v>-1</v>
      </c>
      <c r="G219" s="43" t="s">
        <v>63</v>
      </c>
      <c r="H219" s="43"/>
      <c r="I219" s="43">
        <v>20</v>
      </c>
      <c r="J219" s="43" t="s">
        <v>362</v>
      </c>
      <c r="K219" s="43" t="s">
        <v>689</v>
      </c>
      <c r="L219" s="43" t="s">
        <v>702</v>
      </c>
      <c r="M219" s="43"/>
      <c r="N219" s="43"/>
      <c r="O219" s="43"/>
    </row>
    <row r="220" spans="1:15" s="45" customFormat="1" x14ac:dyDescent="0.3">
      <c r="A220" s="43" t="s">
        <v>511</v>
      </c>
      <c r="B220" s="43" t="s">
        <v>696</v>
      </c>
      <c r="C220" s="43" t="s">
        <v>681</v>
      </c>
      <c r="D220" s="43" t="s">
        <v>61</v>
      </c>
      <c r="E220" s="43" t="s">
        <v>154</v>
      </c>
      <c r="F220" s="44">
        <v>-1</v>
      </c>
      <c r="G220" s="43" t="s">
        <v>63</v>
      </c>
      <c r="H220" s="43"/>
      <c r="I220" s="43">
        <v>20</v>
      </c>
      <c r="J220" s="43" t="s">
        <v>691</v>
      </c>
      <c r="K220" s="43" t="s">
        <v>703</v>
      </c>
      <c r="L220" s="43" t="s">
        <v>704</v>
      </c>
      <c r="M220" s="43"/>
      <c r="N220" s="43"/>
      <c r="O220" s="43" t="s">
        <v>377</v>
      </c>
    </row>
    <row r="221" spans="1:15" s="45" customFormat="1" ht="22.8" customHeight="1" x14ac:dyDescent="0.3">
      <c r="A221" s="43" t="s">
        <v>511</v>
      </c>
      <c r="B221" s="43" t="s">
        <v>696</v>
      </c>
      <c r="C221" s="43" t="s">
        <v>681</v>
      </c>
      <c r="D221" s="43" t="s">
        <v>61</v>
      </c>
      <c r="E221" s="43" t="s">
        <v>154</v>
      </c>
      <c r="F221" s="44">
        <v>-1</v>
      </c>
      <c r="G221" s="43" t="s">
        <v>72</v>
      </c>
      <c r="H221" s="43" t="s">
        <v>73</v>
      </c>
      <c r="I221" s="43"/>
      <c r="J221" s="43" t="s">
        <v>694</v>
      </c>
      <c r="K221" s="43" t="s">
        <v>705</v>
      </c>
      <c r="L221" s="43" t="s">
        <v>706</v>
      </c>
      <c r="M221" s="43"/>
      <c r="N221" s="43"/>
      <c r="O221" s="43" t="s">
        <v>695</v>
      </c>
    </row>
    <row r="222" spans="1:15" s="45" customFormat="1" x14ac:dyDescent="0.3">
      <c r="A222" s="43" t="s">
        <v>511</v>
      </c>
      <c r="B222" s="43" t="s">
        <v>696</v>
      </c>
      <c r="C222" s="43" t="s">
        <v>681</v>
      </c>
      <c r="D222" s="43" t="s">
        <v>61</v>
      </c>
      <c r="E222" s="43" t="s">
        <v>154</v>
      </c>
      <c r="F222" s="44">
        <v>-1</v>
      </c>
      <c r="G222" s="43" t="s">
        <v>72</v>
      </c>
      <c r="H222" s="43" t="s">
        <v>77</v>
      </c>
      <c r="I222" s="43"/>
      <c r="J222" s="43" t="s">
        <v>694</v>
      </c>
      <c r="K222" s="43" t="s">
        <v>707</v>
      </c>
      <c r="L222" s="43" t="s">
        <v>708</v>
      </c>
      <c r="M222" s="43"/>
      <c r="N222" s="43"/>
      <c r="O222" s="43" t="s">
        <v>695</v>
      </c>
    </row>
    <row r="223" spans="1:15" s="45" customFormat="1" x14ac:dyDescent="0.3">
      <c r="A223" s="43" t="s">
        <v>511</v>
      </c>
      <c r="B223" s="43" t="s">
        <v>709</v>
      </c>
      <c r="C223" s="43" t="s">
        <v>111</v>
      </c>
      <c r="D223" s="43" t="s">
        <v>61</v>
      </c>
      <c r="E223" s="43" t="s">
        <v>154</v>
      </c>
      <c r="F223" s="44">
        <v>-1</v>
      </c>
      <c r="G223" s="43" t="s">
        <v>63</v>
      </c>
      <c r="H223" s="43"/>
      <c r="I223" s="43">
        <v>20</v>
      </c>
      <c r="J223" s="43" t="s">
        <v>757</v>
      </c>
      <c r="K223" s="46" t="s">
        <v>758</v>
      </c>
      <c r="L223" s="46" t="str">
        <f t="shared" ref="L223:L224" si="4">B223&amp;": "&amp;K223</f>
        <v>Katrina: I practice humility by meditating here.</v>
      </c>
      <c r="M223" s="43"/>
      <c r="N223" s="43"/>
      <c r="O223" s="43"/>
    </row>
    <row r="224" spans="1:15" s="45" customFormat="1" x14ac:dyDescent="0.3">
      <c r="A224" s="43" t="s">
        <v>511</v>
      </c>
      <c r="B224" s="43" t="s">
        <v>709</v>
      </c>
      <c r="C224" s="43" t="s">
        <v>111</v>
      </c>
      <c r="D224" s="43" t="s">
        <v>61</v>
      </c>
      <c r="E224" s="43" t="s">
        <v>154</v>
      </c>
      <c r="F224" s="44">
        <v>-1</v>
      </c>
      <c r="G224" s="43" t="s">
        <v>63</v>
      </c>
      <c r="H224" s="43"/>
      <c r="I224" s="43">
        <v>20</v>
      </c>
      <c r="J224" s="46" t="s">
        <v>742</v>
      </c>
      <c r="K224" s="43" t="s">
        <v>759</v>
      </c>
      <c r="L224" s="46" t="str">
        <f t="shared" si="4"/>
        <v>Katrina: She looks like a worn-out survivor.</v>
      </c>
      <c r="M224" s="43"/>
      <c r="N224" s="43"/>
      <c r="O224" s="43"/>
    </row>
    <row r="225" spans="1:15" s="45" customFormat="1" x14ac:dyDescent="0.3">
      <c r="A225" s="43" t="s">
        <v>511</v>
      </c>
      <c r="B225" s="43" t="s">
        <v>709</v>
      </c>
      <c r="C225" s="43" t="s">
        <v>111</v>
      </c>
      <c r="D225" s="43" t="s">
        <v>61</v>
      </c>
      <c r="E225" s="43" t="s">
        <v>154</v>
      </c>
      <c r="F225" s="44">
        <v>-1</v>
      </c>
      <c r="G225" s="43" t="s">
        <v>63</v>
      </c>
      <c r="H225" s="43"/>
      <c r="I225" s="43">
        <v>20</v>
      </c>
      <c r="J225" s="43" t="s">
        <v>362</v>
      </c>
      <c r="K225" s="43" t="s">
        <v>710</v>
      </c>
      <c r="L225" s="43" t="s">
        <v>711</v>
      </c>
      <c r="M225" s="43"/>
      <c r="N225" s="43"/>
      <c r="O225" s="43"/>
    </row>
    <row r="226" spans="1:15" s="45" customFormat="1" x14ac:dyDescent="0.3">
      <c r="A226" s="43" t="s">
        <v>511</v>
      </c>
      <c r="B226" s="43" t="s">
        <v>709</v>
      </c>
      <c r="C226" s="43" t="s">
        <v>111</v>
      </c>
      <c r="D226" s="43" t="s">
        <v>61</v>
      </c>
      <c r="E226" s="43" t="s">
        <v>154</v>
      </c>
      <c r="F226" s="44">
        <v>-1</v>
      </c>
      <c r="G226" s="43" t="s">
        <v>63</v>
      </c>
      <c r="H226" s="43"/>
      <c r="I226" s="43">
        <v>20</v>
      </c>
      <c r="J226" s="43" t="s">
        <v>712</v>
      </c>
      <c r="K226" s="43" t="s">
        <v>713</v>
      </c>
      <c r="L226" s="43" t="s">
        <v>714</v>
      </c>
      <c r="M226" s="43"/>
      <c r="N226" s="43"/>
      <c r="O226" s="43"/>
    </row>
    <row r="227" spans="1:15" s="45" customFormat="1" x14ac:dyDescent="0.3">
      <c r="A227" s="43" t="s">
        <v>511</v>
      </c>
      <c r="B227" s="43" t="s">
        <v>709</v>
      </c>
      <c r="C227" s="43" t="s">
        <v>111</v>
      </c>
      <c r="D227" s="43" t="s">
        <v>61</v>
      </c>
      <c r="E227" s="43" t="s">
        <v>154</v>
      </c>
      <c r="F227" s="44">
        <v>-1</v>
      </c>
      <c r="G227" s="43" t="s">
        <v>63</v>
      </c>
      <c r="H227" s="43"/>
      <c r="I227" s="43">
        <v>20</v>
      </c>
      <c r="J227" s="43" t="s">
        <v>697</v>
      </c>
      <c r="K227" s="43" t="s">
        <v>715</v>
      </c>
      <c r="L227" s="43" t="s">
        <v>716</v>
      </c>
      <c r="M227" s="43"/>
      <c r="N227" s="43"/>
      <c r="O227" s="43" t="s">
        <v>377</v>
      </c>
    </row>
    <row r="228" spans="1:15" s="45" customFormat="1" x14ac:dyDescent="0.3">
      <c r="A228" s="43" t="s">
        <v>511</v>
      </c>
      <c r="B228" s="43" t="s">
        <v>709</v>
      </c>
      <c r="C228" s="43" t="s">
        <v>111</v>
      </c>
      <c r="D228" s="43" t="s">
        <v>61</v>
      </c>
      <c r="E228" s="43" t="s">
        <v>154</v>
      </c>
      <c r="F228" s="44">
        <v>-1</v>
      </c>
      <c r="G228" s="43" t="s">
        <v>72</v>
      </c>
      <c r="H228" s="43" t="s">
        <v>73</v>
      </c>
      <c r="I228" s="43"/>
      <c r="J228" s="43" t="s">
        <v>694</v>
      </c>
      <c r="K228" s="46" t="s">
        <v>743</v>
      </c>
      <c r="L228" s="46" t="str">
        <f t="shared" ref="L228:L229" si="5">B228&amp;": "&amp;K228</f>
        <v>Katrina: Undo that or your efforts are meaningless.</v>
      </c>
      <c r="M228" s="43"/>
      <c r="N228" s="43"/>
      <c r="O228" s="43" t="s">
        <v>717</v>
      </c>
    </row>
    <row r="229" spans="1:15" s="45" customFormat="1" x14ac:dyDescent="0.3">
      <c r="A229" s="43" t="s">
        <v>511</v>
      </c>
      <c r="B229" s="43" t="s">
        <v>709</v>
      </c>
      <c r="C229" s="43" t="s">
        <v>111</v>
      </c>
      <c r="D229" s="43" t="s">
        <v>61</v>
      </c>
      <c r="E229" s="43" t="s">
        <v>154</v>
      </c>
      <c r="F229" s="44">
        <v>-1</v>
      </c>
      <c r="G229" s="43" t="s">
        <v>72</v>
      </c>
      <c r="H229" s="43" t="s">
        <v>77</v>
      </c>
      <c r="I229" s="43"/>
      <c r="J229" s="43" t="s">
        <v>694</v>
      </c>
      <c r="K229" s="46" t="s">
        <v>1308</v>
      </c>
      <c r="L229" s="46" t="str">
        <f t="shared" si="5"/>
        <v>Katrina: The rune of Humility is in the Lycaeum.  Ignore temptations.</v>
      </c>
      <c r="M229" s="43"/>
      <c r="N229" s="43"/>
      <c r="O229" s="43" t="s">
        <v>717</v>
      </c>
    </row>
    <row r="230" spans="1:15" x14ac:dyDescent="0.3">
      <c r="A230" s="5" t="s">
        <v>511</v>
      </c>
      <c r="B230" s="5" t="s">
        <v>718</v>
      </c>
      <c r="C230" s="5" t="s">
        <v>719</v>
      </c>
      <c r="D230" s="5" t="s">
        <v>61</v>
      </c>
      <c r="E230" s="5" t="s">
        <v>154</v>
      </c>
      <c r="F230" s="14">
        <v>-1</v>
      </c>
      <c r="G230" s="5" t="s">
        <v>63</v>
      </c>
      <c r="H230" s="5"/>
      <c r="I230" s="5">
        <v>20</v>
      </c>
      <c r="J230" s="5" t="s">
        <v>660</v>
      </c>
      <c r="K230" s="5" t="s">
        <v>720</v>
      </c>
      <c r="L230" s="5" t="s">
        <v>721</v>
      </c>
      <c r="M230" s="5"/>
      <c r="N230" s="5"/>
      <c r="O230" s="5"/>
    </row>
    <row r="231" spans="1:15" x14ac:dyDescent="0.3">
      <c r="A231" s="5" t="s">
        <v>511</v>
      </c>
      <c r="B231" s="5" t="s">
        <v>718</v>
      </c>
      <c r="C231" s="5" t="s">
        <v>719</v>
      </c>
      <c r="D231" s="5" t="s">
        <v>61</v>
      </c>
      <c r="E231" s="5" t="s">
        <v>154</v>
      </c>
      <c r="F231" s="14">
        <v>-1</v>
      </c>
      <c r="G231" s="5" t="s">
        <v>63</v>
      </c>
      <c r="H231" s="5"/>
      <c r="I231" s="5">
        <v>20</v>
      </c>
      <c r="J231" s="5" t="s">
        <v>661</v>
      </c>
      <c r="K231" s="5" t="s">
        <v>722</v>
      </c>
      <c r="L231" s="5" t="s">
        <v>723</v>
      </c>
      <c r="M231" s="5"/>
      <c r="N231" s="5"/>
      <c r="O231" s="5"/>
    </row>
    <row r="232" spans="1:15" x14ac:dyDescent="0.3">
      <c r="A232" s="5" t="s">
        <v>511</v>
      </c>
      <c r="B232" s="5" t="s">
        <v>718</v>
      </c>
      <c r="C232" s="5" t="s">
        <v>719</v>
      </c>
      <c r="D232" s="5" t="s">
        <v>61</v>
      </c>
      <c r="E232" s="5" t="s">
        <v>154</v>
      </c>
      <c r="F232" s="14">
        <v>-1</v>
      </c>
      <c r="G232" s="5" t="s">
        <v>63</v>
      </c>
      <c r="H232" s="5"/>
      <c r="I232" s="5">
        <v>20</v>
      </c>
      <c r="J232" s="5" t="s">
        <v>362</v>
      </c>
      <c r="K232" s="5" t="s">
        <v>724</v>
      </c>
      <c r="L232" s="5" t="s">
        <v>725</v>
      </c>
      <c r="M232" s="5"/>
      <c r="N232" s="5"/>
      <c r="O232" s="5"/>
    </row>
    <row r="233" spans="1:15" x14ac:dyDescent="0.3">
      <c r="A233" s="5" t="s">
        <v>511</v>
      </c>
      <c r="B233" s="5" t="s">
        <v>718</v>
      </c>
      <c r="C233" s="5" t="s">
        <v>719</v>
      </c>
      <c r="D233" s="5" t="s">
        <v>61</v>
      </c>
      <c r="E233" s="5" t="s">
        <v>154</v>
      </c>
      <c r="F233" s="14">
        <v>-1</v>
      </c>
      <c r="G233" s="5" t="s">
        <v>63</v>
      </c>
      <c r="H233" s="5"/>
      <c r="I233" s="5">
        <v>20</v>
      </c>
      <c r="J233" s="5" t="s">
        <v>726</v>
      </c>
      <c r="K233" s="5" t="s">
        <v>727</v>
      </c>
      <c r="L233" s="5" t="s">
        <v>728</v>
      </c>
      <c r="M233" s="5"/>
      <c r="N233" s="5"/>
      <c r="O233" s="5"/>
    </row>
    <row r="234" spans="1:15" x14ac:dyDescent="0.3">
      <c r="A234" s="5" t="s">
        <v>511</v>
      </c>
      <c r="B234" s="5" t="s">
        <v>718</v>
      </c>
      <c r="C234" s="5" t="s">
        <v>719</v>
      </c>
      <c r="D234" s="5" t="s">
        <v>61</v>
      </c>
      <c r="E234" s="5" t="s">
        <v>154</v>
      </c>
      <c r="F234" s="14">
        <v>-1</v>
      </c>
      <c r="G234" s="5" t="s">
        <v>63</v>
      </c>
      <c r="H234" s="5"/>
      <c r="I234" s="5">
        <v>20</v>
      </c>
      <c r="J234" s="5" t="s">
        <v>729</v>
      </c>
      <c r="K234" s="5" t="s">
        <v>730</v>
      </c>
      <c r="L234" s="5" t="s">
        <v>731</v>
      </c>
      <c r="M234" s="5"/>
      <c r="N234" s="5"/>
      <c r="O234" s="5" t="s">
        <v>732</v>
      </c>
    </row>
    <row r="235" spans="1:15" s="45" customFormat="1" x14ac:dyDescent="0.3">
      <c r="A235" s="43" t="s">
        <v>511</v>
      </c>
      <c r="B235" s="43" t="s">
        <v>733</v>
      </c>
      <c r="C235" s="43" t="s">
        <v>734</v>
      </c>
      <c r="D235" s="43" t="s">
        <v>61</v>
      </c>
      <c r="E235" s="43" t="s">
        <v>154</v>
      </c>
      <c r="F235" s="44">
        <v>-1</v>
      </c>
      <c r="G235" s="43" t="s">
        <v>63</v>
      </c>
      <c r="H235" s="43"/>
      <c r="I235" s="43">
        <v>25</v>
      </c>
      <c r="J235" s="43" t="s">
        <v>660</v>
      </c>
      <c r="K235" s="43" t="s">
        <v>735</v>
      </c>
      <c r="L235" s="43" t="s">
        <v>736</v>
      </c>
      <c r="M235" s="43"/>
      <c r="N235" s="43"/>
      <c r="O235" s="43"/>
    </row>
    <row r="236" spans="1:15" s="45" customFormat="1" x14ac:dyDescent="0.3">
      <c r="A236" s="43" t="s">
        <v>511</v>
      </c>
      <c r="B236" s="43" t="s">
        <v>733</v>
      </c>
      <c r="C236" s="43" t="s">
        <v>734</v>
      </c>
      <c r="D236" s="43" t="s">
        <v>61</v>
      </c>
      <c r="E236" s="43" t="s">
        <v>154</v>
      </c>
      <c r="F236" s="44">
        <v>-1</v>
      </c>
      <c r="G236" s="43" t="s">
        <v>63</v>
      </c>
      <c r="H236" s="43"/>
      <c r="I236" s="43">
        <v>25</v>
      </c>
      <c r="J236" s="43" t="s">
        <v>365</v>
      </c>
      <c r="K236" s="46" t="s">
        <v>752</v>
      </c>
      <c r="L236" s="46" t="s">
        <v>751</v>
      </c>
      <c r="M236" s="43"/>
      <c r="N236" s="43"/>
      <c r="O236" s="43"/>
    </row>
    <row r="237" spans="1:15" s="45" customFormat="1" x14ac:dyDescent="0.3">
      <c r="A237" s="43" t="s">
        <v>511</v>
      </c>
      <c r="B237" s="43" t="s">
        <v>733</v>
      </c>
      <c r="C237" s="43" t="s">
        <v>734</v>
      </c>
      <c r="D237" s="43" t="s">
        <v>61</v>
      </c>
      <c r="E237" s="43" t="s">
        <v>154</v>
      </c>
      <c r="F237" s="44">
        <v>-1</v>
      </c>
      <c r="G237" s="43" t="s">
        <v>63</v>
      </c>
      <c r="H237" s="43"/>
      <c r="I237" s="43">
        <v>25</v>
      </c>
      <c r="J237" s="46" t="s">
        <v>749</v>
      </c>
      <c r="K237" s="46" t="s">
        <v>737</v>
      </c>
      <c r="L237" s="46" t="s">
        <v>750</v>
      </c>
      <c r="M237" s="43"/>
      <c r="N237" s="43"/>
      <c r="O237" s="43"/>
    </row>
    <row r="238" spans="1:15" s="45" customFormat="1" x14ac:dyDescent="0.3">
      <c r="A238" s="43" t="s">
        <v>511</v>
      </c>
      <c r="B238" s="43" t="s">
        <v>733</v>
      </c>
      <c r="C238" s="43" t="s">
        <v>734</v>
      </c>
      <c r="D238" s="43" t="s">
        <v>61</v>
      </c>
      <c r="E238" s="43" t="s">
        <v>154</v>
      </c>
      <c r="F238" s="44">
        <v>-1</v>
      </c>
      <c r="G238" s="43" t="s">
        <v>63</v>
      </c>
      <c r="H238" s="43"/>
      <c r="I238" s="43">
        <v>25</v>
      </c>
      <c r="J238" s="46" t="s">
        <v>747</v>
      </c>
      <c r="K238" s="46" t="s">
        <v>748</v>
      </c>
      <c r="L238" s="46" t="s">
        <v>754</v>
      </c>
      <c r="M238" s="43"/>
      <c r="N238" s="43"/>
      <c r="O238" s="43" t="s">
        <v>377</v>
      </c>
    </row>
    <row r="239" spans="1:15" s="45" customFormat="1" x14ac:dyDescent="0.3">
      <c r="A239" s="43" t="s">
        <v>511</v>
      </c>
      <c r="B239" s="43" t="s">
        <v>733</v>
      </c>
      <c r="C239" s="43" t="s">
        <v>734</v>
      </c>
      <c r="D239" s="43" t="s">
        <v>61</v>
      </c>
      <c r="E239" s="43" t="s">
        <v>154</v>
      </c>
      <c r="F239" s="44">
        <v>-1</v>
      </c>
      <c r="G239" s="43" t="s">
        <v>72</v>
      </c>
      <c r="H239" s="43" t="s">
        <v>73</v>
      </c>
      <c r="I239" s="43"/>
      <c r="J239" s="43" t="s">
        <v>694</v>
      </c>
      <c r="K239" s="46" t="s">
        <v>744</v>
      </c>
      <c r="L239" s="46" t="str">
        <f t="shared" ref="L239:L240" si="6">B239&amp;": "&amp;K239</f>
        <v>Virtuebane: Good! Welcome to Hell.</v>
      </c>
      <c r="M239" s="43"/>
      <c r="N239" s="43"/>
      <c r="O239" s="43" t="s">
        <v>739</v>
      </c>
    </row>
    <row r="240" spans="1:15" s="45" customFormat="1" x14ac:dyDescent="0.3">
      <c r="A240" s="43" t="s">
        <v>511</v>
      </c>
      <c r="B240" s="43" t="s">
        <v>733</v>
      </c>
      <c r="C240" s="43" t="s">
        <v>734</v>
      </c>
      <c r="D240" s="43" t="s">
        <v>61</v>
      </c>
      <c r="E240" s="43" t="s">
        <v>154</v>
      </c>
      <c r="F240" s="44">
        <v>-1</v>
      </c>
      <c r="G240" s="43" t="s">
        <v>72</v>
      </c>
      <c r="H240" s="43" t="s">
        <v>77</v>
      </c>
      <c r="I240" s="43"/>
      <c r="J240" s="43" t="s">
        <v>694</v>
      </c>
      <c r="K240" s="46" t="s">
        <v>753</v>
      </c>
      <c r="L240" s="46" t="str">
        <f t="shared" si="6"/>
        <v>Virtuebane: Ah, well.  Sinners are the best winnersss…</v>
      </c>
      <c r="M240" s="43"/>
      <c r="N240" s="43"/>
      <c r="O240" s="43" t="s">
        <v>739</v>
      </c>
    </row>
    <row r="241" spans="1:15" x14ac:dyDescent="0.3">
      <c r="A241" s="5" t="s">
        <v>510</v>
      </c>
      <c r="B241" s="5" t="s">
        <v>764</v>
      </c>
      <c r="C241" s="5" t="s">
        <v>765</v>
      </c>
      <c r="D241" s="5" t="s">
        <v>61</v>
      </c>
      <c r="E241" s="5" t="s">
        <v>154</v>
      </c>
      <c r="F241" s="14">
        <v>-1</v>
      </c>
      <c r="G241" s="5" t="s">
        <v>63</v>
      </c>
      <c r="H241" s="5"/>
      <c r="I241" s="5">
        <v>20</v>
      </c>
      <c r="J241" s="5" t="s">
        <v>660</v>
      </c>
      <c r="K241" s="5" t="s">
        <v>766</v>
      </c>
      <c r="L241" s="5" t="s">
        <v>767</v>
      </c>
      <c r="M241" s="5"/>
      <c r="N241" s="5"/>
      <c r="O241" s="5"/>
    </row>
    <row r="242" spans="1:15" x14ac:dyDescent="0.3">
      <c r="A242" s="5" t="s">
        <v>510</v>
      </c>
      <c r="B242" s="5" t="s">
        <v>764</v>
      </c>
      <c r="C242" s="5" t="s">
        <v>765</v>
      </c>
      <c r="D242" s="5" t="s">
        <v>61</v>
      </c>
      <c r="E242" s="5" t="s">
        <v>154</v>
      </c>
      <c r="F242" s="14">
        <v>-1</v>
      </c>
      <c r="G242" s="5" t="s">
        <v>63</v>
      </c>
      <c r="H242" s="5"/>
      <c r="I242" s="5">
        <v>20</v>
      </c>
      <c r="J242" s="5" t="s">
        <v>359</v>
      </c>
      <c r="K242" s="5" t="s">
        <v>768</v>
      </c>
      <c r="L242" s="5" t="s">
        <v>769</v>
      </c>
      <c r="M242" s="5"/>
      <c r="N242" s="5"/>
      <c r="O242" s="5"/>
    </row>
    <row r="243" spans="1:15" x14ac:dyDescent="0.3">
      <c r="A243" s="5" t="s">
        <v>510</v>
      </c>
      <c r="B243" s="5" t="s">
        <v>764</v>
      </c>
      <c r="C243" s="5" t="s">
        <v>765</v>
      </c>
      <c r="D243" s="5" t="s">
        <v>61</v>
      </c>
      <c r="E243" s="5" t="s">
        <v>154</v>
      </c>
      <c r="F243" s="14">
        <v>-1</v>
      </c>
      <c r="G243" s="5" t="s">
        <v>63</v>
      </c>
      <c r="H243" s="5"/>
      <c r="I243" s="5">
        <v>20</v>
      </c>
      <c r="J243" s="5" t="s">
        <v>362</v>
      </c>
      <c r="K243" s="5" t="s">
        <v>770</v>
      </c>
      <c r="L243" s="5" t="s">
        <v>771</v>
      </c>
      <c r="M243" s="5"/>
      <c r="N243" s="5"/>
      <c r="O243" s="5"/>
    </row>
    <row r="244" spans="1:15" x14ac:dyDescent="0.3">
      <c r="A244" s="5" t="s">
        <v>510</v>
      </c>
      <c r="B244" s="5" t="s">
        <v>764</v>
      </c>
      <c r="C244" s="5" t="s">
        <v>765</v>
      </c>
      <c r="D244" s="5" t="s">
        <v>61</v>
      </c>
      <c r="E244" s="5" t="s">
        <v>154</v>
      </c>
      <c r="F244" s="14">
        <v>-1</v>
      </c>
      <c r="G244" s="5" t="s">
        <v>63</v>
      </c>
      <c r="H244" s="5"/>
      <c r="I244" s="5">
        <v>20</v>
      </c>
      <c r="J244" s="5" t="s">
        <v>772</v>
      </c>
      <c r="K244" s="10" t="s">
        <v>1394</v>
      </c>
      <c r="L244" s="10" t="s">
        <v>1395</v>
      </c>
      <c r="M244" s="5"/>
      <c r="N244" s="5"/>
      <c r="O244" s="5"/>
    </row>
    <row r="245" spans="1:15" x14ac:dyDescent="0.3">
      <c r="A245" s="5" t="s">
        <v>510</v>
      </c>
      <c r="B245" s="5" t="s">
        <v>764</v>
      </c>
      <c r="C245" s="5" t="s">
        <v>765</v>
      </c>
      <c r="D245" s="5" t="s">
        <v>61</v>
      </c>
      <c r="E245" s="5" t="s">
        <v>154</v>
      </c>
      <c r="F245" s="14">
        <v>-1</v>
      </c>
      <c r="G245" s="5" t="s">
        <v>63</v>
      </c>
      <c r="H245" s="5"/>
      <c r="I245" s="5">
        <v>20</v>
      </c>
      <c r="J245" s="5" t="s">
        <v>773</v>
      </c>
      <c r="K245" s="5" t="s">
        <v>774</v>
      </c>
      <c r="L245" s="5" t="s">
        <v>775</v>
      </c>
      <c r="M245" s="5"/>
      <c r="N245" s="5"/>
      <c r="O245" s="5" t="s">
        <v>377</v>
      </c>
    </row>
    <row r="246" spans="1:15" x14ac:dyDescent="0.3">
      <c r="A246" s="5" t="s">
        <v>510</v>
      </c>
      <c r="B246" s="5" t="s">
        <v>764</v>
      </c>
      <c r="C246" s="5" t="s">
        <v>765</v>
      </c>
      <c r="D246" s="5" t="s">
        <v>61</v>
      </c>
      <c r="E246" s="5" t="s">
        <v>154</v>
      </c>
      <c r="F246" s="14">
        <v>-1</v>
      </c>
      <c r="G246" s="5" t="s">
        <v>72</v>
      </c>
      <c r="H246" s="5" t="s">
        <v>73</v>
      </c>
      <c r="I246" s="5"/>
      <c r="J246" s="47" t="s">
        <v>1398</v>
      </c>
      <c r="K246" s="47" t="s">
        <v>1400</v>
      </c>
      <c r="L246" s="47" t="s">
        <v>1399</v>
      </c>
      <c r="M246" s="5"/>
      <c r="N246" s="5"/>
      <c r="O246" s="5" t="s">
        <v>776</v>
      </c>
    </row>
    <row r="247" spans="1:15" x14ac:dyDescent="0.3">
      <c r="A247" s="5" t="s">
        <v>510</v>
      </c>
      <c r="B247" s="5" t="s">
        <v>764</v>
      </c>
      <c r="C247" s="5" t="s">
        <v>765</v>
      </c>
      <c r="D247" s="5" t="s">
        <v>61</v>
      </c>
      <c r="E247" s="5" t="s">
        <v>154</v>
      </c>
      <c r="F247" s="14">
        <v>-1</v>
      </c>
      <c r="G247" s="5" t="s">
        <v>72</v>
      </c>
      <c r="H247" s="5" t="s">
        <v>77</v>
      </c>
      <c r="I247" s="5"/>
      <c r="J247" s="47" t="s">
        <v>1398</v>
      </c>
      <c r="K247" s="47" t="s">
        <v>1396</v>
      </c>
      <c r="L247" s="47" t="s">
        <v>1397</v>
      </c>
      <c r="M247" s="5"/>
      <c r="N247" s="5"/>
      <c r="O247" s="5" t="s">
        <v>776</v>
      </c>
    </row>
    <row r="248" spans="1:15" x14ac:dyDescent="0.3">
      <c r="A248" s="5" t="s">
        <v>510</v>
      </c>
      <c r="B248" s="5" t="s">
        <v>1368</v>
      </c>
      <c r="C248" s="5" t="s">
        <v>121</v>
      </c>
      <c r="D248" s="5" t="s">
        <v>61</v>
      </c>
      <c r="E248" s="5" t="s">
        <v>154</v>
      </c>
      <c r="F248" s="14">
        <v>-1</v>
      </c>
      <c r="G248" s="5" t="s">
        <v>63</v>
      </c>
      <c r="H248" s="5"/>
      <c r="I248" s="47">
        <v>30</v>
      </c>
      <c r="J248" s="47" t="s">
        <v>1370</v>
      </c>
      <c r="K248" s="47" t="s">
        <v>1371</v>
      </c>
      <c r="L248" s="47" t="s">
        <v>1372</v>
      </c>
      <c r="M248" s="5"/>
      <c r="N248" s="5"/>
      <c r="O248" s="5"/>
    </row>
    <row r="249" spans="1:15" x14ac:dyDescent="0.3">
      <c r="A249" s="5" t="s">
        <v>510</v>
      </c>
      <c r="B249" s="5" t="s">
        <v>1368</v>
      </c>
      <c r="C249" s="5" t="s">
        <v>121</v>
      </c>
      <c r="D249" s="5" t="s">
        <v>61</v>
      </c>
      <c r="E249" s="5" t="s">
        <v>154</v>
      </c>
      <c r="F249" s="14">
        <v>-1</v>
      </c>
      <c r="G249" s="5" t="s">
        <v>63</v>
      </c>
      <c r="H249" s="5"/>
      <c r="I249" s="47">
        <v>30</v>
      </c>
      <c r="J249" s="47" t="s">
        <v>1373</v>
      </c>
      <c r="K249" s="47" t="s">
        <v>1369</v>
      </c>
      <c r="L249" s="47" t="s">
        <v>1374</v>
      </c>
      <c r="M249" s="5"/>
      <c r="N249" s="5"/>
      <c r="O249" s="5"/>
    </row>
    <row r="250" spans="1:15" x14ac:dyDescent="0.3">
      <c r="A250" s="5" t="s">
        <v>510</v>
      </c>
      <c r="B250" s="5" t="s">
        <v>1368</v>
      </c>
      <c r="C250" s="5" t="s">
        <v>121</v>
      </c>
      <c r="D250" s="5" t="s">
        <v>61</v>
      </c>
      <c r="E250" s="5" t="s">
        <v>154</v>
      </c>
      <c r="F250" s="14">
        <v>-1</v>
      </c>
      <c r="G250" s="5" t="s">
        <v>63</v>
      </c>
      <c r="H250" s="5"/>
      <c r="I250" s="47">
        <v>20</v>
      </c>
      <c r="J250" s="47" t="s">
        <v>1377</v>
      </c>
      <c r="K250" s="47" t="s">
        <v>1378</v>
      </c>
      <c r="L250" s="47" t="s">
        <v>1379</v>
      </c>
      <c r="M250" s="5"/>
      <c r="N250" s="5"/>
      <c r="O250" s="5" t="s">
        <v>377</v>
      </c>
    </row>
    <row r="251" spans="1:15" x14ac:dyDescent="0.3">
      <c r="A251" s="5" t="s">
        <v>510</v>
      </c>
      <c r="B251" s="5" t="s">
        <v>764</v>
      </c>
      <c r="C251" s="5" t="s">
        <v>765</v>
      </c>
      <c r="D251" s="5" t="s">
        <v>61</v>
      </c>
      <c r="E251" s="5" t="s">
        <v>154</v>
      </c>
      <c r="F251" s="14">
        <v>-1</v>
      </c>
      <c r="G251" s="5" t="s">
        <v>72</v>
      </c>
      <c r="H251" s="5" t="s">
        <v>73</v>
      </c>
      <c r="I251" s="5"/>
      <c r="J251" s="5" t="s">
        <v>1381</v>
      </c>
      <c r="K251" s="5" t="s">
        <v>1383</v>
      </c>
      <c r="L251" s="5" t="s">
        <v>1386</v>
      </c>
      <c r="M251" s="5"/>
      <c r="N251" s="5"/>
      <c r="O251" s="5" t="s">
        <v>1382</v>
      </c>
    </row>
    <row r="252" spans="1:15" x14ac:dyDescent="0.3">
      <c r="A252" s="5" t="s">
        <v>510</v>
      </c>
      <c r="B252" s="5" t="s">
        <v>764</v>
      </c>
      <c r="C252" s="5" t="s">
        <v>765</v>
      </c>
      <c r="D252" s="5" t="s">
        <v>61</v>
      </c>
      <c r="E252" s="5" t="s">
        <v>154</v>
      </c>
      <c r="F252" s="14">
        <v>-1</v>
      </c>
      <c r="G252" s="5" t="s">
        <v>72</v>
      </c>
      <c r="H252" s="5" t="s">
        <v>77</v>
      </c>
      <c r="I252" s="5"/>
      <c r="J252" s="5" t="s">
        <v>1381</v>
      </c>
      <c r="K252" s="5" t="s">
        <v>1384</v>
      </c>
      <c r="L252" s="5" t="s">
        <v>1385</v>
      </c>
      <c r="M252" s="5"/>
      <c r="N252" s="5"/>
      <c r="O252" s="5" t="s">
        <v>1382</v>
      </c>
    </row>
    <row r="253" spans="1:15" x14ac:dyDescent="0.3">
      <c r="A253" s="5" t="s">
        <v>510</v>
      </c>
      <c r="B253" s="5" t="s">
        <v>1368</v>
      </c>
      <c r="C253" s="5" t="s">
        <v>121</v>
      </c>
      <c r="D253" s="5" t="s">
        <v>61</v>
      </c>
      <c r="E253" s="5" t="s">
        <v>154</v>
      </c>
      <c r="F253" s="14">
        <v>-1</v>
      </c>
      <c r="G253" s="5" t="s">
        <v>63</v>
      </c>
      <c r="H253" s="5"/>
      <c r="I253" s="47">
        <v>20</v>
      </c>
      <c r="J253" s="47" t="s">
        <v>1375</v>
      </c>
      <c r="K253" s="47" t="s">
        <v>1376</v>
      </c>
      <c r="L253" s="47" t="s">
        <v>1380</v>
      </c>
      <c r="M253" s="5"/>
      <c r="N253" s="5"/>
      <c r="O253" s="5"/>
    </row>
    <row r="254" spans="1:15" x14ac:dyDescent="0.3">
      <c r="A254" s="5" t="s">
        <v>510</v>
      </c>
      <c r="B254" s="5" t="s">
        <v>777</v>
      </c>
      <c r="C254" s="5" t="s">
        <v>624</v>
      </c>
      <c r="D254" s="5" t="s">
        <v>61</v>
      </c>
      <c r="E254" s="5" t="s">
        <v>154</v>
      </c>
      <c r="F254" s="14">
        <v>-1</v>
      </c>
      <c r="G254" s="5" t="s">
        <v>63</v>
      </c>
      <c r="H254" s="5"/>
      <c r="I254" s="5">
        <v>20</v>
      </c>
      <c r="J254" s="5" t="s">
        <v>660</v>
      </c>
      <c r="K254" s="5" t="s">
        <v>778</v>
      </c>
      <c r="L254" s="5" t="s">
        <v>779</v>
      </c>
      <c r="M254" s="5"/>
      <c r="N254" s="5"/>
      <c r="O254" s="5"/>
    </row>
    <row r="255" spans="1:15" x14ac:dyDescent="0.3">
      <c r="A255" s="5" t="s">
        <v>510</v>
      </c>
      <c r="B255" s="5" t="s">
        <v>777</v>
      </c>
      <c r="C255" s="5" t="s">
        <v>624</v>
      </c>
      <c r="D255" s="5" t="s">
        <v>61</v>
      </c>
      <c r="E255" s="5" t="s">
        <v>154</v>
      </c>
      <c r="F255" s="14">
        <v>-1</v>
      </c>
      <c r="G255" s="5" t="s">
        <v>63</v>
      </c>
      <c r="H255" s="5"/>
      <c r="I255" s="5">
        <v>20</v>
      </c>
      <c r="J255" s="5" t="s">
        <v>780</v>
      </c>
      <c r="K255" s="5" t="s">
        <v>781</v>
      </c>
      <c r="L255" s="5" t="s">
        <v>782</v>
      </c>
      <c r="M255" s="5"/>
      <c r="N255" s="5"/>
      <c r="O255" s="5"/>
    </row>
    <row r="256" spans="1:15" x14ac:dyDescent="0.3">
      <c r="A256" s="5" t="s">
        <v>510</v>
      </c>
      <c r="B256" s="5" t="s">
        <v>777</v>
      </c>
      <c r="C256" s="5" t="s">
        <v>624</v>
      </c>
      <c r="D256" s="5" t="s">
        <v>61</v>
      </c>
      <c r="E256" s="5" t="s">
        <v>154</v>
      </c>
      <c r="F256" s="14">
        <v>-1</v>
      </c>
      <c r="G256" s="5" t="s">
        <v>63</v>
      </c>
      <c r="H256" s="5"/>
      <c r="I256" s="5">
        <v>20</v>
      </c>
      <c r="J256" s="5" t="s">
        <v>1393</v>
      </c>
      <c r="K256" s="5" t="s">
        <v>783</v>
      </c>
      <c r="L256" s="5" t="s">
        <v>784</v>
      </c>
      <c r="M256" s="5"/>
      <c r="N256" s="5"/>
      <c r="O256" s="5"/>
    </row>
    <row r="257" spans="1:15" x14ac:dyDescent="0.3">
      <c r="A257" s="5" t="s">
        <v>510</v>
      </c>
      <c r="B257" s="5" t="s">
        <v>777</v>
      </c>
      <c r="C257" s="5" t="s">
        <v>624</v>
      </c>
      <c r="D257" s="5" t="s">
        <v>61</v>
      </c>
      <c r="E257" s="5" t="s">
        <v>154</v>
      </c>
      <c r="F257" s="14">
        <v>-1</v>
      </c>
      <c r="G257" s="5" t="s">
        <v>63</v>
      </c>
      <c r="H257" s="5"/>
      <c r="I257" s="5">
        <v>20</v>
      </c>
      <c r="J257" s="5" t="s">
        <v>362</v>
      </c>
      <c r="K257" s="5" t="s">
        <v>785</v>
      </c>
      <c r="L257" s="5" t="s">
        <v>786</v>
      </c>
      <c r="M257" s="5"/>
      <c r="N257" s="5"/>
      <c r="O257" s="5"/>
    </row>
    <row r="258" spans="1:15" x14ac:dyDescent="0.3">
      <c r="A258" s="5" t="s">
        <v>510</v>
      </c>
      <c r="B258" s="5" t="s">
        <v>777</v>
      </c>
      <c r="C258" s="5" t="s">
        <v>624</v>
      </c>
      <c r="D258" s="5" t="s">
        <v>61</v>
      </c>
      <c r="E258" s="5" t="s">
        <v>154</v>
      </c>
      <c r="F258" s="14">
        <v>-1</v>
      </c>
      <c r="G258" s="5" t="s">
        <v>63</v>
      </c>
      <c r="H258" s="5"/>
      <c r="I258" s="5">
        <v>20</v>
      </c>
      <c r="J258" s="5" t="s">
        <v>674</v>
      </c>
      <c r="K258" s="5" t="s">
        <v>787</v>
      </c>
      <c r="L258" s="5" t="s">
        <v>788</v>
      </c>
      <c r="M258" s="5"/>
      <c r="N258" s="5"/>
      <c r="O258" s="5" t="s">
        <v>377</v>
      </c>
    </row>
    <row r="259" spans="1:15" x14ac:dyDescent="0.3">
      <c r="A259" s="5" t="s">
        <v>510</v>
      </c>
      <c r="B259" s="5" t="s">
        <v>777</v>
      </c>
      <c r="C259" s="5" t="s">
        <v>624</v>
      </c>
      <c r="D259" s="5" t="s">
        <v>61</v>
      </c>
      <c r="E259" s="5" t="s">
        <v>154</v>
      </c>
      <c r="F259" s="14">
        <v>-1</v>
      </c>
      <c r="G259" s="5" t="s">
        <v>72</v>
      </c>
      <c r="H259" s="5" t="s">
        <v>73</v>
      </c>
      <c r="I259" s="5"/>
      <c r="J259" s="5" t="s">
        <v>789</v>
      </c>
      <c r="K259" s="5" t="s">
        <v>790</v>
      </c>
      <c r="L259" s="5" t="s">
        <v>791</v>
      </c>
      <c r="M259" s="5"/>
      <c r="N259" s="5"/>
      <c r="O259" s="5" t="s">
        <v>792</v>
      </c>
    </row>
    <row r="260" spans="1:15" x14ac:dyDescent="0.3">
      <c r="A260" s="5" t="s">
        <v>510</v>
      </c>
      <c r="B260" s="5" t="s">
        <v>777</v>
      </c>
      <c r="C260" s="5" t="s">
        <v>624</v>
      </c>
      <c r="D260" s="5" t="s">
        <v>61</v>
      </c>
      <c r="E260" s="5" t="s">
        <v>154</v>
      </c>
      <c r="F260" s="14">
        <v>-1</v>
      </c>
      <c r="G260" s="5" t="s">
        <v>72</v>
      </c>
      <c r="H260" s="5" t="s">
        <v>77</v>
      </c>
      <c r="I260" s="5"/>
      <c r="J260" s="5" t="s">
        <v>789</v>
      </c>
      <c r="K260" s="5" t="s">
        <v>793</v>
      </c>
      <c r="L260" s="5" t="s">
        <v>794</v>
      </c>
      <c r="M260" s="5"/>
      <c r="N260" s="5"/>
      <c r="O260" s="5" t="s">
        <v>792</v>
      </c>
    </row>
    <row r="261" spans="1:15" x14ac:dyDescent="0.3">
      <c r="A261" s="5" t="s">
        <v>510</v>
      </c>
      <c r="B261" s="5" t="s">
        <v>795</v>
      </c>
      <c r="C261" s="5" t="s">
        <v>111</v>
      </c>
      <c r="D261" s="5" t="s">
        <v>61</v>
      </c>
      <c r="E261" s="5" t="s">
        <v>154</v>
      </c>
      <c r="F261" s="14">
        <v>-1</v>
      </c>
      <c r="G261" s="5" t="s">
        <v>63</v>
      </c>
      <c r="H261" s="5"/>
      <c r="I261" s="5">
        <v>20</v>
      </c>
      <c r="J261" s="5" t="s">
        <v>660</v>
      </c>
      <c r="K261" s="5" t="s">
        <v>796</v>
      </c>
      <c r="L261" s="5" t="s">
        <v>797</v>
      </c>
      <c r="M261" s="5"/>
      <c r="N261" s="5"/>
      <c r="O261" s="5"/>
    </row>
    <row r="262" spans="1:15" x14ac:dyDescent="0.3">
      <c r="A262" s="5" t="s">
        <v>510</v>
      </c>
      <c r="B262" s="5" t="s">
        <v>795</v>
      </c>
      <c r="C262" s="5" t="s">
        <v>111</v>
      </c>
      <c r="D262" s="5" t="s">
        <v>61</v>
      </c>
      <c r="E262" s="5" t="s">
        <v>154</v>
      </c>
      <c r="F262" s="14">
        <v>-1</v>
      </c>
      <c r="G262" s="5" t="s">
        <v>63</v>
      </c>
      <c r="H262" s="5"/>
      <c r="I262" s="5">
        <v>20</v>
      </c>
      <c r="J262" s="5" t="s">
        <v>661</v>
      </c>
      <c r="K262" s="5" t="s">
        <v>798</v>
      </c>
      <c r="L262" s="5" t="s">
        <v>799</v>
      </c>
      <c r="M262" s="5"/>
      <c r="N262" s="5"/>
      <c r="O262" s="5"/>
    </row>
    <row r="263" spans="1:15" x14ac:dyDescent="0.3">
      <c r="A263" s="5" t="s">
        <v>510</v>
      </c>
      <c r="B263" s="5" t="s">
        <v>795</v>
      </c>
      <c r="C263" s="5" t="s">
        <v>111</v>
      </c>
      <c r="D263" s="5" t="s">
        <v>61</v>
      </c>
      <c r="E263" s="5" t="s">
        <v>154</v>
      </c>
      <c r="F263" s="14">
        <v>-1</v>
      </c>
      <c r="G263" s="5" t="s">
        <v>63</v>
      </c>
      <c r="H263" s="5"/>
      <c r="I263" s="5">
        <v>20</v>
      </c>
      <c r="J263" s="5" t="s">
        <v>362</v>
      </c>
      <c r="K263" s="5" t="s">
        <v>800</v>
      </c>
      <c r="L263" s="5" t="s">
        <v>801</v>
      </c>
      <c r="M263" s="5"/>
      <c r="N263" s="5"/>
      <c r="O263" s="5"/>
    </row>
    <row r="264" spans="1:15" x14ac:dyDescent="0.3">
      <c r="A264" s="5" t="s">
        <v>510</v>
      </c>
      <c r="B264" s="5" t="s">
        <v>795</v>
      </c>
      <c r="C264" s="5" t="s">
        <v>111</v>
      </c>
      <c r="D264" s="5" t="s">
        <v>61</v>
      </c>
      <c r="E264" s="5" t="s">
        <v>154</v>
      </c>
      <c r="F264" s="14">
        <v>-1</v>
      </c>
      <c r="G264" s="5" t="s">
        <v>63</v>
      </c>
      <c r="H264" s="5"/>
      <c r="I264" s="5">
        <v>20</v>
      </c>
      <c r="J264" s="5" t="s">
        <v>691</v>
      </c>
      <c r="K264" s="5" t="s">
        <v>1387</v>
      </c>
      <c r="L264" s="5" t="s">
        <v>1388</v>
      </c>
      <c r="M264" s="5"/>
      <c r="N264" s="5"/>
    </row>
    <row r="265" spans="1:15" x14ac:dyDescent="0.3">
      <c r="A265" s="5" t="s">
        <v>510</v>
      </c>
      <c r="B265" s="5" t="s">
        <v>795</v>
      </c>
      <c r="C265" s="5" t="s">
        <v>111</v>
      </c>
      <c r="D265" s="5" t="s">
        <v>61</v>
      </c>
      <c r="E265" s="5" t="s">
        <v>154</v>
      </c>
      <c r="F265" s="14">
        <v>-1</v>
      </c>
      <c r="G265" s="5" t="s">
        <v>63</v>
      </c>
      <c r="H265" s="5"/>
      <c r="I265" s="5">
        <v>20</v>
      </c>
      <c r="J265" s="10" t="s">
        <v>802</v>
      </c>
      <c r="K265" s="10" t="s">
        <v>803</v>
      </c>
      <c r="L265" s="10" t="s">
        <v>804</v>
      </c>
      <c r="M265" s="10"/>
      <c r="N265" s="10"/>
      <c r="O265" s="10" t="s">
        <v>377</v>
      </c>
    </row>
    <row r="266" spans="1:15" x14ac:dyDescent="0.3">
      <c r="A266" s="5" t="s">
        <v>510</v>
      </c>
      <c r="B266" s="5" t="s">
        <v>795</v>
      </c>
      <c r="C266" s="5" t="s">
        <v>111</v>
      </c>
      <c r="D266" s="5" t="s">
        <v>61</v>
      </c>
      <c r="E266" s="5" t="s">
        <v>154</v>
      </c>
      <c r="F266" s="14">
        <v>-1</v>
      </c>
      <c r="G266" s="5" t="s">
        <v>72</v>
      </c>
      <c r="H266" s="5" t="s">
        <v>73</v>
      </c>
      <c r="I266" s="5"/>
      <c r="J266" s="10" t="s">
        <v>1389</v>
      </c>
      <c r="K266" s="10" t="s">
        <v>805</v>
      </c>
      <c r="L266" s="10" t="s">
        <v>806</v>
      </c>
      <c r="M266" s="10"/>
      <c r="N266" s="10"/>
      <c r="O266" s="10" t="s">
        <v>1392</v>
      </c>
    </row>
    <row r="267" spans="1:15" x14ac:dyDescent="0.3">
      <c r="A267" s="5" t="s">
        <v>510</v>
      </c>
      <c r="B267" s="5" t="s">
        <v>795</v>
      </c>
      <c r="C267" s="5" t="s">
        <v>111</v>
      </c>
      <c r="D267" s="5" t="s">
        <v>61</v>
      </c>
      <c r="E267" s="5" t="s">
        <v>154</v>
      </c>
      <c r="F267" s="14">
        <v>-1</v>
      </c>
      <c r="G267" s="5" t="s">
        <v>72</v>
      </c>
      <c r="H267" s="5" t="s">
        <v>77</v>
      </c>
      <c r="I267" s="5"/>
      <c r="J267" s="10" t="s">
        <v>1389</v>
      </c>
      <c r="K267" s="10" t="s">
        <v>1390</v>
      </c>
      <c r="L267" s="10" t="s">
        <v>1391</v>
      </c>
      <c r="M267" s="10"/>
      <c r="N267" s="10"/>
      <c r="O267" s="10" t="s">
        <v>1392</v>
      </c>
    </row>
    <row r="268" spans="1:15" x14ac:dyDescent="0.3">
      <c r="A268" s="50" t="s">
        <v>510</v>
      </c>
      <c r="B268" s="50" t="s">
        <v>533</v>
      </c>
      <c r="C268" s="50" t="s">
        <v>250</v>
      </c>
      <c r="D268" s="50" t="s">
        <v>61</v>
      </c>
      <c r="E268" s="50" t="s">
        <v>154</v>
      </c>
      <c r="F268" s="51">
        <v>-1</v>
      </c>
      <c r="G268" s="50" t="s">
        <v>63</v>
      </c>
      <c r="H268" s="50"/>
      <c r="I268" s="50">
        <v>100</v>
      </c>
      <c r="J268" s="50" t="s">
        <v>1435</v>
      </c>
      <c r="K268" s="50" t="s">
        <v>1435</v>
      </c>
      <c r="L268" s="50" t="s">
        <v>1436</v>
      </c>
      <c r="M268" s="10"/>
      <c r="N268" s="10"/>
      <c r="O268" s="10"/>
    </row>
    <row r="269" spans="1:15" x14ac:dyDescent="0.3">
      <c r="A269" s="5" t="s">
        <v>510</v>
      </c>
      <c r="B269" s="5" t="s">
        <v>807</v>
      </c>
      <c r="C269" s="5" t="s">
        <v>624</v>
      </c>
      <c r="D269" s="5" t="s">
        <v>61</v>
      </c>
      <c r="E269" s="5" t="s">
        <v>154</v>
      </c>
      <c r="F269" s="14">
        <v>-1</v>
      </c>
      <c r="G269" s="5" t="s">
        <v>63</v>
      </c>
      <c r="H269" s="5"/>
      <c r="I269" s="5">
        <v>20</v>
      </c>
      <c r="J269" s="5" t="s">
        <v>674</v>
      </c>
      <c r="K269" s="5" t="s">
        <v>808</v>
      </c>
      <c r="L269" s="5" t="s">
        <v>809</v>
      </c>
      <c r="M269" s="5"/>
      <c r="N269" s="5"/>
      <c r="O269" s="5"/>
    </row>
    <row r="270" spans="1:15" x14ac:dyDescent="0.3">
      <c r="A270" s="5" t="s">
        <v>510</v>
      </c>
      <c r="B270" s="5" t="s">
        <v>807</v>
      </c>
      <c r="C270" s="5" t="s">
        <v>624</v>
      </c>
      <c r="D270" s="5" t="s">
        <v>61</v>
      </c>
      <c r="E270" s="5" t="s">
        <v>154</v>
      </c>
      <c r="F270" s="14">
        <v>-1</v>
      </c>
      <c r="G270" s="5" t="s">
        <v>63</v>
      </c>
      <c r="H270" s="5"/>
      <c r="I270" s="5">
        <v>20</v>
      </c>
      <c r="J270" s="5" t="s">
        <v>660</v>
      </c>
      <c r="K270" s="5" t="s">
        <v>810</v>
      </c>
      <c r="L270" s="5" t="s">
        <v>811</v>
      </c>
      <c r="M270" s="5"/>
      <c r="N270" s="5"/>
      <c r="O270" s="5"/>
    </row>
    <row r="271" spans="1:15" x14ac:dyDescent="0.3">
      <c r="A271" s="5" t="s">
        <v>510</v>
      </c>
      <c r="B271" s="5" t="s">
        <v>807</v>
      </c>
      <c r="C271" s="5" t="s">
        <v>624</v>
      </c>
      <c r="D271" s="5" t="s">
        <v>61</v>
      </c>
      <c r="E271" s="5" t="s">
        <v>154</v>
      </c>
      <c r="F271" s="14">
        <v>-1</v>
      </c>
      <c r="G271" s="5" t="s">
        <v>63</v>
      </c>
      <c r="H271" s="5"/>
      <c r="I271" s="5">
        <v>20</v>
      </c>
      <c r="J271" s="5" t="s">
        <v>312</v>
      </c>
      <c r="K271" s="5" t="s">
        <v>1419</v>
      </c>
      <c r="L271" s="5" t="s">
        <v>1420</v>
      </c>
      <c r="M271" s="5"/>
      <c r="N271" s="5"/>
      <c r="O271" s="5"/>
    </row>
    <row r="272" spans="1:15" x14ac:dyDescent="0.3">
      <c r="A272" s="5" t="s">
        <v>510</v>
      </c>
      <c r="B272" s="5" t="s">
        <v>807</v>
      </c>
      <c r="C272" s="5" t="s">
        <v>624</v>
      </c>
      <c r="D272" s="5" t="s">
        <v>61</v>
      </c>
      <c r="E272" s="5" t="s">
        <v>154</v>
      </c>
      <c r="F272" s="14">
        <v>-1</v>
      </c>
      <c r="G272" s="5" t="s">
        <v>63</v>
      </c>
      <c r="H272" s="5"/>
      <c r="I272" s="5">
        <v>20</v>
      </c>
      <c r="J272" s="5" t="s">
        <v>362</v>
      </c>
      <c r="K272" s="5" t="s">
        <v>812</v>
      </c>
      <c r="L272" s="5" t="s">
        <v>813</v>
      </c>
      <c r="M272" s="5"/>
      <c r="N272" s="5"/>
      <c r="O272" s="5"/>
    </row>
    <row r="273" spans="1:15" x14ac:dyDescent="0.3">
      <c r="A273" s="5" t="s">
        <v>510</v>
      </c>
      <c r="B273" s="5" t="s">
        <v>807</v>
      </c>
      <c r="C273" s="5" t="s">
        <v>624</v>
      </c>
      <c r="D273" s="5" t="s">
        <v>61</v>
      </c>
      <c r="E273" s="5" t="s">
        <v>154</v>
      </c>
      <c r="F273" s="14">
        <v>-1</v>
      </c>
      <c r="G273" s="5" t="s">
        <v>63</v>
      </c>
      <c r="H273" s="5"/>
      <c r="I273" s="5">
        <v>20</v>
      </c>
      <c r="J273" s="5" t="s">
        <v>1361</v>
      </c>
      <c r="K273" s="5" t="s">
        <v>814</v>
      </c>
      <c r="L273" s="5" t="s">
        <v>815</v>
      </c>
      <c r="M273" s="5"/>
      <c r="N273" s="5"/>
      <c r="O273" s="5" t="s">
        <v>377</v>
      </c>
    </row>
    <row r="274" spans="1:15" x14ac:dyDescent="0.3">
      <c r="A274" s="5" t="s">
        <v>510</v>
      </c>
      <c r="B274" s="5" t="s">
        <v>807</v>
      </c>
      <c r="C274" s="5" t="s">
        <v>624</v>
      </c>
      <c r="D274" s="5" t="s">
        <v>61</v>
      </c>
      <c r="E274" s="5" t="s">
        <v>154</v>
      </c>
      <c r="F274" s="14">
        <v>-1</v>
      </c>
      <c r="G274" s="5" t="s">
        <v>72</v>
      </c>
      <c r="H274" s="5" t="s">
        <v>73</v>
      </c>
      <c r="I274" s="5"/>
      <c r="J274" s="5" t="s">
        <v>816</v>
      </c>
      <c r="K274" s="5" t="s">
        <v>817</v>
      </c>
      <c r="L274" s="5" t="s">
        <v>818</v>
      </c>
      <c r="M274" s="5"/>
      <c r="N274" s="5"/>
      <c r="O274" s="5" t="s">
        <v>1429</v>
      </c>
    </row>
    <row r="275" spans="1:15" x14ac:dyDescent="0.3">
      <c r="A275" s="5" t="s">
        <v>510</v>
      </c>
      <c r="B275" s="5" t="s">
        <v>807</v>
      </c>
      <c r="C275" s="5" t="s">
        <v>624</v>
      </c>
      <c r="D275" s="5" t="s">
        <v>61</v>
      </c>
      <c r="E275" s="5" t="s">
        <v>154</v>
      </c>
      <c r="F275" s="14">
        <v>-1</v>
      </c>
      <c r="G275" s="5" t="s">
        <v>72</v>
      </c>
      <c r="H275" s="5" t="s">
        <v>77</v>
      </c>
      <c r="I275" s="5"/>
      <c r="J275" s="5" t="s">
        <v>816</v>
      </c>
      <c r="K275" s="5" t="s">
        <v>819</v>
      </c>
      <c r="L275" s="5" t="s">
        <v>820</v>
      </c>
      <c r="M275" s="5"/>
      <c r="N275" s="5"/>
      <c r="O275" s="5" t="s">
        <v>1429</v>
      </c>
    </row>
    <row r="276" spans="1:15" x14ac:dyDescent="0.3">
      <c r="A276" s="5" t="s">
        <v>510</v>
      </c>
      <c r="B276" s="5" t="s">
        <v>821</v>
      </c>
      <c r="C276" s="5" t="s">
        <v>822</v>
      </c>
      <c r="D276" s="5" t="s">
        <v>61</v>
      </c>
      <c r="E276" s="5" t="s">
        <v>154</v>
      </c>
      <c r="F276" s="14">
        <v>-1</v>
      </c>
      <c r="G276" s="5" t="s">
        <v>63</v>
      </c>
      <c r="H276" s="5"/>
      <c r="I276" s="5">
        <v>20</v>
      </c>
      <c r="J276" s="5" t="s">
        <v>660</v>
      </c>
      <c r="K276" s="5" t="s">
        <v>823</v>
      </c>
      <c r="L276" s="5" t="s">
        <v>824</v>
      </c>
      <c r="M276" s="5"/>
      <c r="N276" s="5"/>
      <c r="O276" s="5"/>
    </row>
    <row r="277" spans="1:15" x14ac:dyDescent="0.3">
      <c r="A277" s="5" t="s">
        <v>510</v>
      </c>
      <c r="B277" s="5" t="s">
        <v>821</v>
      </c>
      <c r="C277" s="5" t="s">
        <v>822</v>
      </c>
      <c r="D277" s="5" t="s">
        <v>61</v>
      </c>
      <c r="E277" s="5" t="s">
        <v>154</v>
      </c>
      <c r="F277" s="14">
        <v>-1</v>
      </c>
      <c r="G277" s="5" t="s">
        <v>63</v>
      </c>
      <c r="H277" s="5"/>
      <c r="I277" s="5">
        <v>20</v>
      </c>
      <c r="J277" s="5" t="s">
        <v>1403</v>
      </c>
      <c r="K277" s="5" t="s">
        <v>825</v>
      </c>
      <c r="L277" s="5" t="s">
        <v>826</v>
      </c>
      <c r="M277" s="5"/>
      <c r="N277" s="5"/>
      <c r="O277" s="5"/>
    </row>
    <row r="278" spans="1:15" x14ac:dyDescent="0.3">
      <c r="A278" s="5" t="s">
        <v>510</v>
      </c>
      <c r="B278" s="5" t="s">
        <v>821</v>
      </c>
      <c r="C278" s="5" t="s">
        <v>822</v>
      </c>
      <c r="D278" s="5" t="s">
        <v>61</v>
      </c>
      <c r="E278" s="5" t="s">
        <v>154</v>
      </c>
      <c r="F278" s="14">
        <v>-1</v>
      </c>
      <c r="G278" s="5" t="s">
        <v>63</v>
      </c>
      <c r="H278" s="5"/>
      <c r="I278" s="5">
        <v>20</v>
      </c>
      <c r="J278" s="5" t="s">
        <v>362</v>
      </c>
      <c r="K278" s="5" t="s">
        <v>827</v>
      </c>
      <c r="L278" s="5" t="s">
        <v>828</v>
      </c>
      <c r="M278" s="5"/>
      <c r="N278" s="5"/>
      <c r="O278" s="5"/>
    </row>
    <row r="279" spans="1:15" x14ac:dyDescent="0.3">
      <c r="A279" s="5" t="s">
        <v>510</v>
      </c>
      <c r="B279" s="5" t="s">
        <v>821</v>
      </c>
      <c r="C279" s="5" t="s">
        <v>822</v>
      </c>
      <c r="D279" s="5" t="s">
        <v>61</v>
      </c>
      <c r="E279" s="5" t="s">
        <v>154</v>
      </c>
      <c r="F279" s="14">
        <v>-1</v>
      </c>
      <c r="G279" s="5" t="s">
        <v>63</v>
      </c>
      <c r="H279" s="5"/>
      <c r="I279" s="5">
        <v>20</v>
      </c>
      <c r="J279" s="5" t="s">
        <v>829</v>
      </c>
      <c r="K279" s="5" t="s">
        <v>830</v>
      </c>
      <c r="L279" s="5" t="s">
        <v>831</v>
      </c>
      <c r="M279" s="5"/>
      <c r="N279" s="5"/>
      <c r="O279" s="5"/>
    </row>
    <row r="280" spans="1:15" x14ac:dyDescent="0.3">
      <c r="A280" s="5" t="s">
        <v>510</v>
      </c>
      <c r="B280" s="5" t="s">
        <v>821</v>
      </c>
      <c r="C280" s="5" t="s">
        <v>822</v>
      </c>
      <c r="D280" s="5" t="s">
        <v>61</v>
      </c>
      <c r="E280" s="5" t="s">
        <v>154</v>
      </c>
      <c r="F280" s="14">
        <v>-1</v>
      </c>
      <c r="G280" s="5" t="s">
        <v>63</v>
      </c>
      <c r="H280" s="5"/>
      <c r="I280" s="5">
        <v>20</v>
      </c>
      <c r="J280" s="5" t="s">
        <v>832</v>
      </c>
      <c r="K280" s="5" t="s">
        <v>833</v>
      </c>
      <c r="L280" s="5" t="s">
        <v>834</v>
      </c>
      <c r="M280" s="5"/>
      <c r="N280" s="5"/>
      <c r="O280" s="5" t="s">
        <v>377</v>
      </c>
    </row>
    <row r="281" spans="1:15" x14ac:dyDescent="0.3">
      <c r="A281" s="5" t="s">
        <v>510</v>
      </c>
      <c r="B281" s="5" t="s">
        <v>821</v>
      </c>
      <c r="C281" s="5" t="s">
        <v>822</v>
      </c>
      <c r="D281" s="5" t="s">
        <v>61</v>
      </c>
      <c r="E281" s="5" t="s">
        <v>154</v>
      </c>
      <c r="F281" s="14">
        <v>-1</v>
      </c>
      <c r="G281" s="5" t="s">
        <v>72</v>
      </c>
      <c r="H281" s="5" t="s">
        <v>73</v>
      </c>
      <c r="I281" s="5"/>
      <c r="J281" s="5" t="s">
        <v>835</v>
      </c>
      <c r="K281" s="5" t="s">
        <v>836</v>
      </c>
      <c r="L281" s="5" t="s">
        <v>837</v>
      </c>
      <c r="M281" s="5"/>
      <c r="N281" s="5"/>
      <c r="O281" s="5" t="s">
        <v>838</v>
      </c>
    </row>
    <row r="282" spans="1:15" x14ac:dyDescent="0.3">
      <c r="A282" s="5" t="s">
        <v>510</v>
      </c>
      <c r="B282" s="5" t="s">
        <v>821</v>
      </c>
      <c r="C282" s="5" t="s">
        <v>822</v>
      </c>
      <c r="D282" s="5" t="s">
        <v>61</v>
      </c>
      <c r="E282" s="5" t="s">
        <v>154</v>
      </c>
      <c r="F282" s="14">
        <v>-1</v>
      </c>
      <c r="G282" s="5" t="s">
        <v>72</v>
      </c>
      <c r="H282" s="5" t="s">
        <v>77</v>
      </c>
      <c r="I282" s="5"/>
      <c r="J282" s="5" t="s">
        <v>835</v>
      </c>
      <c r="K282" s="5" t="s">
        <v>560</v>
      </c>
      <c r="L282" s="5" t="s">
        <v>839</v>
      </c>
      <c r="M282" s="5"/>
      <c r="N282" s="5"/>
      <c r="O282" s="5" t="s">
        <v>840</v>
      </c>
    </row>
    <row r="283" spans="1:15" x14ac:dyDescent="0.3">
      <c r="A283" s="5" t="s">
        <v>510</v>
      </c>
      <c r="B283" s="5" t="s">
        <v>841</v>
      </c>
      <c r="C283" s="5" t="s">
        <v>765</v>
      </c>
      <c r="D283" s="5" t="s">
        <v>61</v>
      </c>
      <c r="E283" s="5" t="s">
        <v>154</v>
      </c>
      <c r="F283" s="14">
        <v>-1</v>
      </c>
      <c r="G283" s="5" t="s">
        <v>63</v>
      </c>
      <c r="H283" s="5"/>
      <c r="I283" s="5">
        <v>20</v>
      </c>
      <c r="J283" s="5" t="s">
        <v>842</v>
      </c>
      <c r="K283" s="10" t="s">
        <v>1418</v>
      </c>
      <c r="L283" s="10" t="s">
        <v>1417</v>
      </c>
      <c r="M283" s="5"/>
      <c r="N283" s="5"/>
      <c r="O283" s="5"/>
    </row>
    <row r="284" spans="1:15" x14ac:dyDescent="0.3">
      <c r="A284" s="5" t="s">
        <v>510</v>
      </c>
      <c r="B284" s="5" t="s">
        <v>841</v>
      </c>
      <c r="C284" s="5" t="s">
        <v>765</v>
      </c>
      <c r="D284" s="5" t="s">
        <v>61</v>
      </c>
      <c r="E284" s="5" t="s">
        <v>154</v>
      </c>
      <c r="F284" s="14">
        <v>-1</v>
      </c>
      <c r="G284" s="5" t="s">
        <v>63</v>
      </c>
      <c r="H284" s="5"/>
      <c r="I284" s="5">
        <v>15</v>
      </c>
      <c r="J284" s="10" t="s">
        <v>660</v>
      </c>
      <c r="K284" s="10" t="s">
        <v>1407</v>
      </c>
      <c r="L284" s="10" t="s">
        <v>1408</v>
      </c>
      <c r="M284" s="5"/>
      <c r="N284" s="5"/>
      <c r="O284" s="5"/>
    </row>
    <row r="285" spans="1:15" x14ac:dyDescent="0.3">
      <c r="A285" s="5" t="s">
        <v>510</v>
      </c>
      <c r="B285" s="5" t="s">
        <v>841</v>
      </c>
      <c r="C285" s="5" t="s">
        <v>765</v>
      </c>
      <c r="D285" s="5" t="s">
        <v>61</v>
      </c>
      <c r="E285" s="5" t="s">
        <v>154</v>
      </c>
      <c r="F285" s="14">
        <v>-1</v>
      </c>
      <c r="G285" s="5" t="s">
        <v>63</v>
      </c>
      <c r="H285" s="5"/>
      <c r="I285" s="5">
        <v>15</v>
      </c>
      <c r="J285" s="10" t="s">
        <v>1404</v>
      </c>
      <c r="K285" s="10" t="s">
        <v>1405</v>
      </c>
      <c r="L285" s="10" t="s">
        <v>1406</v>
      </c>
      <c r="M285" s="5"/>
      <c r="N285" s="5"/>
      <c r="O285" s="5"/>
    </row>
    <row r="286" spans="1:15" x14ac:dyDescent="0.3">
      <c r="A286" s="5" t="s">
        <v>510</v>
      </c>
      <c r="B286" s="5" t="s">
        <v>841</v>
      </c>
      <c r="C286" s="5" t="s">
        <v>765</v>
      </c>
      <c r="D286" s="5" t="s">
        <v>61</v>
      </c>
      <c r="E286" s="5" t="s">
        <v>154</v>
      </c>
      <c r="F286" s="14">
        <v>-1</v>
      </c>
      <c r="G286" s="5" t="s">
        <v>63</v>
      </c>
      <c r="H286" s="5"/>
      <c r="I286" s="5">
        <v>15</v>
      </c>
      <c r="J286" s="5" t="s">
        <v>362</v>
      </c>
      <c r="K286" s="5" t="s">
        <v>843</v>
      </c>
      <c r="L286" s="5" t="s">
        <v>844</v>
      </c>
      <c r="M286" s="5"/>
      <c r="N286" s="5"/>
      <c r="O286" s="5"/>
    </row>
    <row r="287" spans="1:15" x14ac:dyDescent="0.3">
      <c r="A287" s="5" t="s">
        <v>510</v>
      </c>
      <c r="B287" s="5" t="s">
        <v>841</v>
      </c>
      <c r="C287" s="5" t="s">
        <v>765</v>
      </c>
      <c r="D287" s="5" t="s">
        <v>61</v>
      </c>
      <c r="E287" s="5" t="s">
        <v>154</v>
      </c>
      <c r="F287" s="14">
        <v>-1</v>
      </c>
      <c r="G287" s="5" t="s">
        <v>63</v>
      </c>
      <c r="H287" s="5"/>
      <c r="I287" s="5">
        <v>15</v>
      </c>
      <c r="J287" s="5" t="s">
        <v>845</v>
      </c>
      <c r="K287" s="5" t="s">
        <v>846</v>
      </c>
      <c r="L287" s="5" t="s">
        <v>847</v>
      </c>
      <c r="M287" s="5"/>
      <c r="N287" s="5"/>
    </row>
    <row r="288" spans="1:15" x14ac:dyDescent="0.3">
      <c r="A288" s="5" t="s">
        <v>510</v>
      </c>
      <c r="B288" s="5" t="s">
        <v>841</v>
      </c>
      <c r="C288" s="5" t="s">
        <v>765</v>
      </c>
      <c r="D288" s="5" t="s">
        <v>61</v>
      </c>
      <c r="E288" s="5" t="s">
        <v>154</v>
      </c>
      <c r="F288" s="14">
        <v>-1</v>
      </c>
      <c r="G288" s="5" t="s">
        <v>63</v>
      </c>
      <c r="H288" s="5"/>
      <c r="I288" s="5">
        <v>20</v>
      </c>
      <c r="J288" s="10" t="s">
        <v>1409</v>
      </c>
      <c r="K288" s="10" t="s">
        <v>1411</v>
      </c>
      <c r="L288" s="10" t="s">
        <v>1410</v>
      </c>
      <c r="M288" s="5"/>
      <c r="N288" s="5"/>
      <c r="O288" s="5" t="s">
        <v>377</v>
      </c>
    </row>
    <row r="289" spans="1:15" x14ac:dyDescent="0.3">
      <c r="A289" s="5" t="s">
        <v>510</v>
      </c>
      <c r="B289" s="5" t="s">
        <v>841</v>
      </c>
      <c r="C289" s="5" t="s">
        <v>765</v>
      </c>
      <c r="D289" s="5" t="s">
        <v>61</v>
      </c>
      <c r="E289" s="5" t="s">
        <v>154</v>
      </c>
      <c r="F289" s="14">
        <v>-1</v>
      </c>
      <c r="G289" s="5" t="s">
        <v>72</v>
      </c>
      <c r="H289" s="5" t="s">
        <v>73</v>
      </c>
      <c r="I289" s="5"/>
      <c r="J289" s="10" t="s">
        <v>848</v>
      </c>
      <c r="K289" s="10" t="s">
        <v>1413</v>
      </c>
      <c r="L289" s="10" t="s">
        <v>1416</v>
      </c>
      <c r="M289" s="5"/>
      <c r="N289" s="5"/>
      <c r="O289" s="5" t="s">
        <v>1412</v>
      </c>
    </row>
    <row r="290" spans="1:15" x14ac:dyDescent="0.3">
      <c r="A290" s="5" t="s">
        <v>510</v>
      </c>
      <c r="B290" s="5" t="s">
        <v>841</v>
      </c>
      <c r="C290" s="5" t="s">
        <v>765</v>
      </c>
      <c r="D290" s="5" t="s">
        <v>61</v>
      </c>
      <c r="E290" s="5" t="s">
        <v>154</v>
      </c>
      <c r="F290" s="14">
        <v>-1</v>
      </c>
      <c r="G290" s="5" t="s">
        <v>72</v>
      </c>
      <c r="H290" s="5" t="s">
        <v>77</v>
      </c>
      <c r="I290" s="5"/>
      <c r="J290" s="10" t="s">
        <v>848</v>
      </c>
      <c r="K290" s="10" t="s">
        <v>1414</v>
      </c>
      <c r="L290" s="10" t="s">
        <v>1415</v>
      </c>
      <c r="M290" s="5"/>
      <c r="N290" s="5"/>
      <c r="O290" s="5" t="s">
        <v>1412</v>
      </c>
    </row>
    <row r="291" spans="1:15" x14ac:dyDescent="0.3">
      <c r="A291" s="5" t="s">
        <v>510</v>
      </c>
      <c r="B291" s="5" t="s">
        <v>849</v>
      </c>
      <c r="C291" s="5" t="s">
        <v>765</v>
      </c>
      <c r="D291" s="5" t="s">
        <v>61</v>
      </c>
      <c r="E291" s="5" t="s">
        <v>154</v>
      </c>
      <c r="F291" s="14">
        <v>-1</v>
      </c>
      <c r="G291" s="5" t="s">
        <v>63</v>
      </c>
      <c r="H291" s="5"/>
      <c r="I291" s="5">
        <v>20</v>
      </c>
      <c r="J291" s="5" t="s">
        <v>660</v>
      </c>
      <c r="K291" s="5" t="s">
        <v>685</v>
      </c>
      <c r="L291" s="5" t="s">
        <v>850</v>
      </c>
      <c r="M291" s="5"/>
      <c r="N291" s="5"/>
      <c r="O291" s="5"/>
    </row>
    <row r="292" spans="1:15" x14ac:dyDescent="0.3">
      <c r="A292" s="5" t="s">
        <v>510</v>
      </c>
      <c r="B292" s="5" t="s">
        <v>849</v>
      </c>
      <c r="C292" s="5" t="s">
        <v>765</v>
      </c>
      <c r="D292" s="5" t="s">
        <v>61</v>
      </c>
      <c r="E292" s="5" t="s">
        <v>154</v>
      </c>
      <c r="F292" s="14">
        <v>-1</v>
      </c>
      <c r="G292" s="5" t="s">
        <v>63</v>
      </c>
      <c r="H292" s="5"/>
      <c r="I292" s="5">
        <v>20</v>
      </c>
      <c r="J292" s="5" t="s">
        <v>1365</v>
      </c>
      <c r="K292" s="5" t="s">
        <v>851</v>
      </c>
      <c r="L292" s="5" t="s">
        <v>852</v>
      </c>
      <c r="M292" s="5"/>
      <c r="N292" s="5"/>
      <c r="O292" s="5"/>
    </row>
    <row r="293" spans="1:15" x14ac:dyDescent="0.3">
      <c r="A293" s="5" t="s">
        <v>510</v>
      </c>
      <c r="B293" s="5" t="s">
        <v>849</v>
      </c>
      <c r="C293" s="5" t="s">
        <v>765</v>
      </c>
      <c r="D293" s="5" t="s">
        <v>61</v>
      </c>
      <c r="E293" s="5" t="s">
        <v>154</v>
      </c>
      <c r="F293" s="14">
        <v>-1</v>
      </c>
      <c r="G293" s="5" t="s">
        <v>63</v>
      </c>
      <c r="H293" s="5"/>
      <c r="I293" s="5">
        <v>20</v>
      </c>
      <c r="J293" s="5" t="s">
        <v>362</v>
      </c>
      <c r="K293" s="5" t="s">
        <v>853</v>
      </c>
      <c r="L293" s="5" t="s">
        <v>854</v>
      </c>
      <c r="M293" s="5"/>
      <c r="N293" s="5"/>
      <c r="O293" s="5"/>
    </row>
    <row r="294" spans="1:15" x14ac:dyDescent="0.3">
      <c r="A294" s="5" t="s">
        <v>510</v>
      </c>
      <c r="B294" s="5" t="s">
        <v>849</v>
      </c>
      <c r="C294" s="5" t="s">
        <v>765</v>
      </c>
      <c r="D294" s="5" t="s">
        <v>61</v>
      </c>
      <c r="E294" s="5" t="s">
        <v>154</v>
      </c>
      <c r="F294" s="14">
        <v>-1</v>
      </c>
      <c r="G294" s="5" t="s">
        <v>63</v>
      </c>
      <c r="H294" s="5"/>
      <c r="I294" s="5">
        <v>20</v>
      </c>
      <c r="J294" s="5" t="s">
        <v>855</v>
      </c>
      <c r="K294" s="5" t="s">
        <v>856</v>
      </c>
      <c r="L294" s="5" t="s">
        <v>857</v>
      </c>
      <c r="M294" s="5"/>
      <c r="N294" s="5"/>
      <c r="O294" s="5"/>
    </row>
    <row r="295" spans="1:15" x14ac:dyDescent="0.3">
      <c r="A295" s="5" t="s">
        <v>510</v>
      </c>
      <c r="B295" s="5" t="s">
        <v>849</v>
      </c>
      <c r="C295" s="5" t="s">
        <v>765</v>
      </c>
      <c r="D295" s="5" t="s">
        <v>61</v>
      </c>
      <c r="E295" s="5" t="s">
        <v>154</v>
      </c>
      <c r="F295" s="14">
        <v>-1</v>
      </c>
      <c r="G295" s="5" t="s">
        <v>63</v>
      </c>
      <c r="H295" s="5"/>
      <c r="I295" s="5">
        <v>20</v>
      </c>
      <c r="J295" s="5" t="s">
        <v>1366</v>
      </c>
      <c r="K295" s="5" t="s">
        <v>1367</v>
      </c>
      <c r="L295" s="5" t="s">
        <v>858</v>
      </c>
      <c r="M295" s="5"/>
      <c r="N295" s="5"/>
      <c r="O295" s="5" t="s">
        <v>377</v>
      </c>
    </row>
    <row r="296" spans="1:15" x14ac:dyDescent="0.3">
      <c r="A296" s="5" t="s">
        <v>510</v>
      </c>
      <c r="B296" s="5" t="s">
        <v>849</v>
      </c>
      <c r="C296" s="5" t="s">
        <v>765</v>
      </c>
      <c r="D296" s="5" t="s">
        <v>61</v>
      </c>
      <c r="E296" s="5" t="s">
        <v>154</v>
      </c>
      <c r="F296" s="14">
        <v>-1</v>
      </c>
      <c r="G296" s="5" t="s">
        <v>72</v>
      </c>
      <c r="H296" s="5" t="s">
        <v>73</v>
      </c>
      <c r="I296" s="5"/>
      <c r="J296" s="5" t="s">
        <v>859</v>
      </c>
      <c r="K296" s="5" t="s">
        <v>738</v>
      </c>
      <c r="L296" s="5" t="s">
        <v>860</v>
      </c>
      <c r="M296" s="5"/>
      <c r="N296" s="5"/>
      <c r="O296" s="5" t="s">
        <v>695</v>
      </c>
    </row>
    <row r="297" spans="1:15" x14ac:dyDescent="0.3">
      <c r="A297" s="5" t="s">
        <v>510</v>
      </c>
      <c r="B297" s="5" t="s">
        <v>849</v>
      </c>
      <c r="C297" s="5" t="s">
        <v>765</v>
      </c>
      <c r="D297" s="5" t="s">
        <v>61</v>
      </c>
      <c r="E297" s="5" t="s">
        <v>154</v>
      </c>
      <c r="F297" s="14">
        <v>-1</v>
      </c>
      <c r="G297" s="5" t="s">
        <v>72</v>
      </c>
      <c r="H297" s="5" t="s">
        <v>77</v>
      </c>
      <c r="I297" s="5"/>
      <c r="J297" s="5" t="s">
        <v>859</v>
      </c>
      <c r="K297" s="5" t="s">
        <v>1401</v>
      </c>
      <c r="L297" s="5" t="s">
        <v>1402</v>
      </c>
      <c r="M297" s="5"/>
      <c r="N297" s="5"/>
      <c r="O297" s="5" t="s">
        <v>695</v>
      </c>
    </row>
    <row r="298" spans="1:15" x14ac:dyDescent="0.3">
      <c r="A298" s="5" t="s">
        <v>510</v>
      </c>
      <c r="B298" s="5" t="s">
        <v>861</v>
      </c>
      <c r="C298" s="5" t="s">
        <v>862</v>
      </c>
      <c r="D298" s="5" t="s">
        <v>61</v>
      </c>
      <c r="E298" s="5" t="s">
        <v>154</v>
      </c>
      <c r="F298" s="14">
        <v>-1</v>
      </c>
      <c r="G298" s="5" t="s">
        <v>63</v>
      </c>
      <c r="H298" s="5"/>
      <c r="I298" s="5">
        <v>10</v>
      </c>
      <c r="J298" s="5" t="s">
        <v>1425</v>
      </c>
      <c r="K298" s="5" t="s">
        <v>1426</v>
      </c>
      <c r="L298" s="5" t="s">
        <v>1427</v>
      </c>
      <c r="M298" s="5"/>
      <c r="N298" s="5"/>
      <c r="O298" s="5"/>
    </row>
    <row r="299" spans="1:15" x14ac:dyDescent="0.3">
      <c r="A299" s="5" t="s">
        <v>510</v>
      </c>
      <c r="B299" s="5" t="s">
        <v>861</v>
      </c>
      <c r="C299" s="5" t="s">
        <v>862</v>
      </c>
      <c r="D299" s="5" t="s">
        <v>61</v>
      </c>
      <c r="E299" s="5" t="s">
        <v>154</v>
      </c>
      <c r="F299" s="14">
        <v>-1</v>
      </c>
      <c r="G299" s="5" t="s">
        <v>63</v>
      </c>
      <c r="H299" s="5"/>
      <c r="I299" s="5">
        <v>25</v>
      </c>
      <c r="J299" s="5" t="s">
        <v>1364</v>
      </c>
      <c r="K299" s="5" t="s">
        <v>863</v>
      </c>
      <c r="L299" s="5" t="s">
        <v>864</v>
      </c>
      <c r="M299" s="5"/>
      <c r="N299" s="5"/>
      <c r="O299" s="5"/>
    </row>
    <row r="300" spans="1:15" x14ac:dyDescent="0.3">
      <c r="A300" s="5" t="s">
        <v>510</v>
      </c>
      <c r="B300" s="5" t="s">
        <v>861</v>
      </c>
      <c r="C300" s="5" t="s">
        <v>862</v>
      </c>
      <c r="D300" s="5" t="s">
        <v>61</v>
      </c>
      <c r="E300" s="5" t="s">
        <v>154</v>
      </c>
      <c r="F300" s="14">
        <v>-1</v>
      </c>
      <c r="G300" s="5" t="s">
        <v>63</v>
      </c>
      <c r="H300" s="5"/>
      <c r="I300" s="5">
        <v>20</v>
      </c>
      <c r="J300" s="5" t="s">
        <v>362</v>
      </c>
      <c r="K300" s="5" t="s">
        <v>865</v>
      </c>
      <c r="L300" s="5" t="s">
        <v>866</v>
      </c>
      <c r="M300" s="5"/>
      <c r="N300" s="5"/>
      <c r="O300" s="5"/>
    </row>
    <row r="301" spans="1:15" x14ac:dyDescent="0.3">
      <c r="A301" s="5" t="s">
        <v>510</v>
      </c>
      <c r="B301" s="5" t="s">
        <v>861</v>
      </c>
      <c r="C301" s="5" t="s">
        <v>862</v>
      </c>
      <c r="D301" s="5" t="s">
        <v>61</v>
      </c>
      <c r="E301" s="5" t="s">
        <v>154</v>
      </c>
      <c r="F301" s="14">
        <v>-1</v>
      </c>
      <c r="G301" s="5" t="s">
        <v>63</v>
      </c>
      <c r="H301" s="5"/>
      <c r="I301" s="5">
        <v>25</v>
      </c>
      <c r="J301" s="5" t="s">
        <v>1424</v>
      </c>
      <c r="K301" s="5" t="s">
        <v>867</v>
      </c>
      <c r="L301" s="5" t="s">
        <v>868</v>
      </c>
      <c r="M301" s="5"/>
      <c r="N301" s="5"/>
      <c r="O301" s="5"/>
    </row>
    <row r="302" spans="1:15" x14ac:dyDescent="0.3">
      <c r="A302" s="5" t="s">
        <v>510</v>
      </c>
      <c r="B302" s="5" t="s">
        <v>861</v>
      </c>
      <c r="C302" s="5" t="s">
        <v>862</v>
      </c>
      <c r="D302" s="5" t="s">
        <v>61</v>
      </c>
      <c r="E302" s="5" t="s">
        <v>154</v>
      </c>
      <c r="F302" s="14">
        <v>-1</v>
      </c>
      <c r="G302" s="5" t="s">
        <v>63</v>
      </c>
      <c r="H302" s="5"/>
      <c r="I302" s="5">
        <v>20</v>
      </c>
      <c r="J302" s="5" t="s">
        <v>1362</v>
      </c>
      <c r="K302" s="5" t="s">
        <v>869</v>
      </c>
      <c r="L302" s="5" t="s">
        <v>870</v>
      </c>
      <c r="M302" s="5"/>
      <c r="N302" s="5"/>
      <c r="O302" s="5" t="s">
        <v>377</v>
      </c>
    </row>
    <row r="303" spans="1:15" x14ac:dyDescent="0.3">
      <c r="A303" s="5" t="s">
        <v>510</v>
      </c>
      <c r="B303" s="5" t="s">
        <v>861</v>
      </c>
      <c r="C303" s="5" t="s">
        <v>862</v>
      </c>
      <c r="D303" s="5" t="s">
        <v>61</v>
      </c>
      <c r="E303" s="5" t="s">
        <v>154</v>
      </c>
      <c r="F303" s="14">
        <v>-1</v>
      </c>
      <c r="G303" s="5" t="s">
        <v>72</v>
      </c>
      <c r="H303" s="5" t="s">
        <v>73</v>
      </c>
      <c r="I303" s="5"/>
      <c r="J303" s="5" t="s">
        <v>1421</v>
      </c>
      <c r="K303" s="5" t="s">
        <v>1422</v>
      </c>
      <c r="L303" s="5" t="s">
        <v>1428</v>
      </c>
      <c r="M303" s="5"/>
      <c r="N303" s="5"/>
      <c r="O303" s="5" t="s">
        <v>1423</v>
      </c>
    </row>
    <row r="304" spans="1:15" x14ac:dyDescent="0.3">
      <c r="A304" s="5" t="s">
        <v>510</v>
      </c>
      <c r="B304" s="5" t="s">
        <v>861</v>
      </c>
      <c r="C304" s="5" t="s">
        <v>862</v>
      </c>
      <c r="D304" s="5" t="s">
        <v>61</v>
      </c>
      <c r="E304" s="5" t="s">
        <v>154</v>
      </c>
      <c r="F304" s="14">
        <v>-1</v>
      </c>
      <c r="G304" s="5" t="s">
        <v>72</v>
      </c>
      <c r="H304" s="5" t="s">
        <v>77</v>
      </c>
      <c r="I304" s="5"/>
      <c r="J304" s="5" t="s">
        <v>1421</v>
      </c>
      <c r="K304" s="5" t="s">
        <v>1422</v>
      </c>
      <c r="L304" s="5" t="s">
        <v>1428</v>
      </c>
      <c r="M304" s="5"/>
      <c r="N304" s="5"/>
      <c r="O304" s="5" t="s">
        <v>1423</v>
      </c>
    </row>
    <row r="305" spans="1:15" x14ac:dyDescent="0.3">
      <c r="A305" s="5" t="s">
        <v>510</v>
      </c>
      <c r="B305" s="5" t="s">
        <v>872</v>
      </c>
      <c r="C305" s="5" t="s">
        <v>765</v>
      </c>
      <c r="D305" s="5" t="s">
        <v>61</v>
      </c>
      <c r="E305" s="5" t="s">
        <v>154</v>
      </c>
      <c r="F305" s="14">
        <v>-1</v>
      </c>
      <c r="G305" s="5" t="s">
        <v>63</v>
      </c>
      <c r="H305" s="5"/>
      <c r="I305" s="5">
        <v>20</v>
      </c>
      <c r="J305" s="5" t="s">
        <v>660</v>
      </c>
      <c r="K305" s="5" t="s">
        <v>873</v>
      </c>
      <c r="L305" s="5" t="s">
        <v>874</v>
      </c>
      <c r="M305" s="5"/>
      <c r="N305" s="5"/>
      <c r="O305" s="5"/>
    </row>
    <row r="306" spans="1:15" x14ac:dyDescent="0.3">
      <c r="A306" s="5" t="s">
        <v>510</v>
      </c>
      <c r="B306" s="5" t="s">
        <v>872</v>
      </c>
      <c r="C306" s="5" t="s">
        <v>765</v>
      </c>
      <c r="D306" s="5" t="s">
        <v>61</v>
      </c>
      <c r="E306" s="5" t="s">
        <v>154</v>
      </c>
      <c r="F306" s="14">
        <v>-1</v>
      </c>
      <c r="G306" s="5" t="s">
        <v>63</v>
      </c>
      <c r="H306" s="5"/>
      <c r="I306" s="5">
        <v>20</v>
      </c>
      <c r="J306" s="5" t="s">
        <v>1363</v>
      </c>
      <c r="K306" s="5" t="s">
        <v>875</v>
      </c>
      <c r="L306" s="5" t="s">
        <v>876</v>
      </c>
      <c r="M306" s="5"/>
      <c r="N306" s="5"/>
      <c r="O306" s="5"/>
    </row>
    <row r="307" spans="1:15" x14ac:dyDescent="0.3">
      <c r="A307" s="5" t="s">
        <v>510</v>
      </c>
      <c r="B307" s="5" t="s">
        <v>872</v>
      </c>
      <c r="C307" s="5" t="s">
        <v>765</v>
      </c>
      <c r="D307" s="5" t="s">
        <v>61</v>
      </c>
      <c r="E307" s="5" t="s">
        <v>154</v>
      </c>
      <c r="F307" s="14">
        <v>-1</v>
      </c>
      <c r="G307" s="5" t="s">
        <v>63</v>
      </c>
      <c r="H307" s="5"/>
      <c r="I307" s="5">
        <v>20</v>
      </c>
      <c r="J307" s="5" t="s">
        <v>362</v>
      </c>
      <c r="K307" s="5" t="s">
        <v>877</v>
      </c>
      <c r="L307" s="5" t="s">
        <v>878</v>
      </c>
      <c r="M307" s="5"/>
      <c r="N307" s="5"/>
      <c r="O307" s="5"/>
    </row>
    <row r="308" spans="1:15" x14ac:dyDescent="0.3">
      <c r="A308" s="5" t="s">
        <v>510</v>
      </c>
      <c r="B308" s="5" t="s">
        <v>872</v>
      </c>
      <c r="C308" s="5" t="s">
        <v>765</v>
      </c>
      <c r="D308" s="5" t="s">
        <v>61</v>
      </c>
      <c r="E308" s="5" t="s">
        <v>154</v>
      </c>
      <c r="F308" s="14">
        <v>-1</v>
      </c>
      <c r="G308" s="5" t="s">
        <v>63</v>
      </c>
      <c r="H308" s="5"/>
      <c r="I308" s="5">
        <v>20</v>
      </c>
      <c r="J308" s="5" t="s">
        <v>879</v>
      </c>
      <c r="K308" s="5" t="s">
        <v>880</v>
      </c>
      <c r="L308" s="5" t="s">
        <v>881</v>
      </c>
      <c r="M308" s="5"/>
      <c r="N308" s="5"/>
      <c r="O308" s="5"/>
    </row>
    <row r="309" spans="1:15" x14ac:dyDescent="0.3">
      <c r="A309" s="5" t="s">
        <v>510</v>
      </c>
      <c r="B309" s="5" t="s">
        <v>872</v>
      </c>
      <c r="C309" s="5" t="s">
        <v>765</v>
      </c>
      <c r="D309" s="5" t="s">
        <v>61</v>
      </c>
      <c r="E309" s="5" t="s">
        <v>154</v>
      </c>
      <c r="F309" s="14">
        <v>-1</v>
      </c>
      <c r="G309" s="5" t="s">
        <v>63</v>
      </c>
      <c r="H309" s="5"/>
      <c r="I309" s="5">
        <v>20</v>
      </c>
      <c r="J309" s="5" t="s">
        <v>726</v>
      </c>
      <c r="K309" s="5" t="s">
        <v>882</v>
      </c>
      <c r="L309" s="5" t="s">
        <v>883</v>
      </c>
      <c r="M309" s="5"/>
      <c r="N309" s="5"/>
      <c r="O309" s="5" t="s">
        <v>377</v>
      </c>
    </row>
    <row r="310" spans="1:15" x14ac:dyDescent="0.3">
      <c r="A310" s="5" t="s">
        <v>510</v>
      </c>
      <c r="B310" s="5" t="s">
        <v>872</v>
      </c>
      <c r="C310" s="5" t="s">
        <v>765</v>
      </c>
      <c r="D310" s="5" t="s">
        <v>61</v>
      </c>
      <c r="E310" s="5" t="s">
        <v>154</v>
      </c>
      <c r="F310" s="14">
        <v>-1</v>
      </c>
      <c r="G310" s="5" t="s">
        <v>72</v>
      </c>
      <c r="H310" s="5" t="s">
        <v>73</v>
      </c>
      <c r="I310" s="5"/>
      <c r="J310" s="5" t="s">
        <v>884</v>
      </c>
      <c r="K310" s="5" t="s">
        <v>885</v>
      </c>
      <c r="L310" s="5" t="s">
        <v>886</v>
      </c>
      <c r="M310" s="5"/>
      <c r="N310" s="5"/>
      <c r="O310" s="5" t="s">
        <v>871</v>
      </c>
    </row>
    <row r="311" spans="1:15" x14ac:dyDescent="0.3">
      <c r="A311" s="5" t="s">
        <v>510</v>
      </c>
      <c r="B311" s="5" t="s">
        <v>872</v>
      </c>
      <c r="C311" s="5" t="s">
        <v>765</v>
      </c>
      <c r="D311" s="5" t="s">
        <v>61</v>
      </c>
      <c r="E311" s="5" t="s">
        <v>154</v>
      </c>
      <c r="F311" s="14">
        <v>-1</v>
      </c>
      <c r="G311" s="5" t="s">
        <v>72</v>
      </c>
      <c r="H311" s="5" t="s">
        <v>77</v>
      </c>
      <c r="I311" s="5"/>
      <c r="J311" s="5" t="s">
        <v>884</v>
      </c>
      <c r="K311" s="5" t="s">
        <v>887</v>
      </c>
      <c r="L311" s="5" t="s">
        <v>888</v>
      </c>
      <c r="M311" s="5"/>
      <c r="N311" s="5"/>
      <c r="O311" s="5" t="s">
        <v>871</v>
      </c>
    </row>
    <row r="312" spans="1:15" x14ac:dyDescent="0.3">
      <c r="A312" s="5" t="s">
        <v>510</v>
      </c>
      <c r="B312" s="5" t="s">
        <v>889</v>
      </c>
      <c r="C312" s="5" t="s">
        <v>765</v>
      </c>
      <c r="D312" s="5" t="s">
        <v>61</v>
      </c>
      <c r="E312" s="5" t="s">
        <v>154</v>
      </c>
      <c r="F312" s="14">
        <v>-1</v>
      </c>
      <c r="G312" s="5" t="s">
        <v>63</v>
      </c>
      <c r="H312" s="5"/>
      <c r="I312" s="5">
        <v>20</v>
      </c>
      <c r="J312" s="5" t="s">
        <v>660</v>
      </c>
      <c r="K312" s="5" t="s">
        <v>890</v>
      </c>
      <c r="L312" s="5" t="s">
        <v>891</v>
      </c>
      <c r="M312" s="5"/>
      <c r="N312" s="5"/>
      <c r="O312" s="5"/>
    </row>
    <row r="313" spans="1:15" x14ac:dyDescent="0.3">
      <c r="A313" s="5" t="s">
        <v>510</v>
      </c>
      <c r="B313" s="5" t="s">
        <v>889</v>
      </c>
      <c r="C313" s="5" t="s">
        <v>765</v>
      </c>
      <c r="D313" s="5" t="s">
        <v>61</v>
      </c>
      <c r="E313" s="5" t="s">
        <v>154</v>
      </c>
      <c r="F313" s="14">
        <v>-1</v>
      </c>
      <c r="G313" s="5" t="s">
        <v>63</v>
      </c>
      <c r="H313" s="5"/>
      <c r="I313" s="5">
        <v>20</v>
      </c>
      <c r="J313" s="5" t="s">
        <v>365</v>
      </c>
      <c r="K313" s="5" t="s">
        <v>892</v>
      </c>
      <c r="L313" s="5" t="s">
        <v>893</v>
      </c>
      <c r="M313" s="5"/>
      <c r="N313" s="5"/>
      <c r="O313" s="5"/>
    </row>
    <row r="314" spans="1:15" x14ac:dyDescent="0.3">
      <c r="A314" s="5" t="s">
        <v>510</v>
      </c>
      <c r="B314" s="5" t="s">
        <v>889</v>
      </c>
      <c r="C314" s="5" t="s">
        <v>765</v>
      </c>
      <c r="D314" s="5" t="s">
        <v>61</v>
      </c>
      <c r="E314" s="5" t="s">
        <v>154</v>
      </c>
      <c r="F314" s="14">
        <v>-1</v>
      </c>
      <c r="G314" s="5" t="s">
        <v>63</v>
      </c>
      <c r="H314" s="5"/>
      <c r="I314" s="5">
        <v>20</v>
      </c>
      <c r="J314" s="5" t="s">
        <v>362</v>
      </c>
      <c r="K314" s="5" t="s">
        <v>894</v>
      </c>
      <c r="L314" s="5" t="s">
        <v>895</v>
      </c>
      <c r="M314" s="5"/>
      <c r="N314" s="5"/>
      <c r="O314" s="5"/>
    </row>
    <row r="315" spans="1:15" x14ac:dyDescent="0.3">
      <c r="A315" s="5" t="s">
        <v>510</v>
      </c>
      <c r="B315" s="5" t="s">
        <v>889</v>
      </c>
      <c r="C315" s="5" t="s">
        <v>765</v>
      </c>
      <c r="D315" s="5" t="s">
        <v>61</v>
      </c>
      <c r="E315" s="5" t="s">
        <v>154</v>
      </c>
      <c r="F315" s="14">
        <v>-1</v>
      </c>
      <c r="G315" s="5" t="s">
        <v>63</v>
      </c>
      <c r="H315" s="5"/>
      <c r="I315" s="5">
        <v>20</v>
      </c>
      <c r="J315" s="5" t="s">
        <v>842</v>
      </c>
      <c r="K315" s="5" t="s">
        <v>896</v>
      </c>
      <c r="L315" s="5" t="s">
        <v>897</v>
      </c>
      <c r="M315" s="5"/>
      <c r="N315" s="5"/>
      <c r="O315" s="5"/>
    </row>
    <row r="316" spans="1:15" x14ac:dyDescent="0.3">
      <c r="A316" s="5" t="s">
        <v>510</v>
      </c>
      <c r="B316" s="5" t="s">
        <v>889</v>
      </c>
      <c r="C316" s="5" t="s">
        <v>765</v>
      </c>
      <c r="D316" s="5" t="s">
        <v>61</v>
      </c>
      <c r="E316" s="5" t="s">
        <v>154</v>
      </c>
      <c r="F316" s="14">
        <v>-1</v>
      </c>
      <c r="G316" s="5" t="s">
        <v>63</v>
      </c>
      <c r="H316" s="5"/>
      <c r="I316" s="5">
        <v>20</v>
      </c>
      <c r="J316" s="5" t="s">
        <v>898</v>
      </c>
      <c r="K316" s="5" t="s">
        <v>899</v>
      </c>
      <c r="L316" s="5" t="s">
        <v>900</v>
      </c>
      <c r="M316" s="5"/>
      <c r="N316" s="5"/>
      <c r="O316" s="5" t="s">
        <v>377</v>
      </c>
    </row>
    <row r="317" spans="1:15" x14ac:dyDescent="0.3">
      <c r="A317" s="5" t="s">
        <v>510</v>
      </c>
      <c r="B317" s="5" t="s">
        <v>889</v>
      </c>
      <c r="C317" s="5" t="s">
        <v>765</v>
      </c>
      <c r="D317" s="5" t="s">
        <v>61</v>
      </c>
      <c r="E317" s="5" t="s">
        <v>154</v>
      </c>
      <c r="F317" s="14">
        <v>-1</v>
      </c>
      <c r="G317" s="5" t="s">
        <v>72</v>
      </c>
      <c r="H317" s="5" t="s">
        <v>73</v>
      </c>
      <c r="I317" s="5"/>
      <c r="J317" s="5" t="s">
        <v>901</v>
      </c>
      <c r="K317" s="5" t="s">
        <v>902</v>
      </c>
      <c r="L317" s="5" t="s">
        <v>903</v>
      </c>
      <c r="M317" s="5"/>
      <c r="N317" s="5"/>
      <c r="O317" s="5" t="s">
        <v>904</v>
      </c>
    </row>
    <row r="318" spans="1:15" x14ac:dyDescent="0.3">
      <c r="A318" s="5" t="s">
        <v>510</v>
      </c>
      <c r="B318" s="5" t="s">
        <v>889</v>
      </c>
      <c r="C318" s="5" t="s">
        <v>765</v>
      </c>
      <c r="D318" s="5" t="s">
        <v>61</v>
      </c>
      <c r="E318" s="5" t="s">
        <v>154</v>
      </c>
      <c r="F318" s="14">
        <v>-1</v>
      </c>
      <c r="G318" s="5" t="s">
        <v>72</v>
      </c>
      <c r="H318" s="5" t="s">
        <v>77</v>
      </c>
      <c r="I318" s="5"/>
      <c r="J318" s="5" t="s">
        <v>901</v>
      </c>
      <c r="K318" s="5" t="s">
        <v>905</v>
      </c>
      <c r="L318" s="5" t="s">
        <v>906</v>
      </c>
      <c r="M318" s="5"/>
      <c r="N318" s="5"/>
      <c r="O318" s="5" t="s">
        <v>904</v>
      </c>
    </row>
    <row r="319" spans="1:15" x14ac:dyDescent="0.3">
      <c r="A319" s="5" t="s">
        <v>510</v>
      </c>
      <c r="B319" s="5" t="s">
        <v>907</v>
      </c>
      <c r="C319" s="5" t="s">
        <v>908</v>
      </c>
      <c r="D319" s="5" t="s">
        <v>61</v>
      </c>
      <c r="E319" s="5" t="s">
        <v>154</v>
      </c>
      <c r="F319" s="14">
        <v>-1</v>
      </c>
      <c r="G319" s="5" t="s">
        <v>63</v>
      </c>
      <c r="H319" s="5"/>
      <c r="I319" s="47">
        <v>20</v>
      </c>
      <c r="J319" s="5" t="s">
        <v>1339</v>
      </c>
      <c r="K319" s="5" t="s">
        <v>1340</v>
      </c>
      <c r="L319" s="5" t="s">
        <v>1341</v>
      </c>
      <c r="M319" s="5"/>
      <c r="N319" s="5"/>
      <c r="O319" s="5"/>
    </row>
    <row r="320" spans="1:15" x14ac:dyDescent="0.3">
      <c r="A320" s="5" t="s">
        <v>510</v>
      </c>
      <c r="B320" s="5" t="s">
        <v>907</v>
      </c>
      <c r="C320" s="5" t="s">
        <v>908</v>
      </c>
      <c r="D320" s="5" t="s">
        <v>61</v>
      </c>
      <c r="E320" s="5" t="s">
        <v>154</v>
      </c>
      <c r="F320" s="14">
        <v>-1</v>
      </c>
      <c r="G320" s="5" t="s">
        <v>63</v>
      </c>
      <c r="H320" s="5"/>
      <c r="I320" s="47">
        <v>20</v>
      </c>
      <c r="J320" s="5" t="s">
        <v>1343</v>
      </c>
      <c r="K320" s="5" t="s">
        <v>1342</v>
      </c>
      <c r="L320" s="5" t="s">
        <v>1344</v>
      </c>
      <c r="M320" s="5"/>
      <c r="N320" s="5"/>
      <c r="O320" s="5"/>
    </row>
    <row r="321" spans="1:15" x14ac:dyDescent="0.3">
      <c r="A321" s="5" t="s">
        <v>510</v>
      </c>
      <c r="B321" s="5" t="s">
        <v>907</v>
      </c>
      <c r="C321" s="5" t="s">
        <v>908</v>
      </c>
      <c r="D321" s="5" t="s">
        <v>61</v>
      </c>
      <c r="E321" s="5" t="s">
        <v>154</v>
      </c>
      <c r="F321" s="14">
        <v>-1</v>
      </c>
      <c r="G321" s="5" t="s">
        <v>63</v>
      </c>
      <c r="H321" s="5"/>
      <c r="I321" s="47">
        <v>20</v>
      </c>
      <c r="J321" s="5" t="s">
        <v>362</v>
      </c>
      <c r="K321" s="5" t="s">
        <v>1338</v>
      </c>
      <c r="L321" s="5" t="s">
        <v>1337</v>
      </c>
      <c r="M321" s="5"/>
      <c r="N321" s="5"/>
      <c r="O321" s="5"/>
    </row>
    <row r="322" spans="1:15" x14ac:dyDescent="0.3">
      <c r="A322" s="5" t="s">
        <v>510</v>
      </c>
      <c r="B322" s="5" t="s">
        <v>907</v>
      </c>
      <c r="C322" s="5" t="s">
        <v>908</v>
      </c>
      <c r="D322" s="5" t="s">
        <v>61</v>
      </c>
      <c r="E322" s="5" t="s">
        <v>154</v>
      </c>
      <c r="F322" s="14">
        <v>-1</v>
      </c>
      <c r="G322" s="5" t="s">
        <v>63</v>
      </c>
      <c r="H322" s="5"/>
      <c r="I322" s="47">
        <v>10</v>
      </c>
      <c r="J322" s="47" t="s">
        <v>1333</v>
      </c>
      <c r="K322" s="47" t="s">
        <v>1335</v>
      </c>
      <c r="L322" s="47" t="s">
        <v>1430</v>
      </c>
      <c r="M322" s="5"/>
      <c r="N322" s="5"/>
      <c r="O322" s="5" t="s">
        <v>732</v>
      </c>
    </row>
    <row r="323" spans="1:15" x14ac:dyDescent="0.3">
      <c r="A323" s="5" t="s">
        <v>510</v>
      </c>
      <c r="B323" s="5" t="s">
        <v>907</v>
      </c>
      <c r="C323" s="5" t="s">
        <v>908</v>
      </c>
      <c r="D323" s="5" t="s">
        <v>61</v>
      </c>
      <c r="E323" s="5" t="s">
        <v>154</v>
      </c>
      <c r="F323" s="14">
        <v>-1</v>
      </c>
      <c r="G323" s="5" t="s">
        <v>63</v>
      </c>
      <c r="H323" s="5"/>
      <c r="I323" s="47">
        <v>10</v>
      </c>
      <c r="J323" s="47" t="s">
        <v>1332</v>
      </c>
      <c r="K323" s="47" t="s">
        <v>1345</v>
      </c>
      <c r="L323" s="47" t="s">
        <v>1431</v>
      </c>
      <c r="M323" s="5"/>
      <c r="N323" s="5"/>
      <c r="O323" s="5" t="s">
        <v>732</v>
      </c>
    </row>
    <row r="324" spans="1:15" x14ac:dyDescent="0.3">
      <c r="A324" s="5" t="s">
        <v>510</v>
      </c>
      <c r="B324" s="5" t="s">
        <v>907</v>
      </c>
      <c r="C324" s="5" t="s">
        <v>908</v>
      </c>
      <c r="D324" s="5" t="s">
        <v>61</v>
      </c>
      <c r="E324" s="5" t="s">
        <v>154</v>
      </c>
      <c r="F324" s="14">
        <v>-1</v>
      </c>
      <c r="G324" s="5" t="s">
        <v>63</v>
      </c>
      <c r="H324" s="5"/>
      <c r="I324" s="47">
        <v>10</v>
      </c>
      <c r="J324" s="47" t="s">
        <v>1334</v>
      </c>
      <c r="K324" s="47" t="s">
        <v>1346</v>
      </c>
      <c r="L324" s="47" t="s">
        <v>1432</v>
      </c>
      <c r="M324" s="5"/>
      <c r="N324" s="5"/>
      <c r="O324" s="5" t="s">
        <v>732</v>
      </c>
    </row>
    <row r="325" spans="1:15" x14ac:dyDescent="0.3">
      <c r="A325" s="5" t="s">
        <v>510</v>
      </c>
      <c r="B325" s="5" t="s">
        <v>907</v>
      </c>
      <c r="C325" s="5" t="s">
        <v>908</v>
      </c>
      <c r="D325" s="5" t="s">
        <v>61</v>
      </c>
      <c r="E325" s="5" t="s">
        <v>154</v>
      </c>
      <c r="F325" s="14">
        <v>-1</v>
      </c>
      <c r="G325" s="5" t="s">
        <v>63</v>
      </c>
      <c r="H325" s="5"/>
      <c r="I325" s="47">
        <v>10</v>
      </c>
      <c r="J325" s="47" t="s">
        <v>1336</v>
      </c>
      <c r="K325" s="47" t="s">
        <v>1353</v>
      </c>
      <c r="L325" s="47" t="s">
        <v>1433</v>
      </c>
      <c r="M325" s="5"/>
      <c r="N325" s="5"/>
      <c r="O325" s="5" t="s">
        <v>732</v>
      </c>
    </row>
    <row r="326" spans="1:15" x14ac:dyDescent="0.3">
      <c r="A326" s="5" t="s">
        <v>510</v>
      </c>
      <c r="B326" s="5" t="s">
        <v>909</v>
      </c>
      <c r="C326" s="5" t="s">
        <v>910</v>
      </c>
      <c r="D326" s="5" t="s">
        <v>61</v>
      </c>
      <c r="E326" s="5" t="s">
        <v>154</v>
      </c>
      <c r="F326" s="14">
        <v>-1</v>
      </c>
      <c r="G326" s="5" t="s">
        <v>63</v>
      </c>
      <c r="H326" s="5"/>
      <c r="I326" s="5">
        <v>10</v>
      </c>
      <c r="J326" s="47" t="s">
        <v>1349</v>
      </c>
      <c r="K326" s="47" t="s">
        <v>1347</v>
      </c>
      <c r="L326" s="47" t="s">
        <v>1348</v>
      </c>
      <c r="M326" s="5"/>
      <c r="N326" s="5"/>
      <c r="O326" s="5"/>
    </row>
    <row r="327" spans="1:15" x14ac:dyDescent="0.3">
      <c r="A327" s="5" t="s">
        <v>510</v>
      </c>
      <c r="B327" s="5" t="s">
        <v>909</v>
      </c>
      <c r="C327" s="5" t="s">
        <v>910</v>
      </c>
      <c r="D327" s="5" t="s">
        <v>61</v>
      </c>
      <c r="E327" s="5" t="s">
        <v>154</v>
      </c>
      <c r="F327" s="14">
        <v>-1</v>
      </c>
      <c r="G327" s="5" t="s">
        <v>63</v>
      </c>
      <c r="H327" s="5"/>
      <c r="I327" s="5">
        <v>15</v>
      </c>
      <c r="J327" s="47" t="s">
        <v>1350</v>
      </c>
      <c r="K327" s="47" t="s">
        <v>1351</v>
      </c>
      <c r="L327" s="47" t="s">
        <v>1352</v>
      </c>
      <c r="M327" s="5"/>
      <c r="N327" s="5"/>
      <c r="O327" s="5"/>
    </row>
    <row r="328" spans="1:15" x14ac:dyDescent="0.3">
      <c r="A328" s="5" t="s">
        <v>510</v>
      </c>
      <c r="B328" s="5" t="s">
        <v>909</v>
      </c>
      <c r="C328" s="5" t="s">
        <v>910</v>
      </c>
      <c r="D328" s="5" t="s">
        <v>61</v>
      </c>
      <c r="E328" s="5" t="s">
        <v>154</v>
      </c>
      <c r="F328" s="14">
        <v>-1</v>
      </c>
      <c r="G328" s="5" t="s">
        <v>63</v>
      </c>
      <c r="H328" s="5"/>
      <c r="I328" s="5">
        <v>10</v>
      </c>
      <c r="J328" s="5" t="s">
        <v>362</v>
      </c>
      <c r="K328" s="5" t="s">
        <v>911</v>
      </c>
      <c r="L328" s="5" t="s">
        <v>912</v>
      </c>
      <c r="M328" s="5"/>
      <c r="N328" s="5"/>
      <c r="O328" s="5"/>
    </row>
    <row r="329" spans="1:15" x14ac:dyDescent="0.3">
      <c r="A329" s="5" t="s">
        <v>510</v>
      </c>
      <c r="B329" s="5" t="s">
        <v>909</v>
      </c>
      <c r="C329" s="5" t="s">
        <v>910</v>
      </c>
      <c r="D329" s="5" t="s">
        <v>61</v>
      </c>
      <c r="E329" s="5" t="s">
        <v>154</v>
      </c>
      <c r="F329" s="14">
        <v>-1</v>
      </c>
      <c r="G329" s="5" t="s">
        <v>63</v>
      </c>
      <c r="H329" s="5"/>
      <c r="I329" s="5">
        <v>20</v>
      </c>
      <c r="J329" s="47" t="s">
        <v>1358</v>
      </c>
      <c r="K329" s="47" t="s">
        <v>1328</v>
      </c>
      <c r="L329" s="47" t="s">
        <v>1329</v>
      </c>
      <c r="M329" s="5"/>
      <c r="N329" s="5"/>
      <c r="O329" s="5"/>
    </row>
    <row r="330" spans="1:15" x14ac:dyDescent="0.3">
      <c r="A330" s="5" t="s">
        <v>510</v>
      </c>
      <c r="B330" s="5" t="s">
        <v>909</v>
      </c>
      <c r="C330" s="5" t="s">
        <v>910</v>
      </c>
      <c r="D330" s="5" t="s">
        <v>61</v>
      </c>
      <c r="E330" s="5" t="s">
        <v>154</v>
      </c>
      <c r="F330" s="14">
        <v>-1</v>
      </c>
      <c r="G330" s="5" t="s">
        <v>63</v>
      </c>
      <c r="H330" s="5"/>
      <c r="I330" s="5">
        <v>20</v>
      </c>
      <c r="J330" s="47" t="s">
        <v>1327</v>
      </c>
      <c r="K330" s="47" t="s">
        <v>1359</v>
      </c>
      <c r="L330" s="47" t="s">
        <v>1360</v>
      </c>
      <c r="M330" s="5"/>
      <c r="N330" s="5"/>
      <c r="O330" s="5"/>
    </row>
    <row r="331" spans="1:15" x14ac:dyDescent="0.3">
      <c r="A331" s="5" t="s">
        <v>510</v>
      </c>
      <c r="B331" s="5" t="s">
        <v>909</v>
      </c>
      <c r="C331" s="5" t="s">
        <v>910</v>
      </c>
      <c r="D331" s="5" t="s">
        <v>61</v>
      </c>
      <c r="E331" s="5" t="s">
        <v>154</v>
      </c>
      <c r="F331" s="14">
        <v>-1</v>
      </c>
      <c r="G331" s="5" t="s">
        <v>63</v>
      </c>
      <c r="H331" s="5"/>
      <c r="I331" s="10">
        <v>20</v>
      </c>
      <c r="J331" s="47" t="s">
        <v>1357</v>
      </c>
      <c r="K331" s="47" t="s">
        <v>1355</v>
      </c>
      <c r="L331" s="47" t="s">
        <v>1356</v>
      </c>
      <c r="M331" s="5"/>
      <c r="N331" s="5"/>
      <c r="O331" s="5"/>
    </row>
    <row r="332" spans="1:15" x14ac:dyDescent="0.3">
      <c r="A332" s="5" t="s">
        <v>510</v>
      </c>
      <c r="B332" s="5" t="s">
        <v>909</v>
      </c>
      <c r="C332" s="5" t="s">
        <v>910</v>
      </c>
      <c r="D332" s="5" t="s">
        <v>61</v>
      </c>
      <c r="E332" s="5" t="s">
        <v>154</v>
      </c>
      <c r="F332" s="14">
        <v>-1</v>
      </c>
      <c r="G332" s="5" t="s">
        <v>63</v>
      </c>
      <c r="H332" s="5"/>
      <c r="I332" s="10">
        <v>10</v>
      </c>
      <c r="J332" s="5" t="s">
        <v>913</v>
      </c>
      <c r="K332" s="47" t="s">
        <v>1330</v>
      </c>
      <c r="L332" s="47" t="s">
        <v>1331</v>
      </c>
      <c r="M332" s="5"/>
      <c r="N332" s="5"/>
      <c r="O332" s="5"/>
    </row>
    <row r="333" spans="1:15" x14ac:dyDescent="0.3">
      <c r="A333" s="5" t="s">
        <v>510</v>
      </c>
      <c r="B333" s="5" t="s">
        <v>909</v>
      </c>
      <c r="C333" s="5" t="s">
        <v>910</v>
      </c>
      <c r="D333" s="5" t="s">
        <v>61</v>
      </c>
      <c r="E333" s="5" t="s">
        <v>154</v>
      </c>
      <c r="F333" s="14">
        <v>3</v>
      </c>
      <c r="G333" s="5" t="s">
        <v>63</v>
      </c>
      <c r="H333" s="5"/>
      <c r="I333" s="10">
        <v>5</v>
      </c>
      <c r="J333" s="5" t="s">
        <v>1322</v>
      </c>
      <c r="K333" s="5" t="s">
        <v>1323</v>
      </c>
      <c r="L333" s="5" t="s">
        <v>1324</v>
      </c>
      <c r="M333" s="5"/>
      <c r="N333" s="5"/>
      <c r="O333" s="5" t="s">
        <v>377</v>
      </c>
    </row>
    <row r="334" spans="1:15" x14ac:dyDescent="0.3">
      <c r="A334" s="5" t="s">
        <v>510</v>
      </c>
      <c r="B334" s="5" t="s">
        <v>909</v>
      </c>
      <c r="C334" s="5" t="s">
        <v>910</v>
      </c>
      <c r="D334" s="5" t="s">
        <v>61</v>
      </c>
      <c r="E334" s="5" t="s">
        <v>154</v>
      </c>
      <c r="F334" s="14">
        <v>3</v>
      </c>
      <c r="G334" s="5" t="s">
        <v>63</v>
      </c>
      <c r="H334" s="5"/>
      <c r="I334" s="10">
        <v>5</v>
      </c>
      <c r="J334" s="5" t="s">
        <v>1321</v>
      </c>
      <c r="K334" s="5" t="s">
        <v>914</v>
      </c>
      <c r="L334" s="5" t="s">
        <v>915</v>
      </c>
      <c r="M334" s="5"/>
      <c r="N334" s="5"/>
      <c r="O334" s="5" t="s">
        <v>377</v>
      </c>
    </row>
    <row r="335" spans="1:15" x14ac:dyDescent="0.3">
      <c r="A335" s="5" t="s">
        <v>510</v>
      </c>
      <c r="B335" s="5" t="s">
        <v>909</v>
      </c>
      <c r="C335" s="5" t="s">
        <v>910</v>
      </c>
      <c r="D335" s="5" t="s">
        <v>61</v>
      </c>
      <c r="E335" s="5" t="s">
        <v>154</v>
      </c>
      <c r="F335" s="14">
        <v>3</v>
      </c>
      <c r="G335" s="5" t="s">
        <v>63</v>
      </c>
      <c r="H335" s="5"/>
      <c r="I335" s="10">
        <v>5</v>
      </c>
      <c r="J335" s="5" t="s">
        <v>1320</v>
      </c>
      <c r="K335" s="5" t="s">
        <v>914</v>
      </c>
      <c r="L335" s="5" t="s">
        <v>915</v>
      </c>
      <c r="M335" s="5"/>
      <c r="N335" s="5"/>
      <c r="O335" s="5" t="s">
        <v>377</v>
      </c>
    </row>
    <row r="336" spans="1:15" x14ac:dyDescent="0.3">
      <c r="A336" s="5" t="s">
        <v>510</v>
      </c>
      <c r="B336" s="5" t="s">
        <v>909</v>
      </c>
      <c r="C336" s="5" t="s">
        <v>910</v>
      </c>
      <c r="D336" s="5" t="s">
        <v>61</v>
      </c>
      <c r="E336" s="5" t="s">
        <v>154</v>
      </c>
      <c r="F336" s="14">
        <v>2</v>
      </c>
      <c r="G336" s="5" t="s">
        <v>72</v>
      </c>
      <c r="H336" s="5" t="s">
        <v>73</v>
      </c>
      <c r="I336" s="5"/>
      <c r="J336" s="47" t="s">
        <v>1311</v>
      </c>
      <c r="K336" s="47" t="s">
        <v>1317</v>
      </c>
      <c r="L336" s="47" t="s">
        <v>1313</v>
      </c>
      <c r="M336" s="5"/>
      <c r="N336" s="5"/>
      <c r="O336" s="47" t="s">
        <v>1325</v>
      </c>
    </row>
    <row r="337" spans="1:15" x14ac:dyDescent="0.3">
      <c r="A337" s="5" t="s">
        <v>510</v>
      </c>
      <c r="B337" s="5" t="s">
        <v>909</v>
      </c>
      <c r="C337" s="5" t="s">
        <v>910</v>
      </c>
      <c r="D337" s="5" t="s">
        <v>61</v>
      </c>
      <c r="E337" s="5" t="s">
        <v>154</v>
      </c>
      <c r="F337" s="14">
        <v>2</v>
      </c>
      <c r="G337" s="5" t="s">
        <v>72</v>
      </c>
      <c r="H337" s="5" t="s">
        <v>77</v>
      </c>
      <c r="I337" s="5"/>
      <c r="J337" s="47" t="s">
        <v>1311</v>
      </c>
      <c r="K337" s="5" t="s">
        <v>916</v>
      </c>
      <c r="L337" s="5" t="s">
        <v>917</v>
      </c>
      <c r="M337" s="5"/>
      <c r="N337" s="5"/>
      <c r="O337" s="47" t="s">
        <v>1325</v>
      </c>
    </row>
    <row r="338" spans="1:15" x14ac:dyDescent="0.3">
      <c r="A338" s="5" t="s">
        <v>510</v>
      </c>
      <c r="B338" s="5" t="s">
        <v>909</v>
      </c>
      <c r="C338" s="5" t="s">
        <v>910</v>
      </c>
      <c r="D338" s="5" t="s">
        <v>61</v>
      </c>
      <c r="E338" s="5" t="s">
        <v>154</v>
      </c>
      <c r="F338" s="14">
        <v>2</v>
      </c>
      <c r="G338" s="5" t="s">
        <v>72</v>
      </c>
      <c r="H338" s="5" t="s">
        <v>73</v>
      </c>
      <c r="I338" s="5"/>
      <c r="J338" s="47" t="s">
        <v>1315</v>
      </c>
      <c r="K338" s="47" t="s">
        <v>1318</v>
      </c>
      <c r="L338" s="47" t="s">
        <v>1316</v>
      </c>
      <c r="M338" s="5"/>
      <c r="N338" s="5"/>
      <c r="O338" s="47" t="s">
        <v>1326</v>
      </c>
    </row>
    <row r="339" spans="1:15" x14ac:dyDescent="0.3">
      <c r="A339" s="5" t="s">
        <v>510</v>
      </c>
      <c r="B339" s="5" t="s">
        <v>909</v>
      </c>
      <c r="C339" s="5" t="s">
        <v>910</v>
      </c>
      <c r="D339" s="5" t="s">
        <v>61</v>
      </c>
      <c r="E339" s="5" t="s">
        <v>154</v>
      </c>
      <c r="F339" s="14">
        <v>2</v>
      </c>
      <c r="G339" s="5" t="s">
        <v>72</v>
      </c>
      <c r="H339" s="5" t="s">
        <v>77</v>
      </c>
      <c r="I339" s="5"/>
      <c r="J339" s="47" t="s">
        <v>1315</v>
      </c>
      <c r="K339" s="5" t="s">
        <v>916</v>
      </c>
      <c r="L339" s="5" t="s">
        <v>917</v>
      </c>
      <c r="M339" s="5"/>
      <c r="N339" s="5"/>
      <c r="O339" s="47" t="s">
        <v>1326</v>
      </c>
    </row>
    <row r="340" spans="1:15" x14ac:dyDescent="0.3">
      <c r="A340" s="5" t="s">
        <v>510</v>
      </c>
      <c r="B340" s="5" t="s">
        <v>909</v>
      </c>
      <c r="C340" s="5" t="s">
        <v>910</v>
      </c>
      <c r="D340" s="5" t="s">
        <v>61</v>
      </c>
      <c r="E340" s="5" t="s">
        <v>154</v>
      </c>
      <c r="F340" s="14">
        <v>2</v>
      </c>
      <c r="G340" s="5" t="s">
        <v>72</v>
      </c>
      <c r="H340" s="5" t="s">
        <v>73</v>
      </c>
      <c r="I340" s="5"/>
      <c r="J340" s="47" t="s">
        <v>1312</v>
      </c>
      <c r="K340" s="47" t="s">
        <v>1319</v>
      </c>
      <c r="L340" s="47" t="s">
        <v>1314</v>
      </c>
      <c r="M340" s="5"/>
      <c r="N340" s="5"/>
      <c r="O340" s="47" t="s">
        <v>1354</v>
      </c>
    </row>
    <row r="341" spans="1:15" x14ac:dyDescent="0.3">
      <c r="A341" s="5" t="s">
        <v>510</v>
      </c>
      <c r="B341" s="5" t="s">
        <v>909</v>
      </c>
      <c r="C341" s="5" t="s">
        <v>910</v>
      </c>
      <c r="D341" s="5" t="s">
        <v>61</v>
      </c>
      <c r="E341" s="5" t="s">
        <v>154</v>
      </c>
      <c r="F341" s="14">
        <v>2</v>
      </c>
      <c r="G341" s="5" t="s">
        <v>72</v>
      </c>
      <c r="H341" s="5" t="s">
        <v>77</v>
      </c>
      <c r="I341" s="5"/>
      <c r="J341" s="47" t="s">
        <v>1312</v>
      </c>
      <c r="K341" s="5" t="s">
        <v>916</v>
      </c>
      <c r="L341" s="5" t="s">
        <v>917</v>
      </c>
      <c r="M341" s="5"/>
      <c r="N341" s="5"/>
      <c r="O341" s="47" t="s">
        <v>1354</v>
      </c>
    </row>
    <row r="342" spans="1:15" x14ac:dyDescent="0.3">
      <c r="A342" s="5" t="s">
        <v>248</v>
      </c>
      <c r="B342" s="5" t="s">
        <v>920</v>
      </c>
      <c r="C342" s="5" t="s">
        <v>624</v>
      </c>
      <c r="D342" s="5" t="s">
        <v>61</v>
      </c>
      <c r="E342" s="5" t="s">
        <v>154</v>
      </c>
      <c r="F342" s="14">
        <v>-1</v>
      </c>
      <c r="G342" s="5" t="s">
        <v>63</v>
      </c>
      <c r="H342" s="5"/>
      <c r="I342" s="5">
        <v>20</v>
      </c>
      <c r="J342" s="5" t="s">
        <v>660</v>
      </c>
      <c r="K342" s="5" t="s">
        <v>921</v>
      </c>
      <c r="L342" s="5" t="s">
        <v>922</v>
      </c>
      <c r="M342" s="5"/>
      <c r="N342" s="5"/>
      <c r="O342" s="5"/>
    </row>
    <row r="343" spans="1:15" x14ac:dyDescent="0.3">
      <c r="A343" s="5" t="s">
        <v>248</v>
      </c>
      <c r="B343" s="5" t="s">
        <v>920</v>
      </c>
      <c r="C343" s="5" t="s">
        <v>624</v>
      </c>
      <c r="D343" s="5" t="s">
        <v>61</v>
      </c>
      <c r="E343" s="5" t="s">
        <v>154</v>
      </c>
      <c r="F343" s="14">
        <v>-1</v>
      </c>
      <c r="G343" s="5" t="s">
        <v>63</v>
      </c>
      <c r="H343" s="5"/>
      <c r="I343" s="5">
        <v>20</v>
      </c>
      <c r="J343" s="5" t="s">
        <v>661</v>
      </c>
      <c r="K343" s="5" t="s">
        <v>923</v>
      </c>
      <c r="L343" s="5" t="s">
        <v>924</v>
      </c>
      <c r="M343" s="5"/>
      <c r="N343" s="5"/>
      <c r="O343" s="5"/>
    </row>
    <row r="344" spans="1:15" x14ac:dyDescent="0.3">
      <c r="A344" s="5" t="s">
        <v>248</v>
      </c>
      <c r="B344" s="5" t="s">
        <v>920</v>
      </c>
      <c r="C344" s="5" t="s">
        <v>624</v>
      </c>
      <c r="D344" s="5" t="s">
        <v>61</v>
      </c>
      <c r="E344" s="5" t="s">
        <v>154</v>
      </c>
      <c r="F344" s="14">
        <v>-1</v>
      </c>
      <c r="G344" s="5" t="s">
        <v>63</v>
      </c>
      <c r="H344" s="5"/>
      <c r="I344" s="5">
        <v>20</v>
      </c>
      <c r="J344" s="5" t="s">
        <v>362</v>
      </c>
      <c r="K344" s="5" t="s">
        <v>925</v>
      </c>
      <c r="L344" s="5" t="s">
        <v>926</v>
      </c>
      <c r="M344" s="5"/>
      <c r="N344" s="5"/>
      <c r="O344" s="5"/>
    </row>
    <row r="345" spans="1:15" x14ac:dyDescent="0.3">
      <c r="A345" s="5" t="s">
        <v>248</v>
      </c>
      <c r="B345" s="5" t="s">
        <v>920</v>
      </c>
      <c r="C345" s="5" t="s">
        <v>624</v>
      </c>
      <c r="D345" s="5" t="s">
        <v>61</v>
      </c>
      <c r="E345" s="5" t="s">
        <v>154</v>
      </c>
      <c r="F345" s="14">
        <v>-1</v>
      </c>
      <c r="G345" s="5" t="s">
        <v>63</v>
      </c>
      <c r="H345" s="5"/>
      <c r="I345" s="5">
        <v>20</v>
      </c>
      <c r="J345" s="5" t="s">
        <v>691</v>
      </c>
      <c r="K345" s="5" t="s">
        <v>927</v>
      </c>
      <c r="L345" s="5" t="s">
        <v>928</v>
      </c>
      <c r="M345" s="5"/>
      <c r="N345" s="5"/>
      <c r="O345" s="5"/>
    </row>
    <row r="346" spans="1:15" x14ac:dyDescent="0.3">
      <c r="A346" s="5" t="s">
        <v>248</v>
      </c>
      <c r="B346" s="5" t="s">
        <v>920</v>
      </c>
      <c r="C346" s="5" t="s">
        <v>624</v>
      </c>
      <c r="D346" s="5" t="s">
        <v>61</v>
      </c>
      <c r="E346" s="5" t="s">
        <v>154</v>
      </c>
      <c r="F346" s="14">
        <v>-1</v>
      </c>
      <c r="G346" s="5" t="s">
        <v>63</v>
      </c>
      <c r="H346" s="5"/>
      <c r="I346" s="5">
        <v>20</v>
      </c>
      <c r="J346" s="5" t="s">
        <v>675</v>
      </c>
      <c r="K346" s="5" t="s">
        <v>929</v>
      </c>
      <c r="L346" s="5" t="s">
        <v>930</v>
      </c>
      <c r="M346" s="5"/>
      <c r="N346" s="5"/>
      <c r="O346" s="5" t="s">
        <v>377</v>
      </c>
    </row>
    <row r="347" spans="1:15" x14ac:dyDescent="0.3">
      <c r="A347" s="5" t="s">
        <v>248</v>
      </c>
      <c r="B347" s="5" t="s">
        <v>920</v>
      </c>
      <c r="C347" s="5" t="s">
        <v>624</v>
      </c>
      <c r="D347" s="5" t="s">
        <v>61</v>
      </c>
      <c r="E347" s="5" t="s">
        <v>154</v>
      </c>
      <c r="F347" s="14">
        <v>-1</v>
      </c>
      <c r="G347" s="5" t="s">
        <v>72</v>
      </c>
      <c r="H347" s="5" t="s">
        <v>73</v>
      </c>
      <c r="I347" s="5"/>
      <c r="J347" s="5" t="s">
        <v>931</v>
      </c>
      <c r="K347" s="5" t="s">
        <v>932</v>
      </c>
      <c r="L347" s="5" t="s">
        <v>933</v>
      </c>
      <c r="M347" s="5"/>
      <c r="N347" s="5"/>
      <c r="O347" s="5" t="s">
        <v>676</v>
      </c>
    </row>
    <row r="348" spans="1:15" x14ac:dyDescent="0.3">
      <c r="A348" s="5" t="s">
        <v>248</v>
      </c>
      <c r="B348" s="5" t="s">
        <v>920</v>
      </c>
      <c r="C348" s="5" t="s">
        <v>624</v>
      </c>
      <c r="D348" s="5" t="s">
        <v>61</v>
      </c>
      <c r="E348" s="5" t="s">
        <v>154</v>
      </c>
      <c r="F348" s="14">
        <v>-1</v>
      </c>
      <c r="G348" s="5" t="s">
        <v>72</v>
      </c>
      <c r="H348" s="5" t="s">
        <v>77</v>
      </c>
      <c r="I348" s="5"/>
      <c r="J348" s="5" t="s">
        <v>931</v>
      </c>
      <c r="K348" s="5" t="s">
        <v>934</v>
      </c>
      <c r="L348" s="5" t="s">
        <v>935</v>
      </c>
      <c r="M348" s="5"/>
      <c r="N348" s="5"/>
      <c r="O348" s="5" t="s">
        <v>676</v>
      </c>
    </row>
    <row r="349" spans="1:15" x14ac:dyDescent="0.3">
      <c r="A349" s="5" t="s">
        <v>248</v>
      </c>
      <c r="B349" s="5" t="s">
        <v>936</v>
      </c>
      <c r="C349" s="5" t="s">
        <v>937</v>
      </c>
      <c r="D349" s="5" t="s">
        <v>61</v>
      </c>
      <c r="E349" s="5" t="s">
        <v>154</v>
      </c>
      <c r="F349" s="14">
        <v>-1</v>
      </c>
      <c r="G349" s="5" t="s">
        <v>63</v>
      </c>
      <c r="H349" s="5"/>
      <c r="I349" s="5">
        <v>25</v>
      </c>
      <c r="J349" s="5" t="s">
        <v>660</v>
      </c>
      <c r="K349" s="5" t="s">
        <v>766</v>
      </c>
      <c r="L349" s="5" t="s">
        <v>938</v>
      </c>
      <c r="M349" s="5"/>
      <c r="N349" s="5"/>
      <c r="O349" s="5"/>
    </row>
    <row r="350" spans="1:15" x14ac:dyDescent="0.3">
      <c r="A350" s="5" t="s">
        <v>248</v>
      </c>
      <c r="B350" s="5" t="s">
        <v>936</v>
      </c>
      <c r="C350" s="5" t="s">
        <v>937</v>
      </c>
      <c r="D350" s="5" t="s">
        <v>61</v>
      </c>
      <c r="E350" s="5" t="s">
        <v>154</v>
      </c>
      <c r="F350" s="14">
        <v>-1</v>
      </c>
      <c r="G350" s="5" t="s">
        <v>63</v>
      </c>
      <c r="H350" s="5"/>
      <c r="I350" s="5">
        <v>25</v>
      </c>
      <c r="J350" s="5" t="s">
        <v>661</v>
      </c>
      <c r="K350" s="5" t="s">
        <v>939</v>
      </c>
      <c r="L350" s="5" t="s">
        <v>940</v>
      </c>
      <c r="M350" s="5"/>
      <c r="N350" s="5"/>
      <c r="O350" s="5"/>
    </row>
    <row r="351" spans="1:15" x14ac:dyDescent="0.3">
      <c r="A351" s="5" t="s">
        <v>248</v>
      </c>
      <c r="B351" s="5" t="s">
        <v>936</v>
      </c>
      <c r="C351" s="5" t="s">
        <v>937</v>
      </c>
      <c r="D351" s="5" t="s">
        <v>61</v>
      </c>
      <c r="E351" s="5" t="s">
        <v>154</v>
      </c>
      <c r="F351" s="14">
        <v>-1</v>
      </c>
      <c r="G351" s="5" t="s">
        <v>63</v>
      </c>
      <c r="H351" s="5"/>
      <c r="I351" s="5">
        <v>25</v>
      </c>
      <c r="J351" s="5" t="s">
        <v>362</v>
      </c>
      <c r="K351" s="5" t="s">
        <v>941</v>
      </c>
      <c r="L351" s="5" t="s">
        <v>942</v>
      </c>
      <c r="M351" s="5"/>
      <c r="N351" s="5"/>
      <c r="O351" s="5"/>
    </row>
    <row r="352" spans="1:15" x14ac:dyDescent="0.3">
      <c r="A352" s="5" t="s">
        <v>248</v>
      </c>
      <c r="B352" s="5" t="s">
        <v>936</v>
      </c>
      <c r="C352" s="5" t="s">
        <v>937</v>
      </c>
      <c r="D352" s="5" t="s">
        <v>61</v>
      </c>
      <c r="E352" s="5" t="s">
        <v>154</v>
      </c>
      <c r="F352" s="14">
        <v>-1</v>
      </c>
      <c r="G352" s="5" t="s">
        <v>63</v>
      </c>
      <c r="H352" s="5"/>
      <c r="I352" s="5">
        <v>25</v>
      </c>
      <c r="J352" s="5" t="s">
        <v>691</v>
      </c>
      <c r="K352" s="5" t="s">
        <v>943</v>
      </c>
      <c r="L352" s="5" t="s">
        <v>944</v>
      </c>
      <c r="M352" s="5"/>
      <c r="N352" s="5"/>
      <c r="O352" s="5" t="s">
        <v>945</v>
      </c>
    </row>
    <row r="353" spans="1:15" x14ac:dyDescent="0.3">
      <c r="A353" s="5" t="s">
        <v>248</v>
      </c>
      <c r="B353" s="5" t="s">
        <v>946</v>
      </c>
      <c r="C353" s="5" t="s">
        <v>947</v>
      </c>
      <c r="D353" s="5" t="s">
        <v>61</v>
      </c>
      <c r="E353" s="5" t="s">
        <v>154</v>
      </c>
      <c r="F353" s="14">
        <v>-1</v>
      </c>
      <c r="G353" s="5" t="s">
        <v>63</v>
      </c>
      <c r="H353" s="5"/>
      <c r="I353" s="5">
        <v>20</v>
      </c>
      <c r="J353" s="5" t="s">
        <v>660</v>
      </c>
      <c r="K353" s="5" t="s">
        <v>948</v>
      </c>
      <c r="L353" s="5" t="s">
        <v>949</v>
      </c>
      <c r="M353" s="5"/>
      <c r="N353" s="5"/>
      <c r="O353" s="5"/>
    </row>
    <row r="354" spans="1:15" x14ac:dyDescent="0.3">
      <c r="A354" s="5" t="s">
        <v>248</v>
      </c>
      <c r="B354" s="5" t="s">
        <v>946</v>
      </c>
      <c r="C354" s="5" t="s">
        <v>947</v>
      </c>
      <c r="D354" s="5" t="s">
        <v>61</v>
      </c>
      <c r="E354" s="5" t="s">
        <v>154</v>
      </c>
      <c r="F354" s="14">
        <v>-1</v>
      </c>
      <c r="G354" s="5" t="s">
        <v>63</v>
      </c>
      <c r="H354" s="5"/>
      <c r="I354" s="5">
        <v>20</v>
      </c>
      <c r="J354" s="5" t="s">
        <v>661</v>
      </c>
      <c r="K354" s="5" t="s">
        <v>950</v>
      </c>
      <c r="L354" s="5" t="s">
        <v>951</v>
      </c>
      <c r="M354" s="5"/>
      <c r="N354" s="5"/>
      <c r="O354" s="5"/>
    </row>
    <row r="355" spans="1:15" x14ac:dyDescent="0.3">
      <c r="A355" s="5" t="s">
        <v>248</v>
      </c>
      <c r="B355" s="5" t="s">
        <v>946</v>
      </c>
      <c r="C355" s="5" t="s">
        <v>947</v>
      </c>
      <c r="D355" s="5" t="s">
        <v>61</v>
      </c>
      <c r="E355" s="5" t="s">
        <v>154</v>
      </c>
      <c r="F355" s="14">
        <v>-1</v>
      </c>
      <c r="G355" s="5" t="s">
        <v>63</v>
      </c>
      <c r="H355" s="5"/>
      <c r="I355" s="5">
        <v>20</v>
      </c>
      <c r="J355" s="5" t="s">
        <v>362</v>
      </c>
      <c r="K355" s="5" t="s">
        <v>952</v>
      </c>
      <c r="L355" s="5" t="s">
        <v>953</v>
      </c>
      <c r="M355" s="5"/>
      <c r="N355" s="5"/>
      <c r="O355" s="5"/>
    </row>
    <row r="356" spans="1:15" x14ac:dyDescent="0.3">
      <c r="A356" s="5" t="s">
        <v>248</v>
      </c>
      <c r="B356" s="5" t="s">
        <v>946</v>
      </c>
      <c r="C356" s="5" t="s">
        <v>947</v>
      </c>
      <c r="D356" s="5" t="s">
        <v>61</v>
      </c>
      <c r="E356" s="5" t="s">
        <v>154</v>
      </c>
      <c r="F356" s="14">
        <v>-1</v>
      </c>
      <c r="G356" s="5" t="s">
        <v>63</v>
      </c>
      <c r="H356" s="5"/>
      <c r="I356" s="5">
        <v>20</v>
      </c>
      <c r="J356" s="5" t="s">
        <v>954</v>
      </c>
      <c r="K356" s="5" t="s">
        <v>955</v>
      </c>
      <c r="L356" s="5" t="s">
        <v>956</v>
      </c>
      <c r="M356" s="5"/>
      <c r="N356" s="5"/>
      <c r="O356" s="5"/>
    </row>
    <row r="357" spans="1:15" x14ac:dyDescent="0.3">
      <c r="A357" s="5" t="s">
        <v>248</v>
      </c>
      <c r="B357" s="5" t="s">
        <v>946</v>
      </c>
      <c r="C357" s="5" t="s">
        <v>947</v>
      </c>
      <c r="D357" s="5" t="s">
        <v>61</v>
      </c>
      <c r="E357" s="5" t="s">
        <v>154</v>
      </c>
      <c r="F357" s="14">
        <v>-1</v>
      </c>
      <c r="G357" s="5" t="s">
        <v>63</v>
      </c>
      <c r="H357" s="5"/>
      <c r="I357" s="5">
        <v>20</v>
      </c>
      <c r="J357" s="5" t="s">
        <v>957</v>
      </c>
      <c r="K357" s="5" t="s">
        <v>958</v>
      </c>
      <c r="L357" s="5" t="s">
        <v>959</v>
      </c>
      <c r="M357" s="5"/>
      <c r="N357" s="5"/>
      <c r="O357" s="5" t="s">
        <v>377</v>
      </c>
    </row>
    <row r="358" spans="1:15" x14ac:dyDescent="0.3">
      <c r="A358" s="5" t="s">
        <v>248</v>
      </c>
      <c r="B358" s="5" t="s">
        <v>946</v>
      </c>
      <c r="C358" s="5" t="s">
        <v>947</v>
      </c>
      <c r="D358" s="5" t="s">
        <v>61</v>
      </c>
      <c r="E358" s="5" t="s">
        <v>154</v>
      </c>
      <c r="F358" s="14">
        <v>-1</v>
      </c>
      <c r="G358" s="5" t="s">
        <v>72</v>
      </c>
      <c r="H358" s="5" t="s">
        <v>73</v>
      </c>
      <c r="I358" s="5"/>
      <c r="J358" s="5" t="s">
        <v>960</v>
      </c>
      <c r="K358" s="5" t="s">
        <v>961</v>
      </c>
      <c r="L358" s="5" t="s">
        <v>962</v>
      </c>
      <c r="M358" s="5"/>
      <c r="N358" s="5"/>
      <c r="O358" s="5" t="s">
        <v>963</v>
      </c>
    </row>
    <row r="359" spans="1:15" x14ac:dyDescent="0.3">
      <c r="A359" s="5" t="s">
        <v>248</v>
      </c>
      <c r="B359" s="5" t="s">
        <v>946</v>
      </c>
      <c r="C359" s="5" t="s">
        <v>947</v>
      </c>
      <c r="D359" s="5" t="s">
        <v>61</v>
      </c>
      <c r="E359" s="5" t="s">
        <v>154</v>
      </c>
      <c r="F359" s="14">
        <v>-1</v>
      </c>
      <c r="G359" s="5" t="s">
        <v>72</v>
      </c>
      <c r="H359" s="5" t="s">
        <v>77</v>
      </c>
      <c r="I359" s="5"/>
      <c r="J359" s="5" t="s">
        <v>960</v>
      </c>
      <c r="K359" s="5" t="s">
        <v>964</v>
      </c>
      <c r="L359" s="5" t="s">
        <v>965</v>
      </c>
      <c r="M359" s="5"/>
      <c r="N359" s="5"/>
      <c r="O359" s="5" t="s">
        <v>963</v>
      </c>
    </row>
    <row r="360" spans="1:15" x14ac:dyDescent="0.3">
      <c r="A360" s="5" t="s">
        <v>248</v>
      </c>
      <c r="B360" s="5" t="s">
        <v>966</v>
      </c>
      <c r="C360" s="5" t="s">
        <v>624</v>
      </c>
      <c r="D360" s="5" t="s">
        <v>61</v>
      </c>
      <c r="E360" s="5" t="s">
        <v>154</v>
      </c>
      <c r="F360" s="14">
        <v>-1</v>
      </c>
      <c r="G360" s="5" t="s">
        <v>63</v>
      </c>
      <c r="H360" s="5"/>
      <c r="I360" s="5">
        <v>20</v>
      </c>
      <c r="J360" s="5" t="s">
        <v>967</v>
      </c>
      <c r="K360" s="5" t="s">
        <v>968</v>
      </c>
      <c r="L360" s="5" t="s">
        <v>969</v>
      </c>
      <c r="M360" s="5"/>
      <c r="N360" s="5"/>
      <c r="O360" s="5"/>
    </row>
    <row r="361" spans="1:15" x14ac:dyDescent="0.3">
      <c r="A361" s="5" t="s">
        <v>248</v>
      </c>
      <c r="B361" s="5" t="s">
        <v>966</v>
      </c>
      <c r="C361" s="5" t="s">
        <v>624</v>
      </c>
      <c r="D361" s="5" t="s">
        <v>61</v>
      </c>
      <c r="E361" s="5" t="s">
        <v>154</v>
      </c>
      <c r="F361" s="14">
        <v>-1</v>
      </c>
      <c r="G361" s="5" t="s">
        <v>63</v>
      </c>
      <c r="H361" s="5"/>
      <c r="I361" s="5">
        <v>20</v>
      </c>
      <c r="J361" s="5" t="s">
        <v>660</v>
      </c>
      <c r="K361" s="5" t="s">
        <v>970</v>
      </c>
      <c r="L361" s="5" t="s">
        <v>971</v>
      </c>
      <c r="M361" s="5"/>
      <c r="N361" s="5"/>
      <c r="O361" s="5"/>
    </row>
    <row r="362" spans="1:15" x14ac:dyDescent="0.3">
      <c r="A362" s="5" t="s">
        <v>248</v>
      </c>
      <c r="B362" s="5" t="s">
        <v>966</v>
      </c>
      <c r="C362" s="5" t="s">
        <v>624</v>
      </c>
      <c r="D362" s="5" t="s">
        <v>61</v>
      </c>
      <c r="E362" s="5" t="s">
        <v>154</v>
      </c>
      <c r="F362" s="14">
        <v>-1</v>
      </c>
      <c r="G362" s="5" t="s">
        <v>63</v>
      </c>
      <c r="H362" s="5"/>
      <c r="I362" s="5">
        <v>20</v>
      </c>
      <c r="J362" s="5" t="s">
        <v>661</v>
      </c>
      <c r="K362" s="5" t="s">
        <v>972</v>
      </c>
      <c r="L362" s="5" t="s">
        <v>973</v>
      </c>
      <c r="M362" s="5"/>
      <c r="N362" s="5"/>
      <c r="O362" s="5"/>
    </row>
    <row r="363" spans="1:15" x14ac:dyDescent="0.3">
      <c r="A363" s="5" t="s">
        <v>248</v>
      </c>
      <c r="B363" s="5" t="s">
        <v>966</v>
      </c>
      <c r="C363" s="5" t="s">
        <v>624</v>
      </c>
      <c r="D363" s="5" t="s">
        <v>61</v>
      </c>
      <c r="E363" s="5" t="s">
        <v>154</v>
      </c>
      <c r="F363" s="14">
        <v>-1</v>
      </c>
      <c r="G363" s="5" t="s">
        <v>63</v>
      </c>
      <c r="H363" s="5"/>
      <c r="I363" s="5">
        <v>20</v>
      </c>
      <c r="J363" s="5" t="s">
        <v>362</v>
      </c>
      <c r="K363" s="5" t="s">
        <v>974</v>
      </c>
      <c r="L363" s="5" t="s">
        <v>975</v>
      </c>
      <c r="M363" s="5"/>
      <c r="N363" s="5"/>
      <c r="O363" s="5"/>
    </row>
    <row r="364" spans="1:15" x14ac:dyDescent="0.3">
      <c r="A364" s="5" t="s">
        <v>248</v>
      </c>
      <c r="B364" s="5" t="s">
        <v>966</v>
      </c>
      <c r="C364" s="5" t="s">
        <v>624</v>
      </c>
      <c r="D364" s="5" t="s">
        <v>61</v>
      </c>
      <c r="E364" s="5" t="s">
        <v>154</v>
      </c>
      <c r="F364" s="14">
        <v>-1</v>
      </c>
      <c r="G364" s="5" t="s">
        <v>63</v>
      </c>
      <c r="H364" s="5"/>
      <c r="I364" s="5">
        <v>20</v>
      </c>
      <c r="J364" s="5" t="s">
        <v>976</v>
      </c>
      <c r="K364" s="5" t="s">
        <v>977</v>
      </c>
      <c r="L364" s="5" t="s">
        <v>978</v>
      </c>
      <c r="M364" s="5"/>
      <c r="N364" s="5"/>
      <c r="O364" s="5" t="s">
        <v>377</v>
      </c>
    </row>
    <row r="365" spans="1:15" x14ac:dyDescent="0.3">
      <c r="A365" s="5" t="s">
        <v>248</v>
      </c>
      <c r="B365" s="5" t="s">
        <v>966</v>
      </c>
      <c r="C365" s="5" t="s">
        <v>624</v>
      </c>
      <c r="D365" s="5" t="s">
        <v>61</v>
      </c>
      <c r="E365" s="5" t="s">
        <v>154</v>
      </c>
      <c r="F365" s="14">
        <v>-1</v>
      </c>
      <c r="G365" s="5" t="s">
        <v>72</v>
      </c>
      <c r="H365" s="5" t="s">
        <v>73</v>
      </c>
      <c r="I365" s="5"/>
      <c r="J365" s="5" t="s">
        <v>979</v>
      </c>
      <c r="K365" s="5" t="s">
        <v>980</v>
      </c>
      <c r="L365" s="5" t="s">
        <v>981</v>
      </c>
      <c r="M365" s="5"/>
      <c r="N365" s="5"/>
      <c r="O365" s="5" t="s">
        <v>982</v>
      </c>
    </row>
    <row r="366" spans="1:15" x14ac:dyDescent="0.3">
      <c r="A366" s="5" t="s">
        <v>248</v>
      </c>
      <c r="B366" s="5" t="s">
        <v>966</v>
      </c>
      <c r="C366" s="5" t="s">
        <v>624</v>
      </c>
      <c r="D366" s="5" t="s">
        <v>61</v>
      </c>
      <c r="E366" s="5" t="s">
        <v>154</v>
      </c>
      <c r="F366" s="14">
        <v>-1</v>
      </c>
      <c r="G366" s="5" t="s">
        <v>72</v>
      </c>
      <c r="H366" s="5" t="s">
        <v>77</v>
      </c>
      <c r="I366" s="5"/>
      <c r="J366" s="5" t="s">
        <v>979</v>
      </c>
      <c r="K366" s="5" t="s">
        <v>983</v>
      </c>
      <c r="L366" s="5" t="s">
        <v>984</v>
      </c>
      <c r="M366" s="5"/>
      <c r="N366" s="5"/>
      <c r="O366" s="5" t="s">
        <v>982</v>
      </c>
    </row>
    <row r="367" spans="1:15" x14ac:dyDescent="0.3">
      <c r="A367" s="5" t="s">
        <v>248</v>
      </c>
      <c r="B367" s="5" t="s">
        <v>985</v>
      </c>
      <c r="C367" s="5" t="s">
        <v>393</v>
      </c>
      <c r="D367" s="5" t="s">
        <v>61</v>
      </c>
      <c r="E367" s="5" t="s">
        <v>154</v>
      </c>
      <c r="F367" s="14">
        <v>-1</v>
      </c>
      <c r="G367" s="5" t="s">
        <v>63</v>
      </c>
      <c r="H367" s="5"/>
      <c r="I367" s="5">
        <v>20</v>
      </c>
      <c r="J367" s="5" t="s">
        <v>660</v>
      </c>
      <c r="K367" s="5" t="s">
        <v>986</v>
      </c>
      <c r="L367" s="5" t="s">
        <v>987</v>
      </c>
      <c r="M367" s="5"/>
      <c r="N367" s="5"/>
      <c r="O367" s="5"/>
    </row>
    <row r="368" spans="1:15" x14ac:dyDescent="0.3">
      <c r="A368" s="5" t="s">
        <v>248</v>
      </c>
      <c r="B368" s="5" t="s">
        <v>985</v>
      </c>
      <c r="C368" s="5" t="s">
        <v>393</v>
      </c>
      <c r="D368" s="5" t="s">
        <v>61</v>
      </c>
      <c r="E368" s="5" t="s">
        <v>154</v>
      </c>
      <c r="F368" s="14">
        <v>-1</v>
      </c>
      <c r="G368" s="5" t="s">
        <v>63</v>
      </c>
      <c r="H368" s="5"/>
      <c r="I368" s="5">
        <v>20</v>
      </c>
      <c r="J368" s="5" t="s">
        <v>661</v>
      </c>
      <c r="K368" s="5" t="s">
        <v>988</v>
      </c>
      <c r="L368" s="5" t="s">
        <v>989</v>
      </c>
      <c r="M368" s="5"/>
      <c r="N368" s="5"/>
      <c r="O368" s="5"/>
    </row>
    <row r="369" spans="1:15" x14ac:dyDescent="0.3">
      <c r="A369" s="5" t="s">
        <v>248</v>
      </c>
      <c r="B369" s="5" t="s">
        <v>985</v>
      </c>
      <c r="C369" s="5" t="s">
        <v>393</v>
      </c>
      <c r="D369" s="5" t="s">
        <v>61</v>
      </c>
      <c r="E369" s="5" t="s">
        <v>154</v>
      </c>
      <c r="F369" s="14">
        <v>-1</v>
      </c>
      <c r="G369" s="5" t="s">
        <v>63</v>
      </c>
      <c r="H369" s="5"/>
      <c r="I369" s="5">
        <v>20</v>
      </c>
      <c r="J369" s="5" t="s">
        <v>362</v>
      </c>
      <c r="K369" s="5" t="s">
        <v>990</v>
      </c>
      <c r="L369" s="5" t="s">
        <v>991</v>
      </c>
      <c r="M369" s="5"/>
      <c r="N369" s="5"/>
      <c r="O369" s="5"/>
    </row>
    <row r="370" spans="1:15" x14ac:dyDescent="0.3">
      <c r="A370" s="5" t="s">
        <v>248</v>
      </c>
      <c r="B370" s="5" t="s">
        <v>985</v>
      </c>
      <c r="C370" s="5" t="s">
        <v>393</v>
      </c>
      <c r="D370" s="5" t="s">
        <v>61</v>
      </c>
      <c r="E370" s="5" t="s">
        <v>154</v>
      </c>
      <c r="F370" s="14">
        <v>-1</v>
      </c>
      <c r="G370" s="5" t="s">
        <v>63</v>
      </c>
      <c r="H370" s="5"/>
      <c r="I370" s="5">
        <v>20</v>
      </c>
      <c r="J370" s="5" t="s">
        <v>992</v>
      </c>
      <c r="K370" s="5" t="s">
        <v>993</v>
      </c>
      <c r="L370" s="5" t="s">
        <v>994</v>
      </c>
      <c r="M370" s="5"/>
      <c r="N370" s="5"/>
      <c r="O370" s="5"/>
    </row>
    <row r="371" spans="1:15" x14ac:dyDescent="0.3">
      <c r="A371" s="5" t="s">
        <v>248</v>
      </c>
      <c r="B371" s="5" t="s">
        <v>985</v>
      </c>
      <c r="C371" s="5" t="s">
        <v>393</v>
      </c>
      <c r="D371" s="5" t="s">
        <v>61</v>
      </c>
      <c r="E371" s="5" t="s">
        <v>154</v>
      </c>
      <c r="F371" s="14">
        <v>-1</v>
      </c>
      <c r="G371" s="5" t="s">
        <v>63</v>
      </c>
      <c r="H371" s="5"/>
      <c r="I371" s="5">
        <v>20</v>
      </c>
      <c r="J371" s="5" t="s">
        <v>995</v>
      </c>
      <c r="K371" s="5" t="s">
        <v>996</v>
      </c>
      <c r="L371" s="5" t="s">
        <v>997</v>
      </c>
      <c r="M371" s="5"/>
      <c r="N371" s="5"/>
      <c r="O371" s="5" t="s">
        <v>377</v>
      </c>
    </row>
    <row r="372" spans="1:15" x14ac:dyDescent="0.3">
      <c r="A372" s="5" t="s">
        <v>248</v>
      </c>
      <c r="B372" s="5" t="s">
        <v>985</v>
      </c>
      <c r="C372" s="5" t="s">
        <v>393</v>
      </c>
      <c r="D372" s="5" t="s">
        <v>61</v>
      </c>
      <c r="E372" s="5" t="s">
        <v>154</v>
      </c>
      <c r="F372" s="14">
        <v>-1</v>
      </c>
      <c r="G372" s="5" t="s">
        <v>72</v>
      </c>
      <c r="H372" s="5" t="s">
        <v>73</v>
      </c>
      <c r="I372" s="5"/>
      <c r="J372" s="5" t="s">
        <v>998</v>
      </c>
      <c r="K372" s="5" t="s">
        <v>999</v>
      </c>
      <c r="L372" s="5" t="s">
        <v>1000</v>
      </c>
      <c r="M372" s="5"/>
      <c r="N372" s="5"/>
      <c r="O372" s="5" t="s">
        <v>1001</v>
      </c>
    </row>
    <row r="373" spans="1:15" x14ac:dyDescent="0.3">
      <c r="A373" s="5" t="s">
        <v>248</v>
      </c>
      <c r="B373" s="5" t="s">
        <v>985</v>
      </c>
      <c r="C373" s="5" t="s">
        <v>393</v>
      </c>
      <c r="D373" s="5" t="s">
        <v>61</v>
      </c>
      <c r="E373" s="5" t="s">
        <v>154</v>
      </c>
      <c r="F373" s="14">
        <v>-1</v>
      </c>
      <c r="G373" s="5" t="s">
        <v>72</v>
      </c>
      <c r="H373" s="5" t="s">
        <v>77</v>
      </c>
      <c r="I373" s="5"/>
      <c r="J373" s="5" t="s">
        <v>998</v>
      </c>
      <c r="K373" s="5" t="s">
        <v>1002</v>
      </c>
      <c r="L373" s="5" t="s">
        <v>1003</v>
      </c>
      <c r="M373" s="5"/>
      <c r="N373" s="5"/>
      <c r="O373" s="5" t="s">
        <v>1001</v>
      </c>
    </row>
    <row r="374" spans="1:15" x14ac:dyDescent="0.3">
      <c r="A374" s="5" t="s">
        <v>248</v>
      </c>
      <c r="B374" s="5" t="s">
        <v>1004</v>
      </c>
      <c r="C374" s="5" t="s">
        <v>1005</v>
      </c>
      <c r="D374" s="5" t="s">
        <v>61</v>
      </c>
      <c r="E374" s="5" t="s">
        <v>154</v>
      </c>
      <c r="F374" s="14">
        <v>-1</v>
      </c>
      <c r="G374" s="5" t="s">
        <v>63</v>
      </c>
      <c r="H374" s="5"/>
      <c r="I374" s="5">
        <v>20</v>
      </c>
      <c r="J374" s="5" t="s">
        <v>660</v>
      </c>
      <c r="K374" s="5" t="s">
        <v>1006</v>
      </c>
      <c r="L374" s="5" t="s">
        <v>1007</v>
      </c>
      <c r="M374" s="5"/>
      <c r="N374" s="5"/>
      <c r="O374" s="5"/>
    </row>
    <row r="375" spans="1:15" x14ac:dyDescent="0.3">
      <c r="A375" s="5" t="s">
        <v>248</v>
      </c>
      <c r="B375" s="5" t="s">
        <v>1004</v>
      </c>
      <c r="C375" s="5" t="s">
        <v>1005</v>
      </c>
      <c r="D375" s="5" t="s">
        <v>61</v>
      </c>
      <c r="E375" s="5" t="s">
        <v>154</v>
      </c>
      <c r="F375" s="14">
        <v>-1</v>
      </c>
      <c r="G375" s="5" t="s">
        <v>63</v>
      </c>
      <c r="H375" s="5"/>
      <c r="I375" s="5">
        <v>20</v>
      </c>
      <c r="J375" s="5" t="s">
        <v>661</v>
      </c>
      <c r="K375" s="5" t="s">
        <v>1008</v>
      </c>
      <c r="L375" s="5" t="s">
        <v>1009</v>
      </c>
      <c r="M375" s="5"/>
      <c r="N375" s="5"/>
      <c r="O375" s="5"/>
    </row>
    <row r="376" spans="1:15" x14ac:dyDescent="0.3">
      <c r="A376" s="5" t="s">
        <v>248</v>
      </c>
      <c r="B376" s="5" t="s">
        <v>1004</v>
      </c>
      <c r="C376" s="5" t="s">
        <v>1005</v>
      </c>
      <c r="D376" s="5" t="s">
        <v>61</v>
      </c>
      <c r="E376" s="5" t="s">
        <v>154</v>
      </c>
      <c r="F376" s="14">
        <v>-1</v>
      </c>
      <c r="G376" s="5" t="s">
        <v>63</v>
      </c>
      <c r="H376" s="5"/>
      <c r="I376" s="5">
        <v>20</v>
      </c>
      <c r="J376" s="5" t="s">
        <v>362</v>
      </c>
      <c r="K376" s="5" t="s">
        <v>1010</v>
      </c>
      <c r="L376" s="5" t="s">
        <v>1011</v>
      </c>
      <c r="M376" s="5"/>
      <c r="N376" s="5"/>
      <c r="O376" s="5"/>
    </row>
    <row r="377" spans="1:15" x14ac:dyDescent="0.3">
      <c r="A377" s="5" t="s">
        <v>248</v>
      </c>
      <c r="B377" s="5" t="s">
        <v>1004</v>
      </c>
      <c r="C377" s="5" t="s">
        <v>1005</v>
      </c>
      <c r="D377" s="5" t="s">
        <v>61</v>
      </c>
      <c r="E377" s="5" t="s">
        <v>154</v>
      </c>
      <c r="F377" s="14">
        <v>-1</v>
      </c>
      <c r="G377" s="5" t="s">
        <v>63</v>
      </c>
      <c r="H377" s="5"/>
      <c r="I377" s="5">
        <v>20</v>
      </c>
      <c r="J377" s="5" t="s">
        <v>1012</v>
      </c>
      <c r="K377" s="5" t="s">
        <v>1013</v>
      </c>
      <c r="L377" s="5" t="s">
        <v>1014</v>
      </c>
      <c r="M377" s="5"/>
      <c r="N377" s="5"/>
      <c r="O377" s="5"/>
    </row>
    <row r="378" spans="1:15" x14ac:dyDescent="0.3">
      <c r="A378" s="5" t="s">
        <v>248</v>
      </c>
      <c r="B378" s="5" t="s">
        <v>1004</v>
      </c>
      <c r="C378" s="5" t="s">
        <v>1005</v>
      </c>
      <c r="D378" s="5" t="s">
        <v>61</v>
      </c>
      <c r="E378" s="5" t="s">
        <v>154</v>
      </c>
      <c r="F378" s="14">
        <v>-1</v>
      </c>
      <c r="G378" s="5" t="s">
        <v>63</v>
      </c>
      <c r="H378" s="5"/>
      <c r="I378" s="5">
        <v>20</v>
      </c>
      <c r="J378" s="5" t="s">
        <v>598</v>
      </c>
      <c r="K378" s="5" t="s">
        <v>1015</v>
      </c>
      <c r="L378" s="5" t="s">
        <v>1016</v>
      </c>
      <c r="M378" s="5"/>
      <c r="N378" s="5"/>
      <c r="O378" s="5" t="s">
        <v>377</v>
      </c>
    </row>
    <row r="379" spans="1:15" x14ac:dyDescent="0.3">
      <c r="A379" s="5" t="s">
        <v>248</v>
      </c>
      <c r="B379" s="5" t="s">
        <v>1004</v>
      </c>
      <c r="C379" s="5" t="s">
        <v>1005</v>
      </c>
      <c r="D379" s="5" t="s">
        <v>61</v>
      </c>
      <c r="E379" s="5" t="s">
        <v>154</v>
      </c>
      <c r="F379" s="14">
        <v>-1</v>
      </c>
      <c r="G379" s="5" t="s">
        <v>72</v>
      </c>
      <c r="H379" s="5" t="s">
        <v>73</v>
      </c>
      <c r="I379" s="5"/>
      <c r="J379" s="5" t="s">
        <v>1017</v>
      </c>
      <c r="K379" s="5" t="s">
        <v>1018</v>
      </c>
      <c r="L379" s="5" t="s">
        <v>1019</v>
      </c>
      <c r="M379" s="5"/>
      <c r="N379" s="5"/>
      <c r="O379" s="5" t="s">
        <v>604</v>
      </c>
    </row>
    <row r="380" spans="1:15" x14ac:dyDescent="0.3">
      <c r="A380" s="5" t="s">
        <v>248</v>
      </c>
      <c r="B380" s="5" t="s">
        <v>1004</v>
      </c>
      <c r="C380" s="5" t="s">
        <v>1005</v>
      </c>
      <c r="D380" s="5" t="s">
        <v>61</v>
      </c>
      <c r="E380" s="5" t="s">
        <v>154</v>
      </c>
      <c r="F380" s="14">
        <v>-1</v>
      </c>
      <c r="G380" s="5" t="s">
        <v>72</v>
      </c>
      <c r="H380" s="5" t="s">
        <v>77</v>
      </c>
      <c r="I380" s="5"/>
      <c r="J380" s="5" t="s">
        <v>1017</v>
      </c>
      <c r="K380" s="5" t="s">
        <v>1020</v>
      </c>
      <c r="L380" s="5" t="s">
        <v>1021</v>
      </c>
      <c r="M380" s="5"/>
      <c r="N380" s="5"/>
      <c r="O380" s="5" t="s">
        <v>604</v>
      </c>
    </row>
    <row r="381" spans="1:15" x14ac:dyDescent="0.3">
      <c r="A381" s="5" t="s">
        <v>248</v>
      </c>
      <c r="B381" s="5" t="s">
        <v>1022</v>
      </c>
      <c r="C381" s="5" t="s">
        <v>862</v>
      </c>
      <c r="D381" s="5" t="s">
        <v>61</v>
      </c>
      <c r="E381" s="5" t="s">
        <v>154</v>
      </c>
      <c r="F381" s="14">
        <v>-1</v>
      </c>
      <c r="G381" s="5" t="s">
        <v>63</v>
      </c>
      <c r="H381" s="5"/>
      <c r="I381" s="5">
        <v>20</v>
      </c>
      <c r="J381" s="5" t="s">
        <v>660</v>
      </c>
      <c r="K381" s="5" t="s">
        <v>1023</v>
      </c>
      <c r="L381" s="5" t="s">
        <v>1024</v>
      </c>
      <c r="M381" s="5"/>
      <c r="N381" s="5"/>
      <c r="O381" s="5"/>
    </row>
    <row r="382" spans="1:15" x14ac:dyDescent="0.3">
      <c r="A382" s="5" t="s">
        <v>248</v>
      </c>
      <c r="B382" s="5" t="s">
        <v>1022</v>
      </c>
      <c r="C382" s="5" t="s">
        <v>862</v>
      </c>
      <c r="D382" s="5" t="s">
        <v>61</v>
      </c>
      <c r="E382" s="5" t="s">
        <v>154</v>
      </c>
      <c r="F382" s="14">
        <v>-1</v>
      </c>
      <c r="G382" s="5" t="s">
        <v>63</v>
      </c>
      <c r="H382" s="5"/>
      <c r="I382" s="5">
        <v>20</v>
      </c>
      <c r="J382" s="5" t="s">
        <v>661</v>
      </c>
      <c r="K382" s="5" t="s">
        <v>1025</v>
      </c>
      <c r="L382" s="5" t="s">
        <v>1026</v>
      </c>
      <c r="M382" s="5"/>
      <c r="N382" s="5"/>
      <c r="O382" s="5"/>
    </row>
    <row r="383" spans="1:15" x14ac:dyDescent="0.3">
      <c r="A383" s="5" t="s">
        <v>248</v>
      </c>
      <c r="B383" s="5" t="s">
        <v>1022</v>
      </c>
      <c r="C383" s="5" t="s">
        <v>862</v>
      </c>
      <c r="D383" s="5" t="s">
        <v>61</v>
      </c>
      <c r="E383" s="5" t="s">
        <v>154</v>
      </c>
      <c r="F383" s="14">
        <v>-1</v>
      </c>
      <c r="G383" s="5" t="s">
        <v>63</v>
      </c>
      <c r="H383" s="5"/>
      <c r="I383" s="5">
        <v>20</v>
      </c>
      <c r="J383" s="5" t="s">
        <v>362</v>
      </c>
      <c r="K383" s="5" t="s">
        <v>1027</v>
      </c>
      <c r="L383" s="5" t="s">
        <v>1028</v>
      </c>
      <c r="M383" s="5"/>
      <c r="N383" s="5"/>
      <c r="O383" s="5"/>
    </row>
    <row r="384" spans="1:15" x14ac:dyDescent="0.3">
      <c r="A384" s="5" t="s">
        <v>248</v>
      </c>
      <c r="B384" s="5" t="s">
        <v>1022</v>
      </c>
      <c r="C384" s="5" t="s">
        <v>862</v>
      </c>
      <c r="D384" s="5" t="s">
        <v>61</v>
      </c>
      <c r="E384" s="5" t="s">
        <v>154</v>
      </c>
      <c r="F384" s="14">
        <v>-1</v>
      </c>
      <c r="G384" s="5" t="s">
        <v>63</v>
      </c>
      <c r="H384" s="5"/>
      <c r="I384" s="5">
        <v>20</v>
      </c>
      <c r="J384" s="5" t="s">
        <v>1029</v>
      </c>
      <c r="K384" s="5" t="s">
        <v>1030</v>
      </c>
      <c r="L384" s="5" t="s">
        <v>1031</v>
      </c>
      <c r="M384" s="5"/>
      <c r="N384" s="5"/>
      <c r="O384" s="5"/>
    </row>
    <row r="385" spans="1:15" x14ac:dyDescent="0.3">
      <c r="A385" s="5" t="s">
        <v>248</v>
      </c>
      <c r="B385" s="5" t="s">
        <v>1022</v>
      </c>
      <c r="C385" s="5" t="s">
        <v>862</v>
      </c>
      <c r="D385" s="5" t="s">
        <v>61</v>
      </c>
      <c r="E385" s="5" t="s">
        <v>154</v>
      </c>
      <c r="F385" s="14">
        <v>-1</v>
      </c>
      <c r="G385" s="5" t="s">
        <v>63</v>
      </c>
      <c r="H385" s="5"/>
      <c r="I385" s="5">
        <v>20</v>
      </c>
      <c r="J385" s="5" t="s">
        <v>1032</v>
      </c>
      <c r="K385" s="5" t="s">
        <v>1033</v>
      </c>
      <c r="L385" s="5" t="s">
        <v>1034</v>
      </c>
      <c r="M385" s="5"/>
      <c r="N385" s="5"/>
      <c r="O385" s="5" t="s">
        <v>377</v>
      </c>
    </row>
    <row r="386" spans="1:15" x14ac:dyDescent="0.3">
      <c r="A386" s="5" t="s">
        <v>248</v>
      </c>
      <c r="B386" s="5" t="s">
        <v>1022</v>
      </c>
      <c r="C386" s="5" t="s">
        <v>862</v>
      </c>
      <c r="D386" s="5" t="s">
        <v>61</v>
      </c>
      <c r="E386" s="5" t="s">
        <v>154</v>
      </c>
      <c r="F386" s="14">
        <v>-1</v>
      </c>
      <c r="G386" s="5" t="s">
        <v>72</v>
      </c>
      <c r="H386" s="5" t="s">
        <v>73</v>
      </c>
      <c r="I386" s="5"/>
      <c r="J386" s="5" t="s">
        <v>1035</v>
      </c>
      <c r="K386" s="5" t="s">
        <v>1036</v>
      </c>
      <c r="L386" s="5" t="s">
        <v>1037</v>
      </c>
      <c r="M386" s="5"/>
      <c r="N386" s="5"/>
      <c r="O386" s="5" t="s">
        <v>1038</v>
      </c>
    </row>
    <row r="387" spans="1:15" x14ac:dyDescent="0.3">
      <c r="A387" s="5" t="s">
        <v>248</v>
      </c>
      <c r="B387" s="5" t="s">
        <v>1022</v>
      </c>
      <c r="C387" s="5" t="s">
        <v>862</v>
      </c>
      <c r="D387" s="5" t="s">
        <v>61</v>
      </c>
      <c r="E387" s="5" t="s">
        <v>154</v>
      </c>
      <c r="F387" s="14">
        <v>-1</v>
      </c>
      <c r="G387" s="5" t="s">
        <v>72</v>
      </c>
      <c r="H387" s="5" t="s">
        <v>77</v>
      </c>
      <c r="I387" s="5"/>
      <c r="J387" s="5" t="s">
        <v>1035</v>
      </c>
      <c r="K387" s="5" t="s">
        <v>1039</v>
      </c>
      <c r="L387" s="5" t="s">
        <v>1040</v>
      </c>
      <c r="M387" s="5"/>
      <c r="N387" s="5"/>
      <c r="O387" s="5" t="s">
        <v>1038</v>
      </c>
    </row>
    <row r="388" spans="1:15" x14ac:dyDescent="0.3">
      <c r="A388" s="5" t="s">
        <v>248</v>
      </c>
      <c r="B388" s="5" t="s">
        <v>1041</v>
      </c>
      <c r="C388" s="5" t="s">
        <v>862</v>
      </c>
      <c r="D388" s="5" t="s">
        <v>61</v>
      </c>
      <c r="E388" s="5" t="s">
        <v>154</v>
      </c>
      <c r="F388" s="14">
        <v>-1</v>
      </c>
      <c r="G388" s="5" t="s">
        <v>63</v>
      </c>
      <c r="H388" s="5"/>
      <c r="I388" s="5">
        <v>20</v>
      </c>
      <c r="J388" s="5" t="s">
        <v>660</v>
      </c>
      <c r="K388" s="5" t="s">
        <v>563</v>
      </c>
      <c r="L388" s="5" t="s">
        <v>1042</v>
      </c>
      <c r="M388" s="5"/>
      <c r="N388" s="5"/>
      <c r="O388" s="5"/>
    </row>
    <row r="389" spans="1:15" x14ac:dyDescent="0.3">
      <c r="A389" s="5" t="s">
        <v>248</v>
      </c>
      <c r="B389" s="5" t="s">
        <v>1041</v>
      </c>
      <c r="C389" s="5" t="s">
        <v>862</v>
      </c>
      <c r="D389" s="5" t="s">
        <v>61</v>
      </c>
      <c r="E389" s="5" t="s">
        <v>154</v>
      </c>
      <c r="F389" s="14">
        <v>-1</v>
      </c>
      <c r="G389" s="5" t="s">
        <v>63</v>
      </c>
      <c r="H389" s="5"/>
      <c r="I389" s="5">
        <v>20</v>
      </c>
      <c r="J389" s="5" t="s">
        <v>661</v>
      </c>
      <c r="K389" s="5" t="s">
        <v>1043</v>
      </c>
      <c r="L389" s="5" t="s">
        <v>1044</v>
      </c>
      <c r="M389" s="5"/>
      <c r="N389" s="5"/>
      <c r="O389" s="5"/>
    </row>
    <row r="390" spans="1:15" x14ac:dyDescent="0.3">
      <c r="A390" s="5" t="s">
        <v>248</v>
      </c>
      <c r="B390" s="5" t="s">
        <v>1041</v>
      </c>
      <c r="C390" s="5" t="s">
        <v>862</v>
      </c>
      <c r="D390" s="5" t="s">
        <v>61</v>
      </c>
      <c r="E390" s="5" t="s">
        <v>154</v>
      </c>
      <c r="F390" s="14">
        <v>-1</v>
      </c>
      <c r="G390" s="5" t="s">
        <v>63</v>
      </c>
      <c r="H390" s="5"/>
      <c r="I390" s="5">
        <v>20</v>
      </c>
      <c r="J390" s="5" t="s">
        <v>362</v>
      </c>
      <c r="K390" s="5" t="s">
        <v>1045</v>
      </c>
      <c r="L390" s="5" t="s">
        <v>1046</v>
      </c>
      <c r="M390" s="5"/>
      <c r="N390" s="5"/>
      <c r="O390" s="5"/>
    </row>
    <row r="391" spans="1:15" x14ac:dyDescent="0.3">
      <c r="A391" s="5" t="s">
        <v>248</v>
      </c>
      <c r="B391" s="5" t="s">
        <v>1041</v>
      </c>
      <c r="C391" s="5" t="s">
        <v>862</v>
      </c>
      <c r="D391" s="5" t="s">
        <v>61</v>
      </c>
      <c r="E391" s="5" t="s">
        <v>154</v>
      </c>
      <c r="F391" s="14">
        <v>-1</v>
      </c>
      <c r="G391" s="5" t="s">
        <v>63</v>
      </c>
      <c r="H391" s="5"/>
      <c r="I391" s="5">
        <v>20</v>
      </c>
      <c r="J391" s="5" t="s">
        <v>1029</v>
      </c>
      <c r="K391" s="5" t="s">
        <v>1047</v>
      </c>
      <c r="L391" s="5" t="s">
        <v>1048</v>
      </c>
      <c r="M391" s="5"/>
      <c r="N391" s="5"/>
      <c r="O391" s="5"/>
    </row>
    <row r="392" spans="1:15" x14ac:dyDescent="0.3">
      <c r="A392" s="5" t="s">
        <v>248</v>
      </c>
      <c r="B392" s="5" t="s">
        <v>1041</v>
      </c>
      <c r="C392" s="5" t="s">
        <v>862</v>
      </c>
      <c r="D392" s="5" t="s">
        <v>61</v>
      </c>
      <c r="E392" s="5" t="s">
        <v>154</v>
      </c>
      <c r="F392" s="14">
        <v>-1</v>
      </c>
      <c r="G392" s="5" t="s">
        <v>63</v>
      </c>
      <c r="H392" s="5"/>
      <c r="I392" s="5">
        <v>20</v>
      </c>
      <c r="J392" s="5" t="s">
        <v>1049</v>
      </c>
      <c r="K392" s="5" t="s">
        <v>1050</v>
      </c>
      <c r="L392" s="5" t="s">
        <v>1051</v>
      </c>
      <c r="M392" s="5"/>
      <c r="N392" s="5"/>
      <c r="O392" s="5" t="s">
        <v>377</v>
      </c>
    </row>
    <row r="393" spans="1:15" x14ac:dyDescent="0.3">
      <c r="A393" s="5" t="s">
        <v>248</v>
      </c>
      <c r="B393" s="5" t="s">
        <v>1041</v>
      </c>
      <c r="C393" s="5" t="s">
        <v>862</v>
      </c>
      <c r="D393" s="5" t="s">
        <v>61</v>
      </c>
      <c r="E393" s="5" t="s">
        <v>154</v>
      </c>
      <c r="F393" s="14">
        <v>-1</v>
      </c>
      <c r="G393" s="5" t="s">
        <v>72</v>
      </c>
      <c r="H393" s="5" t="s">
        <v>73</v>
      </c>
      <c r="I393" s="5"/>
      <c r="J393" s="5" t="s">
        <v>1052</v>
      </c>
      <c r="K393" s="5" t="s">
        <v>1053</v>
      </c>
      <c r="L393" s="5" t="s">
        <v>1054</v>
      </c>
      <c r="M393" s="5"/>
      <c r="N393" s="5"/>
      <c r="O393" s="5" t="s">
        <v>1055</v>
      </c>
    </row>
    <row r="394" spans="1:15" x14ac:dyDescent="0.3">
      <c r="A394" s="5" t="s">
        <v>248</v>
      </c>
      <c r="B394" s="5" t="s">
        <v>1041</v>
      </c>
      <c r="C394" s="5" t="s">
        <v>862</v>
      </c>
      <c r="D394" s="5" t="s">
        <v>61</v>
      </c>
      <c r="E394" s="5" t="s">
        <v>154</v>
      </c>
      <c r="F394" s="14">
        <v>-1</v>
      </c>
      <c r="G394" s="5" t="s">
        <v>72</v>
      </c>
      <c r="H394" s="5" t="s">
        <v>77</v>
      </c>
      <c r="I394" s="5"/>
      <c r="J394" s="5" t="s">
        <v>1052</v>
      </c>
      <c r="K394" s="5" t="s">
        <v>622</v>
      </c>
      <c r="L394" s="5" t="s">
        <v>1056</v>
      </c>
      <c r="M394" s="5"/>
      <c r="N394" s="5"/>
      <c r="O394" s="5" t="s">
        <v>1055</v>
      </c>
    </row>
    <row r="395" spans="1:15" x14ac:dyDescent="0.3">
      <c r="A395" s="5" t="s">
        <v>509</v>
      </c>
      <c r="B395" s="5" t="s">
        <v>624</v>
      </c>
      <c r="C395" s="5" t="s">
        <v>1057</v>
      </c>
      <c r="D395" s="5" t="s">
        <v>61</v>
      </c>
      <c r="E395" s="5" t="s">
        <v>154</v>
      </c>
      <c r="F395" s="14">
        <v>-1</v>
      </c>
      <c r="G395" s="5" t="s">
        <v>63</v>
      </c>
      <c r="H395" s="5"/>
      <c r="I395" s="5">
        <v>20</v>
      </c>
      <c r="J395" s="5" t="s">
        <v>660</v>
      </c>
      <c r="K395" s="5" t="s">
        <v>1058</v>
      </c>
      <c r="L395" s="5" t="s">
        <v>1059</v>
      </c>
      <c r="M395" s="5"/>
      <c r="N395" s="5"/>
      <c r="O395" s="5"/>
    </row>
    <row r="396" spans="1:15" x14ac:dyDescent="0.3">
      <c r="A396" s="5" t="s">
        <v>509</v>
      </c>
      <c r="B396" s="5" t="s">
        <v>624</v>
      </c>
      <c r="C396" s="5" t="s">
        <v>1057</v>
      </c>
      <c r="D396" s="5" t="s">
        <v>61</v>
      </c>
      <c r="E396" s="5" t="s">
        <v>154</v>
      </c>
      <c r="F396" s="14">
        <v>-1</v>
      </c>
      <c r="G396" s="5" t="s">
        <v>63</v>
      </c>
      <c r="H396" s="5"/>
      <c r="I396" s="5">
        <v>20</v>
      </c>
      <c r="J396" s="5" t="s">
        <v>661</v>
      </c>
      <c r="K396" s="5" t="s">
        <v>1060</v>
      </c>
      <c r="L396" s="5" t="s">
        <v>1061</v>
      </c>
      <c r="M396" s="5"/>
      <c r="N396" s="5"/>
      <c r="O396" s="5"/>
    </row>
    <row r="397" spans="1:15" x14ac:dyDescent="0.3">
      <c r="A397" s="5" t="s">
        <v>509</v>
      </c>
      <c r="B397" s="5" t="s">
        <v>624</v>
      </c>
      <c r="C397" s="5" t="s">
        <v>1057</v>
      </c>
      <c r="D397" s="5" t="s">
        <v>61</v>
      </c>
      <c r="E397" s="5" t="s">
        <v>154</v>
      </c>
      <c r="F397" s="14">
        <v>-1</v>
      </c>
      <c r="G397" s="5" t="s">
        <v>63</v>
      </c>
      <c r="H397" s="5"/>
      <c r="I397" s="5">
        <v>20</v>
      </c>
      <c r="J397" s="5" t="s">
        <v>362</v>
      </c>
      <c r="K397" s="5" t="s">
        <v>1062</v>
      </c>
      <c r="L397" s="5" t="s">
        <v>1063</v>
      </c>
      <c r="M397" s="5"/>
      <c r="N397" s="5"/>
      <c r="O397" s="5"/>
    </row>
    <row r="398" spans="1:15" x14ac:dyDescent="0.3">
      <c r="A398" s="5" t="s">
        <v>509</v>
      </c>
      <c r="B398" s="5" t="s">
        <v>624</v>
      </c>
      <c r="C398" s="5" t="s">
        <v>1057</v>
      </c>
      <c r="D398" s="5" t="s">
        <v>61</v>
      </c>
      <c r="E398" s="5" t="s">
        <v>154</v>
      </c>
      <c r="F398" s="14">
        <v>-1</v>
      </c>
      <c r="G398" s="5" t="s">
        <v>63</v>
      </c>
      <c r="H398" s="5"/>
      <c r="I398" s="5">
        <v>20</v>
      </c>
      <c r="J398" s="5" t="s">
        <v>1064</v>
      </c>
      <c r="K398" s="5" t="s">
        <v>1065</v>
      </c>
      <c r="L398" s="5" t="s">
        <v>1066</v>
      </c>
      <c r="M398" s="5"/>
      <c r="N398" s="5"/>
      <c r="O398" s="5" t="s">
        <v>1067</v>
      </c>
    </row>
    <row r="399" spans="1:15" x14ac:dyDescent="0.3">
      <c r="A399" s="5" t="s">
        <v>509</v>
      </c>
      <c r="B399" s="5" t="s">
        <v>624</v>
      </c>
      <c r="C399" s="5" t="s">
        <v>1057</v>
      </c>
      <c r="D399" s="5" t="s">
        <v>61</v>
      </c>
      <c r="E399" s="5" t="s">
        <v>154</v>
      </c>
      <c r="F399" s="14">
        <v>-1</v>
      </c>
      <c r="G399" s="5" t="s">
        <v>63</v>
      </c>
      <c r="H399" s="5"/>
      <c r="I399" s="5">
        <v>20</v>
      </c>
      <c r="J399" s="5" t="s">
        <v>1068</v>
      </c>
      <c r="K399" s="5" t="s">
        <v>1069</v>
      </c>
      <c r="L399" s="5" t="s">
        <v>1070</v>
      </c>
      <c r="M399" s="5"/>
      <c r="N399" s="5"/>
      <c r="O399" s="5" t="s">
        <v>377</v>
      </c>
    </row>
    <row r="400" spans="1:15" x14ac:dyDescent="0.3">
      <c r="A400" s="5" t="s">
        <v>509</v>
      </c>
      <c r="B400" s="5" t="s">
        <v>624</v>
      </c>
      <c r="C400" s="5" t="s">
        <v>1057</v>
      </c>
      <c r="D400" s="5" t="s">
        <v>61</v>
      </c>
      <c r="E400" s="5" t="s">
        <v>154</v>
      </c>
      <c r="F400" s="14">
        <v>-1</v>
      </c>
      <c r="G400" s="5" t="s">
        <v>72</v>
      </c>
      <c r="H400" s="5" t="s">
        <v>73</v>
      </c>
      <c r="I400" s="5"/>
      <c r="J400" s="5" t="s">
        <v>1071</v>
      </c>
      <c r="K400" s="5" t="s">
        <v>1072</v>
      </c>
      <c r="L400" s="5" t="s">
        <v>1073</v>
      </c>
      <c r="M400" s="5"/>
      <c r="N400" s="5"/>
      <c r="O400" s="5" t="s">
        <v>1074</v>
      </c>
    </row>
    <row r="401" spans="1:15" x14ac:dyDescent="0.3">
      <c r="A401" s="5" t="s">
        <v>509</v>
      </c>
      <c r="B401" s="5" t="s">
        <v>624</v>
      </c>
      <c r="C401" s="5" t="s">
        <v>1057</v>
      </c>
      <c r="D401" s="5" t="s">
        <v>61</v>
      </c>
      <c r="E401" s="5" t="s">
        <v>154</v>
      </c>
      <c r="F401" s="14">
        <v>-1</v>
      </c>
      <c r="G401" s="5" t="s">
        <v>72</v>
      </c>
      <c r="H401" s="5" t="s">
        <v>77</v>
      </c>
      <c r="I401" s="5"/>
      <c r="J401" s="5" t="s">
        <v>1071</v>
      </c>
      <c r="K401" s="5" t="s">
        <v>1075</v>
      </c>
      <c r="L401" s="5" t="s">
        <v>1076</v>
      </c>
      <c r="M401" s="5"/>
      <c r="N401" s="5"/>
      <c r="O401" s="5" t="s">
        <v>1074</v>
      </c>
    </row>
    <row r="402" spans="1:15" x14ac:dyDescent="0.3">
      <c r="A402" s="5" t="s">
        <v>509</v>
      </c>
      <c r="B402" s="5" t="s">
        <v>1077</v>
      </c>
      <c r="C402" s="5" t="s">
        <v>544</v>
      </c>
      <c r="D402" s="5" t="s">
        <v>61</v>
      </c>
      <c r="E402" s="5" t="s">
        <v>154</v>
      </c>
      <c r="F402" s="14">
        <v>-1</v>
      </c>
      <c r="G402" s="5" t="s">
        <v>63</v>
      </c>
      <c r="H402" s="5"/>
      <c r="I402" s="5">
        <v>20</v>
      </c>
      <c r="J402" s="5" t="s">
        <v>660</v>
      </c>
      <c r="K402" s="5" t="s">
        <v>515</v>
      </c>
      <c r="L402" s="5" t="s">
        <v>1078</v>
      </c>
      <c r="M402" s="5"/>
      <c r="N402" s="5"/>
      <c r="O402" s="5"/>
    </row>
    <row r="403" spans="1:15" x14ac:dyDescent="0.3">
      <c r="A403" s="5" t="s">
        <v>509</v>
      </c>
      <c r="B403" s="5" t="s">
        <v>1077</v>
      </c>
      <c r="C403" s="5" t="s">
        <v>544</v>
      </c>
      <c r="D403" s="5" t="s">
        <v>61</v>
      </c>
      <c r="E403" s="5" t="s">
        <v>154</v>
      </c>
      <c r="F403" s="14">
        <v>-1</v>
      </c>
      <c r="G403" s="5" t="s">
        <v>63</v>
      </c>
      <c r="H403" s="5"/>
      <c r="I403" s="5">
        <v>20</v>
      </c>
      <c r="J403" s="5" t="s">
        <v>661</v>
      </c>
      <c r="K403" s="5" t="s">
        <v>1079</v>
      </c>
      <c r="L403" s="5" t="s">
        <v>1080</v>
      </c>
      <c r="M403" s="5"/>
      <c r="N403" s="5"/>
      <c r="O403" s="5"/>
    </row>
    <row r="404" spans="1:15" x14ac:dyDescent="0.3">
      <c r="A404" s="5" t="s">
        <v>509</v>
      </c>
      <c r="B404" s="5" t="s">
        <v>1077</v>
      </c>
      <c r="C404" s="5" t="s">
        <v>544</v>
      </c>
      <c r="D404" s="5" t="s">
        <v>61</v>
      </c>
      <c r="E404" s="5" t="s">
        <v>154</v>
      </c>
      <c r="F404" s="14">
        <v>-1</v>
      </c>
      <c r="G404" s="5" t="s">
        <v>63</v>
      </c>
      <c r="H404" s="5"/>
      <c r="I404" s="5">
        <v>20</v>
      </c>
      <c r="J404" s="5" t="s">
        <v>362</v>
      </c>
      <c r="K404" s="5" t="s">
        <v>1081</v>
      </c>
      <c r="L404" s="5" t="s">
        <v>1082</v>
      </c>
      <c r="M404" s="5"/>
      <c r="N404" s="5"/>
      <c r="O404" s="5"/>
    </row>
    <row r="405" spans="1:15" x14ac:dyDescent="0.3">
      <c r="A405" t="s">
        <v>509</v>
      </c>
      <c r="B405" t="s">
        <v>1077</v>
      </c>
      <c r="C405" t="s">
        <v>544</v>
      </c>
      <c r="D405" t="s">
        <v>61</v>
      </c>
      <c r="E405" t="s">
        <v>154</v>
      </c>
      <c r="F405" s="16">
        <v>-1</v>
      </c>
      <c r="G405" t="s">
        <v>63</v>
      </c>
      <c r="I405">
        <v>20</v>
      </c>
      <c r="J405" t="s">
        <v>1083</v>
      </c>
      <c r="K405" t="s">
        <v>1084</v>
      </c>
      <c r="L405" t="s">
        <v>1085</v>
      </c>
    </row>
    <row r="406" spans="1:15" x14ac:dyDescent="0.3">
      <c r="A406" t="s">
        <v>509</v>
      </c>
      <c r="B406" t="s">
        <v>1077</v>
      </c>
      <c r="C406" t="s">
        <v>544</v>
      </c>
      <c r="D406" t="s">
        <v>61</v>
      </c>
      <c r="E406" t="s">
        <v>154</v>
      </c>
      <c r="F406" s="16">
        <v>-1</v>
      </c>
      <c r="G406" t="s">
        <v>63</v>
      </c>
      <c r="I406">
        <v>20</v>
      </c>
      <c r="J406" t="s">
        <v>1086</v>
      </c>
      <c r="K406" t="s">
        <v>1087</v>
      </c>
      <c r="L406" t="s">
        <v>1088</v>
      </c>
      <c r="O406" t="s">
        <v>377</v>
      </c>
    </row>
    <row r="407" spans="1:15" x14ac:dyDescent="0.3">
      <c r="A407" t="s">
        <v>509</v>
      </c>
      <c r="B407" t="s">
        <v>1077</v>
      </c>
      <c r="C407" t="s">
        <v>544</v>
      </c>
      <c r="D407" t="s">
        <v>61</v>
      </c>
      <c r="E407" t="s">
        <v>154</v>
      </c>
      <c r="F407" s="16">
        <v>-1</v>
      </c>
      <c r="G407" t="s">
        <v>72</v>
      </c>
      <c r="H407" t="s">
        <v>73</v>
      </c>
      <c r="J407" t="s">
        <v>1089</v>
      </c>
      <c r="K407" t="s">
        <v>1090</v>
      </c>
      <c r="L407" t="s">
        <v>1091</v>
      </c>
      <c r="O407" t="s">
        <v>1092</v>
      </c>
    </row>
    <row r="408" spans="1:15" x14ac:dyDescent="0.3">
      <c r="A408" t="s">
        <v>509</v>
      </c>
      <c r="B408" t="s">
        <v>1077</v>
      </c>
      <c r="C408" t="s">
        <v>544</v>
      </c>
      <c r="D408" t="s">
        <v>61</v>
      </c>
      <c r="E408" t="s">
        <v>154</v>
      </c>
      <c r="F408" s="16">
        <v>-1</v>
      </c>
      <c r="G408" t="s">
        <v>72</v>
      </c>
      <c r="H408" t="s">
        <v>77</v>
      </c>
      <c r="J408" t="s">
        <v>1089</v>
      </c>
      <c r="K408" t="s">
        <v>1093</v>
      </c>
      <c r="L408" t="s">
        <v>1094</v>
      </c>
      <c r="O408" t="s">
        <v>1092</v>
      </c>
    </row>
    <row r="409" spans="1:15" x14ac:dyDescent="0.3">
      <c r="A409" t="s">
        <v>509</v>
      </c>
      <c r="B409" t="s">
        <v>1095</v>
      </c>
      <c r="C409" t="s">
        <v>1096</v>
      </c>
      <c r="D409" t="s">
        <v>61</v>
      </c>
      <c r="E409" t="s">
        <v>154</v>
      </c>
      <c r="F409" s="16">
        <v>-1</v>
      </c>
      <c r="G409" t="s">
        <v>63</v>
      </c>
      <c r="I409">
        <v>20</v>
      </c>
      <c r="J409" t="s">
        <v>660</v>
      </c>
      <c r="K409" t="s">
        <v>1097</v>
      </c>
      <c r="L409" t="s">
        <v>1098</v>
      </c>
    </row>
    <row r="410" spans="1:15" x14ac:dyDescent="0.3">
      <c r="A410" t="s">
        <v>509</v>
      </c>
      <c r="B410" t="s">
        <v>1095</v>
      </c>
      <c r="C410" t="s">
        <v>1096</v>
      </c>
      <c r="D410" t="s">
        <v>61</v>
      </c>
      <c r="E410" t="s">
        <v>154</v>
      </c>
      <c r="F410" s="16">
        <v>-1</v>
      </c>
      <c r="G410" t="s">
        <v>63</v>
      </c>
      <c r="I410">
        <v>20</v>
      </c>
      <c r="J410" t="s">
        <v>661</v>
      </c>
      <c r="K410" t="s">
        <v>1099</v>
      </c>
      <c r="L410" t="s">
        <v>1100</v>
      </c>
    </row>
    <row r="411" spans="1:15" x14ac:dyDescent="0.3">
      <c r="A411" t="s">
        <v>509</v>
      </c>
      <c r="B411" t="s">
        <v>1095</v>
      </c>
      <c r="C411" t="s">
        <v>1096</v>
      </c>
      <c r="D411" t="s">
        <v>61</v>
      </c>
      <c r="E411" t="s">
        <v>154</v>
      </c>
      <c r="F411" s="16">
        <v>-1</v>
      </c>
      <c r="G411" t="s">
        <v>63</v>
      </c>
      <c r="I411">
        <v>20</v>
      </c>
      <c r="J411" t="s">
        <v>362</v>
      </c>
      <c r="K411" t="s">
        <v>1101</v>
      </c>
      <c r="L411" t="s">
        <v>1102</v>
      </c>
    </row>
    <row r="412" spans="1:15" x14ac:dyDescent="0.3">
      <c r="A412" t="s">
        <v>509</v>
      </c>
      <c r="B412" t="s">
        <v>1095</v>
      </c>
      <c r="C412" t="s">
        <v>1096</v>
      </c>
      <c r="D412" t="s">
        <v>61</v>
      </c>
      <c r="E412" t="s">
        <v>154</v>
      </c>
      <c r="F412" s="16">
        <v>-1</v>
      </c>
      <c r="G412" t="s">
        <v>63</v>
      </c>
      <c r="I412">
        <v>20</v>
      </c>
      <c r="J412" t="s">
        <v>1103</v>
      </c>
      <c r="K412" t="s">
        <v>1104</v>
      </c>
      <c r="L412" t="s">
        <v>1105</v>
      </c>
    </row>
    <row r="413" spans="1:15" x14ac:dyDescent="0.3">
      <c r="A413" t="s">
        <v>509</v>
      </c>
      <c r="B413" t="s">
        <v>1095</v>
      </c>
      <c r="C413" t="s">
        <v>1096</v>
      </c>
      <c r="D413" t="s">
        <v>61</v>
      </c>
      <c r="E413" t="s">
        <v>154</v>
      </c>
      <c r="F413" s="16">
        <v>-1</v>
      </c>
      <c r="G413" t="s">
        <v>63</v>
      </c>
      <c r="I413">
        <v>20</v>
      </c>
      <c r="J413" t="s">
        <v>1106</v>
      </c>
      <c r="K413" t="s">
        <v>1107</v>
      </c>
      <c r="L413" t="s">
        <v>1108</v>
      </c>
      <c r="O413" t="s">
        <v>377</v>
      </c>
    </row>
    <row r="414" spans="1:15" x14ac:dyDescent="0.3">
      <c r="A414" t="s">
        <v>509</v>
      </c>
      <c r="B414" t="s">
        <v>1095</v>
      </c>
      <c r="C414" t="s">
        <v>1096</v>
      </c>
      <c r="D414" t="s">
        <v>61</v>
      </c>
      <c r="E414" t="s">
        <v>154</v>
      </c>
      <c r="F414" s="16">
        <v>-1</v>
      </c>
      <c r="G414" t="s">
        <v>72</v>
      </c>
      <c r="H414" t="s">
        <v>73</v>
      </c>
      <c r="J414" t="s">
        <v>1109</v>
      </c>
      <c r="K414" t="s">
        <v>1110</v>
      </c>
      <c r="L414" t="s">
        <v>1111</v>
      </c>
      <c r="O414" t="s">
        <v>1112</v>
      </c>
    </row>
    <row r="415" spans="1:15" x14ac:dyDescent="0.3">
      <c r="A415" t="s">
        <v>509</v>
      </c>
      <c r="B415" t="s">
        <v>1095</v>
      </c>
      <c r="C415" t="s">
        <v>1096</v>
      </c>
      <c r="D415" t="s">
        <v>61</v>
      </c>
      <c r="E415" t="s">
        <v>154</v>
      </c>
      <c r="F415" s="16">
        <v>-1</v>
      </c>
      <c r="G415" t="s">
        <v>72</v>
      </c>
      <c r="H415" t="s">
        <v>77</v>
      </c>
      <c r="J415" t="s">
        <v>1109</v>
      </c>
      <c r="K415" t="s">
        <v>1113</v>
      </c>
      <c r="L415" t="s">
        <v>1114</v>
      </c>
      <c r="O415" t="s">
        <v>1112</v>
      </c>
    </row>
    <row r="416" spans="1:15" x14ac:dyDescent="0.3">
      <c r="A416" t="s">
        <v>509</v>
      </c>
      <c r="B416" t="s">
        <v>1115</v>
      </c>
      <c r="C416" t="s">
        <v>544</v>
      </c>
      <c r="D416" t="s">
        <v>61</v>
      </c>
      <c r="E416" t="s">
        <v>154</v>
      </c>
      <c r="F416" s="16">
        <v>-1</v>
      </c>
      <c r="G416" t="s">
        <v>63</v>
      </c>
      <c r="I416">
        <v>20</v>
      </c>
      <c r="J416" t="s">
        <v>660</v>
      </c>
      <c r="K416" t="s">
        <v>515</v>
      </c>
      <c r="L416" t="s">
        <v>1116</v>
      </c>
    </row>
    <row r="417" spans="1:15" x14ac:dyDescent="0.3">
      <c r="A417" t="s">
        <v>509</v>
      </c>
      <c r="B417" t="s">
        <v>1115</v>
      </c>
      <c r="C417" t="s">
        <v>544</v>
      </c>
      <c r="D417" t="s">
        <v>61</v>
      </c>
      <c r="E417" t="s">
        <v>154</v>
      </c>
      <c r="F417" s="16">
        <v>-1</v>
      </c>
      <c r="G417" t="s">
        <v>63</v>
      </c>
      <c r="I417">
        <v>20</v>
      </c>
      <c r="J417" t="s">
        <v>661</v>
      </c>
      <c r="K417" t="s">
        <v>1117</v>
      </c>
      <c r="L417" t="s">
        <v>1118</v>
      </c>
    </row>
    <row r="418" spans="1:15" x14ac:dyDescent="0.3">
      <c r="A418" t="s">
        <v>509</v>
      </c>
      <c r="B418" t="s">
        <v>1115</v>
      </c>
      <c r="C418" t="s">
        <v>544</v>
      </c>
      <c r="D418" t="s">
        <v>61</v>
      </c>
      <c r="E418" t="s">
        <v>154</v>
      </c>
      <c r="F418" s="16">
        <v>-1</v>
      </c>
      <c r="G418" t="s">
        <v>63</v>
      </c>
      <c r="I418">
        <v>20</v>
      </c>
      <c r="J418" t="s">
        <v>1103</v>
      </c>
      <c r="K418" t="s">
        <v>1119</v>
      </c>
      <c r="L418" t="s">
        <v>1120</v>
      </c>
    </row>
    <row r="419" spans="1:15" x14ac:dyDescent="0.3">
      <c r="A419" t="s">
        <v>509</v>
      </c>
      <c r="B419" t="s">
        <v>1115</v>
      </c>
      <c r="C419" t="s">
        <v>544</v>
      </c>
      <c r="D419" t="s">
        <v>61</v>
      </c>
      <c r="E419" t="s">
        <v>154</v>
      </c>
      <c r="F419" s="16">
        <v>-1</v>
      </c>
      <c r="G419" t="s">
        <v>63</v>
      </c>
      <c r="I419">
        <v>20</v>
      </c>
      <c r="J419" t="s">
        <v>362</v>
      </c>
      <c r="K419" t="s">
        <v>1121</v>
      </c>
      <c r="L419" t="s">
        <v>1122</v>
      </c>
    </row>
    <row r="420" spans="1:15" x14ac:dyDescent="0.3">
      <c r="A420" t="s">
        <v>509</v>
      </c>
      <c r="B420" t="s">
        <v>1115</v>
      </c>
      <c r="C420" t="s">
        <v>544</v>
      </c>
      <c r="D420" t="s">
        <v>61</v>
      </c>
      <c r="E420" t="s">
        <v>154</v>
      </c>
      <c r="F420" s="16">
        <v>-1</v>
      </c>
      <c r="G420" t="s">
        <v>63</v>
      </c>
      <c r="I420">
        <v>20</v>
      </c>
      <c r="J420" t="s">
        <v>855</v>
      </c>
      <c r="K420" t="s">
        <v>1123</v>
      </c>
      <c r="L420" t="s">
        <v>1124</v>
      </c>
      <c r="O420" t="s">
        <v>377</v>
      </c>
    </row>
    <row r="421" spans="1:15" x14ac:dyDescent="0.3">
      <c r="A421" t="s">
        <v>509</v>
      </c>
      <c r="B421" t="s">
        <v>1115</v>
      </c>
      <c r="C421" t="s">
        <v>544</v>
      </c>
      <c r="D421" t="s">
        <v>61</v>
      </c>
      <c r="E421" t="s">
        <v>154</v>
      </c>
      <c r="F421" s="16">
        <v>-1</v>
      </c>
      <c r="G421" t="s">
        <v>72</v>
      </c>
      <c r="H421" t="s">
        <v>73</v>
      </c>
      <c r="J421" t="s">
        <v>1125</v>
      </c>
      <c r="K421" t="s">
        <v>1126</v>
      </c>
      <c r="L421" t="s">
        <v>1127</v>
      </c>
      <c r="O421" t="s">
        <v>1128</v>
      </c>
    </row>
    <row r="422" spans="1:15" x14ac:dyDescent="0.3">
      <c r="A422" t="s">
        <v>509</v>
      </c>
      <c r="B422" t="s">
        <v>1115</v>
      </c>
      <c r="C422" t="s">
        <v>544</v>
      </c>
      <c r="D422" t="s">
        <v>61</v>
      </c>
      <c r="E422" t="s">
        <v>154</v>
      </c>
      <c r="F422" s="16">
        <v>-1</v>
      </c>
      <c r="G422" t="s">
        <v>72</v>
      </c>
      <c r="H422" t="s">
        <v>77</v>
      </c>
      <c r="J422" t="s">
        <v>1125</v>
      </c>
      <c r="K422" t="s">
        <v>1129</v>
      </c>
      <c r="L422" t="s">
        <v>1130</v>
      </c>
      <c r="O422" t="s">
        <v>1128</v>
      </c>
    </row>
    <row r="423" spans="1:15" x14ac:dyDescent="0.3">
      <c r="A423" t="s">
        <v>509</v>
      </c>
      <c r="B423" t="s">
        <v>1131</v>
      </c>
      <c r="C423" t="s">
        <v>544</v>
      </c>
      <c r="D423" t="s">
        <v>61</v>
      </c>
      <c r="E423" t="s">
        <v>154</v>
      </c>
      <c r="F423" s="16">
        <v>-1</v>
      </c>
      <c r="G423" t="s">
        <v>63</v>
      </c>
      <c r="I423">
        <v>20</v>
      </c>
      <c r="J423" t="s">
        <v>660</v>
      </c>
      <c r="K423" t="s">
        <v>563</v>
      </c>
      <c r="L423" t="s">
        <v>1132</v>
      </c>
    </row>
    <row r="424" spans="1:15" x14ac:dyDescent="0.3">
      <c r="A424" t="s">
        <v>509</v>
      </c>
      <c r="B424" t="s">
        <v>1131</v>
      </c>
      <c r="C424" t="s">
        <v>544</v>
      </c>
      <c r="D424" t="s">
        <v>61</v>
      </c>
      <c r="E424" t="s">
        <v>154</v>
      </c>
      <c r="F424" s="16">
        <v>-1</v>
      </c>
      <c r="G424" t="s">
        <v>63</v>
      </c>
      <c r="I424">
        <v>20</v>
      </c>
      <c r="J424" t="s">
        <v>365</v>
      </c>
      <c r="K424" t="s">
        <v>1133</v>
      </c>
      <c r="L424" t="s">
        <v>1134</v>
      </c>
    </row>
    <row r="425" spans="1:15" x14ac:dyDescent="0.3">
      <c r="A425" t="s">
        <v>509</v>
      </c>
      <c r="B425" t="s">
        <v>1131</v>
      </c>
      <c r="C425" t="s">
        <v>544</v>
      </c>
      <c r="D425" t="s">
        <v>61</v>
      </c>
      <c r="E425" t="s">
        <v>154</v>
      </c>
      <c r="F425" s="16">
        <v>-1</v>
      </c>
      <c r="G425" t="s">
        <v>63</v>
      </c>
      <c r="I425">
        <v>20</v>
      </c>
      <c r="J425" t="s">
        <v>1103</v>
      </c>
      <c r="K425" t="s">
        <v>1135</v>
      </c>
      <c r="L425" t="s">
        <v>1136</v>
      </c>
    </row>
    <row r="426" spans="1:15" x14ac:dyDescent="0.3">
      <c r="A426" t="s">
        <v>509</v>
      </c>
      <c r="B426" t="s">
        <v>1131</v>
      </c>
      <c r="C426" t="s">
        <v>544</v>
      </c>
      <c r="D426" t="s">
        <v>61</v>
      </c>
      <c r="E426" t="s">
        <v>154</v>
      </c>
      <c r="F426" s="16">
        <v>-1</v>
      </c>
      <c r="G426" t="s">
        <v>63</v>
      </c>
      <c r="I426">
        <v>20</v>
      </c>
      <c r="J426" t="s">
        <v>362</v>
      </c>
      <c r="K426" t="s">
        <v>1137</v>
      </c>
      <c r="L426" t="s">
        <v>1138</v>
      </c>
    </row>
    <row r="427" spans="1:15" x14ac:dyDescent="0.3">
      <c r="A427" t="s">
        <v>509</v>
      </c>
      <c r="B427" t="s">
        <v>1131</v>
      </c>
      <c r="C427" t="s">
        <v>544</v>
      </c>
      <c r="D427" t="s">
        <v>61</v>
      </c>
      <c r="E427" t="s">
        <v>154</v>
      </c>
      <c r="F427" s="16">
        <v>-1</v>
      </c>
      <c r="G427" t="s">
        <v>63</v>
      </c>
      <c r="I427">
        <v>20</v>
      </c>
      <c r="J427" t="s">
        <v>1139</v>
      </c>
      <c r="K427" t="s">
        <v>1140</v>
      </c>
      <c r="L427" t="s">
        <v>1141</v>
      </c>
      <c r="O427" t="s">
        <v>377</v>
      </c>
    </row>
    <row r="428" spans="1:15" x14ac:dyDescent="0.3">
      <c r="A428" t="s">
        <v>509</v>
      </c>
      <c r="B428" t="s">
        <v>1131</v>
      </c>
      <c r="C428" t="s">
        <v>544</v>
      </c>
      <c r="D428" t="s">
        <v>61</v>
      </c>
      <c r="E428" t="s">
        <v>154</v>
      </c>
      <c r="F428" s="16">
        <v>-1</v>
      </c>
      <c r="G428" t="s">
        <v>72</v>
      </c>
      <c r="H428" t="s">
        <v>73</v>
      </c>
      <c r="J428" t="s">
        <v>1142</v>
      </c>
      <c r="K428" t="s">
        <v>1143</v>
      </c>
      <c r="L428" t="s">
        <v>1144</v>
      </c>
      <c r="O428" t="s">
        <v>1145</v>
      </c>
    </row>
    <row r="429" spans="1:15" x14ac:dyDescent="0.3">
      <c r="A429" t="s">
        <v>509</v>
      </c>
      <c r="B429" t="s">
        <v>1131</v>
      </c>
      <c r="C429" t="s">
        <v>544</v>
      </c>
      <c r="D429" t="s">
        <v>61</v>
      </c>
      <c r="E429" t="s">
        <v>154</v>
      </c>
      <c r="F429" s="16">
        <v>-1</v>
      </c>
      <c r="G429" t="s">
        <v>72</v>
      </c>
      <c r="H429" t="s">
        <v>77</v>
      </c>
      <c r="J429" t="s">
        <v>1142</v>
      </c>
      <c r="K429" t="s">
        <v>1146</v>
      </c>
      <c r="L429" t="s">
        <v>1147</v>
      </c>
      <c r="O429" t="s">
        <v>1145</v>
      </c>
    </row>
    <row r="430" spans="1:15" x14ac:dyDescent="0.3">
      <c r="A430" t="s">
        <v>509</v>
      </c>
      <c r="B430" t="s">
        <v>1148</v>
      </c>
      <c r="C430" t="s">
        <v>624</v>
      </c>
      <c r="D430" t="s">
        <v>61</v>
      </c>
      <c r="E430" t="s">
        <v>154</v>
      </c>
      <c r="F430" s="16">
        <v>-1</v>
      </c>
      <c r="G430" t="s">
        <v>63</v>
      </c>
      <c r="I430">
        <v>33</v>
      </c>
      <c r="J430" t="s">
        <v>660</v>
      </c>
      <c r="K430" t="s">
        <v>1149</v>
      </c>
      <c r="L430" t="s">
        <v>1150</v>
      </c>
    </row>
    <row r="431" spans="1:15" x14ac:dyDescent="0.3">
      <c r="A431" t="s">
        <v>509</v>
      </c>
      <c r="B431" t="s">
        <v>1148</v>
      </c>
      <c r="C431" t="s">
        <v>624</v>
      </c>
      <c r="D431" t="s">
        <v>61</v>
      </c>
      <c r="E431" t="s">
        <v>154</v>
      </c>
      <c r="F431" s="16">
        <v>-1</v>
      </c>
      <c r="G431" t="s">
        <v>63</v>
      </c>
      <c r="I431">
        <v>33</v>
      </c>
      <c r="J431" t="s">
        <v>362</v>
      </c>
      <c r="K431" t="s">
        <v>1151</v>
      </c>
      <c r="L431" t="s">
        <v>1152</v>
      </c>
    </row>
    <row r="432" spans="1:15" x14ac:dyDescent="0.3">
      <c r="A432" t="s">
        <v>509</v>
      </c>
      <c r="B432" t="s">
        <v>1148</v>
      </c>
      <c r="C432" t="s">
        <v>624</v>
      </c>
      <c r="D432" t="s">
        <v>61</v>
      </c>
      <c r="E432" t="s">
        <v>154</v>
      </c>
      <c r="F432" s="16">
        <v>-1</v>
      </c>
      <c r="G432" t="s">
        <v>63</v>
      </c>
      <c r="I432">
        <v>34</v>
      </c>
      <c r="J432" t="s">
        <v>661</v>
      </c>
      <c r="K432" t="s">
        <v>1153</v>
      </c>
      <c r="L432" t="s">
        <v>1154</v>
      </c>
      <c r="O432" t="s">
        <v>1155</v>
      </c>
    </row>
    <row r="433" spans="1:15" x14ac:dyDescent="0.3">
      <c r="A433" t="s">
        <v>509</v>
      </c>
      <c r="B433" t="s">
        <v>1148</v>
      </c>
      <c r="C433" t="s">
        <v>624</v>
      </c>
      <c r="D433" t="s">
        <v>61</v>
      </c>
      <c r="E433" t="s">
        <v>154</v>
      </c>
      <c r="F433" s="16">
        <v>-1</v>
      </c>
      <c r="G433" t="s">
        <v>72</v>
      </c>
      <c r="H433" t="s">
        <v>73</v>
      </c>
      <c r="J433" t="s">
        <v>1156</v>
      </c>
      <c r="K433" t="s">
        <v>1157</v>
      </c>
      <c r="L433" t="s">
        <v>1158</v>
      </c>
      <c r="O433" t="s">
        <v>1159</v>
      </c>
    </row>
    <row r="434" spans="1:15" x14ac:dyDescent="0.3">
      <c r="A434" t="s">
        <v>509</v>
      </c>
      <c r="B434" t="s">
        <v>1148</v>
      </c>
      <c r="C434" t="s">
        <v>624</v>
      </c>
      <c r="D434" t="s">
        <v>61</v>
      </c>
      <c r="E434" t="s">
        <v>154</v>
      </c>
      <c r="F434" s="16">
        <v>-1</v>
      </c>
      <c r="G434" t="s">
        <v>72</v>
      </c>
      <c r="H434" t="s">
        <v>77</v>
      </c>
      <c r="J434" t="s">
        <v>1156</v>
      </c>
      <c r="K434" t="s">
        <v>1160</v>
      </c>
      <c r="L434" t="s">
        <v>1161</v>
      </c>
      <c r="O434" t="s">
        <v>1159</v>
      </c>
    </row>
    <row r="435" spans="1:15" x14ac:dyDescent="0.3">
      <c r="A435" t="s">
        <v>509</v>
      </c>
      <c r="B435" t="s">
        <v>1096</v>
      </c>
      <c r="C435" t="s">
        <v>1096</v>
      </c>
      <c r="D435" t="s">
        <v>61</v>
      </c>
      <c r="E435" t="s">
        <v>154</v>
      </c>
      <c r="F435" s="16">
        <v>-1</v>
      </c>
      <c r="G435" t="s">
        <v>63</v>
      </c>
      <c r="I435">
        <v>20</v>
      </c>
      <c r="J435" t="s">
        <v>660</v>
      </c>
      <c r="K435" t="s">
        <v>766</v>
      </c>
      <c r="L435" t="s">
        <v>1162</v>
      </c>
    </row>
    <row r="436" spans="1:15" x14ac:dyDescent="0.3">
      <c r="A436" t="s">
        <v>509</v>
      </c>
      <c r="B436" t="s">
        <v>1096</v>
      </c>
      <c r="C436" t="s">
        <v>1096</v>
      </c>
      <c r="D436" t="s">
        <v>61</v>
      </c>
      <c r="E436" t="s">
        <v>154</v>
      </c>
      <c r="F436" s="16">
        <v>-1</v>
      </c>
      <c r="G436" t="s">
        <v>63</v>
      </c>
      <c r="I436">
        <v>20</v>
      </c>
      <c r="J436" t="s">
        <v>661</v>
      </c>
      <c r="K436" t="s">
        <v>1163</v>
      </c>
      <c r="L436" t="s">
        <v>1164</v>
      </c>
    </row>
    <row r="437" spans="1:15" x14ac:dyDescent="0.3">
      <c r="A437" t="s">
        <v>509</v>
      </c>
      <c r="B437" t="s">
        <v>1096</v>
      </c>
      <c r="C437" t="s">
        <v>1096</v>
      </c>
      <c r="D437" t="s">
        <v>61</v>
      </c>
      <c r="E437" t="s">
        <v>154</v>
      </c>
      <c r="F437" s="16">
        <v>-1</v>
      </c>
      <c r="G437" t="s">
        <v>63</v>
      </c>
      <c r="I437">
        <v>20</v>
      </c>
      <c r="J437" t="s">
        <v>362</v>
      </c>
      <c r="K437" t="s">
        <v>1165</v>
      </c>
      <c r="L437" t="s">
        <v>1166</v>
      </c>
    </row>
    <row r="438" spans="1:15" x14ac:dyDescent="0.3">
      <c r="A438" t="s">
        <v>509</v>
      </c>
      <c r="B438" t="s">
        <v>1096</v>
      </c>
      <c r="C438" t="s">
        <v>1096</v>
      </c>
      <c r="D438" t="s">
        <v>61</v>
      </c>
      <c r="E438" t="s">
        <v>154</v>
      </c>
      <c r="F438" s="16">
        <v>-1</v>
      </c>
      <c r="G438" t="s">
        <v>63</v>
      </c>
      <c r="I438">
        <v>20</v>
      </c>
      <c r="J438" t="s">
        <v>1167</v>
      </c>
      <c r="K438" t="s">
        <v>1168</v>
      </c>
      <c r="L438" t="s">
        <v>1169</v>
      </c>
    </row>
    <row r="439" spans="1:15" x14ac:dyDescent="0.3">
      <c r="A439" t="s">
        <v>509</v>
      </c>
      <c r="B439" t="s">
        <v>1096</v>
      </c>
      <c r="C439" t="s">
        <v>1096</v>
      </c>
      <c r="D439" t="s">
        <v>61</v>
      </c>
      <c r="E439" t="s">
        <v>154</v>
      </c>
      <c r="F439" s="16">
        <v>-1</v>
      </c>
      <c r="G439" t="s">
        <v>63</v>
      </c>
      <c r="I439">
        <v>20</v>
      </c>
      <c r="J439" t="s">
        <v>1103</v>
      </c>
      <c r="K439" t="s">
        <v>1170</v>
      </c>
      <c r="L439" t="s">
        <v>1171</v>
      </c>
      <c r="O439" t="s">
        <v>377</v>
      </c>
    </row>
    <row r="440" spans="1:15" x14ac:dyDescent="0.3">
      <c r="A440" t="s">
        <v>509</v>
      </c>
      <c r="B440" t="s">
        <v>1096</v>
      </c>
      <c r="C440" t="s">
        <v>1096</v>
      </c>
      <c r="D440" t="s">
        <v>61</v>
      </c>
      <c r="E440" t="s">
        <v>154</v>
      </c>
      <c r="F440" s="16">
        <v>-1</v>
      </c>
      <c r="G440" t="s">
        <v>72</v>
      </c>
      <c r="H440" t="s">
        <v>73</v>
      </c>
      <c r="J440" t="s">
        <v>1172</v>
      </c>
      <c r="K440" t="s">
        <v>1173</v>
      </c>
      <c r="L440" t="s">
        <v>1174</v>
      </c>
      <c r="O440" t="s">
        <v>1175</v>
      </c>
    </row>
    <row r="441" spans="1:15" x14ac:dyDescent="0.3">
      <c r="A441" t="s">
        <v>509</v>
      </c>
      <c r="B441" t="s">
        <v>1096</v>
      </c>
      <c r="C441" t="s">
        <v>1096</v>
      </c>
      <c r="D441" t="s">
        <v>61</v>
      </c>
      <c r="E441" t="s">
        <v>154</v>
      </c>
      <c r="F441" s="16">
        <v>-1</v>
      </c>
      <c r="G441" t="s">
        <v>72</v>
      </c>
      <c r="H441" t="s">
        <v>77</v>
      </c>
      <c r="J441" t="s">
        <v>1172</v>
      </c>
      <c r="K441" t="s">
        <v>1176</v>
      </c>
      <c r="L441" t="s">
        <v>1177</v>
      </c>
      <c r="O441" t="s">
        <v>1175</v>
      </c>
    </row>
    <row r="442" spans="1:15" x14ac:dyDescent="0.3">
      <c r="A442" t="s">
        <v>509</v>
      </c>
      <c r="B442" t="s">
        <v>1178</v>
      </c>
      <c r="C442" t="s">
        <v>544</v>
      </c>
      <c r="D442" t="s">
        <v>61</v>
      </c>
      <c r="E442" t="s">
        <v>154</v>
      </c>
      <c r="F442" s="16">
        <v>-1</v>
      </c>
      <c r="G442" t="s">
        <v>63</v>
      </c>
      <c r="I442">
        <v>20</v>
      </c>
      <c r="J442" t="s">
        <v>660</v>
      </c>
      <c r="K442" t="s">
        <v>563</v>
      </c>
      <c r="L442" t="s">
        <v>1179</v>
      </c>
    </row>
    <row r="443" spans="1:15" x14ac:dyDescent="0.3">
      <c r="A443" t="s">
        <v>509</v>
      </c>
      <c r="B443" t="s">
        <v>1178</v>
      </c>
      <c r="C443" t="s">
        <v>544</v>
      </c>
      <c r="D443" t="s">
        <v>61</v>
      </c>
      <c r="E443" t="s">
        <v>154</v>
      </c>
      <c r="F443" s="16">
        <v>-1</v>
      </c>
      <c r="G443" t="s">
        <v>63</v>
      </c>
      <c r="I443">
        <v>20</v>
      </c>
      <c r="J443" t="s">
        <v>661</v>
      </c>
      <c r="K443" t="s">
        <v>1180</v>
      </c>
      <c r="L443" t="s">
        <v>1181</v>
      </c>
    </row>
    <row r="444" spans="1:15" x14ac:dyDescent="0.3">
      <c r="A444" t="s">
        <v>509</v>
      </c>
      <c r="B444" t="s">
        <v>1178</v>
      </c>
      <c r="C444" t="s">
        <v>544</v>
      </c>
      <c r="D444" t="s">
        <v>61</v>
      </c>
      <c r="E444" t="s">
        <v>154</v>
      </c>
      <c r="F444" s="16">
        <v>-1</v>
      </c>
      <c r="G444" t="s">
        <v>63</v>
      </c>
      <c r="I444">
        <v>20</v>
      </c>
      <c r="J444" t="s">
        <v>1103</v>
      </c>
      <c r="K444" t="s">
        <v>1182</v>
      </c>
      <c r="L444" t="s">
        <v>1183</v>
      </c>
    </row>
    <row r="445" spans="1:15" x14ac:dyDescent="0.3">
      <c r="A445" t="s">
        <v>509</v>
      </c>
      <c r="B445" t="s">
        <v>1178</v>
      </c>
      <c r="C445" t="s">
        <v>544</v>
      </c>
      <c r="D445" t="s">
        <v>61</v>
      </c>
      <c r="E445" t="s">
        <v>154</v>
      </c>
      <c r="F445" s="16">
        <v>-1</v>
      </c>
      <c r="G445" t="s">
        <v>63</v>
      </c>
      <c r="I445">
        <v>20</v>
      </c>
      <c r="J445" t="s">
        <v>362</v>
      </c>
      <c r="K445" t="s">
        <v>1184</v>
      </c>
      <c r="L445" t="s">
        <v>1185</v>
      </c>
    </row>
    <row r="446" spans="1:15" x14ac:dyDescent="0.3">
      <c r="A446" t="s">
        <v>509</v>
      </c>
      <c r="B446" t="s">
        <v>1178</v>
      </c>
      <c r="C446" t="s">
        <v>544</v>
      </c>
      <c r="D446" t="s">
        <v>61</v>
      </c>
      <c r="E446" t="s">
        <v>154</v>
      </c>
      <c r="F446" s="16">
        <v>-1</v>
      </c>
      <c r="G446" t="s">
        <v>63</v>
      </c>
      <c r="I446">
        <v>20</v>
      </c>
      <c r="J446" t="s">
        <v>1186</v>
      </c>
      <c r="K446" t="s">
        <v>1187</v>
      </c>
      <c r="L446" t="s">
        <v>1188</v>
      </c>
      <c r="O446" t="s">
        <v>377</v>
      </c>
    </row>
    <row r="447" spans="1:15" x14ac:dyDescent="0.3">
      <c r="A447" t="s">
        <v>509</v>
      </c>
      <c r="B447" t="s">
        <v>1178</v>
      </c>
      <c r="C447" t="s">
        <v>544</v>
      </c>
      <c r="D447" t="s">
        <v>61</v>
      </c>
      <c r="E447" t="s">
        <v>154</v>
      </c>
      <c r="F447" s="16">
        <v>-1</v>
      </c>
      <c r="G447" t="s">
        <v>72</v>
      </c>
      <c r="H447" t="s">
        <v>73</v>
      </c>
      <c r="J447" t="s">
        <v>1189</v>
      </c>
      <c r="K447" t="s">
        <v>1190</v>
      </c>
      <c r="L447" t="s">
        <v>1191</v>
      </c>
      <c r="O447" t="s">
        <v>1192</v>
      </c>
    </row>
    <row r="448" spans="1:15" x14ac:dyDescent="0.3">
      <c r="A448" t="s">
        <v>509</v>
      </c>
      <c r="B448" t="s">
        <v>1178</v>
      </c>
      <c r="C448" t="s">
        <v>544</v>
      </c>
      <c r="D448" t="s">
        <v>61</v>
      </c>
      <c r="E448" t="s">
        <v>154</v>
      </c>
      <c r="F448" s="16">
        <v>-1</v>
      </c>
      <c r="G448" t="s">
        <v>72</v>
      </c>
      <c r="H448" t="s">
        <v>77</v>
      </c>
      <c r="J448" t="s">
        <v>1189</v>
      </c>
      <c r="K448" t="s">
        <v>622</v>
      </c>
      <c r="L448" t="s">
        <v>1193</v>
      </c>
      <c r="O448" t="s">
        <v>1192</v>
      </c>
    </row>
    <row r="449" spans="1:15" x14ac:dyDescent="0.3">
      <c r="A449" t="s">
        <v>509</v>
      </c>
      <c r="B449" t="s">
        <v>1194</v>
      </c>
      <c r="C449" t="s">
        <v>1096</v>
      </c>
      <c r="D449" t="s">
        <v>61</v>
      </c>
      <c r="E449" t="s">
        <v>154</v>
      </c>
      <c r="F449" s="16">
        <v>-1</v>
      </c>
      <c r="G449" t="s">
        <v>63</v>
      </c>
      <c r="I449">
        <v>20</v>
      </c>
      <c r="J449" t="s">
        <v>660</v>
      </c>
      <c r="K449" t="s">
        <v>1195</v>
      </c>
      <c r="L449" t="s">
        <v>1196</v>
      </c>
    </row>
    <row r="450" spans="1:15" x14ac:dyDescent="0.3">
      <c r="A450" t="s">
        <v>509</v>
      </c>
      <c r="B450" t="s">
        <v>1194</v>
      </c>
      <c r="C450" t="s">
        <v>1096</v>
      </c>
      <c r="D450" t="s">
        <v>61</v>
      </c>
      <c r="E450" t="s">
        <v>154</v>
      </c>
      <c r="F450" s="16">
        <v>-1</v>
      </c>
      <c r="G450" t="s">
        <v>63</v>
      </c>
      <c r="I450">
        <v>20</v>
      </c>
      <c r="J450" t="s">
        <v>661</v>
      </c>
      <c r="K450" t="s">
        <v>1197</v>
      </c>
      <c r="L450" t="s">
        <v>1198</v>
      </c>
    </row>
    <row r="451" spans="1:15" x14ac:dyDescent="0.3">
      <c r="A451" t="s">
        <v>509</v>
      </c>
      <c r="B451" t="s">
        <v>1194</v>
      </c>
      <c r="C451" t="s">
        <v>1096</v>
      </c>
      <c r="D451" t="s">
        <v>61</v>
      </c>
      <c r="E451" t="s">
        <v>154</v>
      </c>
      <c r="F451" s="16">
        <v>-1</v>
      </c>
      <c r="G451" t="s">
        <v>63</v>
      </c>
      <c r="I451">
        <v>20</v>
      </c>
      <c r="J451" t="s">
        <v>362</v>
      </c>
      <c r="K451" t="s">
        <v>1165</v>
      </c>
      <c r="L451" t="s">
        <v>1199</v>
      </c>
    </row>
    <row r="452" spans="1:15" x14ac:dyDescent="0.3">
      <c r="A452" t="s">
        <v>509</v>
      </c>
      <c r="B452" t="s">
        <v>1194</v>
      </c>
      <c r="C452" t="s">
        <v>1096</v>
      </c>
      <c r="D452" t="s">
        <v>61</v>
      </c>
      <c r="E452" t="s">
        <v>154</v>
      </c>
      <c r="F452" s="16">
        <v>-1</v>
      </c>
      <c r="G452" t="s">
        <v>63</v>
      </c>
      <c r="I452">
        <v>20</v>
      </c>
      <c r="J452" t="s">
        <v>1200</v>
      </c>
      <c r="K452" t="s">
        <v>1201</v>
      </c>
      <c r="L452" t="s">
        <v>1202</v>
      </c>
    </row>
    <row r="453" spans="1:15" x14ac:dyDescent="0.3">
      <c r="A453" t="s">
        <v>509</v>
      </c>
      <c r="B453" t="s">
        <v>1194</v>
      </c>
      <c r="C453" t="s">
        <v>1096</v>
      </c>
      <c r="D453" t="s">
        <v>61</v>
      </c>
      <c r="E453" t="s">
        <v>154</v>
      </c>
      <c r="F453" s="16">
        <v>-1</v>
      </c>
      <c r="G453" t="s">
        <v>63</v>
      </c>
      <c r="I453">
        <v>20</v>
      </c>
      <c r="J453" t="s">
        <v>1203</v>
      </c>
      <c r="K453" t="s">
        <v>1204</v>
      </c>
      <c r="L453" t="s">
        <v>1205</v>
      </c>
      <c r="O453" t="s">
        <v>377</v>
      </c>
    </row>
    <row r="454" spans="1:15" x14ac:dyDescent="0.3">
      <c r="A454" t="s">
        <v>509</v>
      </c>
      <c r="B454" t="s">
        <v>1194</v>
      </c>
      <c r="C454" t="s">
        <v>1096</v>
      </c>
      <c r="D454" t="s">
        <v>61</v>
      </c>
      <c r="E454" t="s">
        <v>154</v>
      </c>
      <c r="F454" s="16">
        <v>-1</v>
      </c>
      <c r="G454" t="s">
        <v>72</v>
      </c>
      <c r="H454" t="s">
        <v>73</v>
      </c>
      <c r="J454" t="s">
        <v>1206</v>
      </c>
      <c r="K454" t="s">
        <v>1207</v>
      </c>
      <c r="L454" t="s">
        <v>1208</v>
      </c>
      <c r="O454" t="s">
        <v>1209</v>
      </c>
    </row>
    <row r="455" spans="1:15" x14ac:dyDescent="0.3">
      <c r="A455" t="s">
        <v>509</v>
      </c>
      <c r="B455" t="s">
        <v>1194</v>
      </c>
      <c r="C455" t="s">
        <v>1096</v>
      </c>
      <c r="D455" t="s">
        <v>61</v>
      </c>
      <c r="E455" t="s">
        <v>154</v>
      </c>
      <c r="F455" s="16">
        <v>-1</v>
      </c>
      <c r="G455" t="s">
        <v>72</v>
      </c>
      <c r="H455" t="s">
        <v>77</v>
      </c>
      <c r="J455" t="s">
        <v>1206</v>
      </c>
      <c r="K455" t="s">
        <v>1210</v>
      </c>
      <c r="L455" t="s">
        <v>1211</v>
      </c>
      <c r="O455" t="s">
        <v>1209</v>
      </c>
    </row>
    <row r="456" spans="1:15" x14ac:dyDescent="0.3">
      <c r="A456" t="s">
        <v>509</v>
      </c>
      <c r="B456" t="s">
        <v>1212</v>
      </c>
      <c r="C456" t="s">
        <v>1213</v>
      </c>
      <c r="D456" t="s">
        <v>61</v>
      </c>
      <c r="E456" t="s">
        <v>154</v>
      </c>
      <c r="F456" s="16">
        <v>-1</v>
      </c>
      <c r="G456" t="s">
        <v>63</v>
      </c>
      <c r="I456">
        <v>20</v>
      </c>
      <c r="J456" t="s">
        <v>668</v>
      </c>
      <c r="K456" t="s">
        <v>1214</v>
      </c>
      <c r="L456" t="s">
        <v>1215</v>
      </c>
    </row>
    <row r="457" spans="1:15" x14ac:dyDescent="0.3">
      <c r="A457" t="s">
        <v>509</v>
      </c>
      <c r="B457" t="s">
        <v>1212</v>
      </c>
      <c r="C457" t="s">
        <v>1213</v>
      </c>
      <c r="D457" t="s">
        <v>61</v>
      </c>
      <c r="E457" t="s">
        <v>154</v>
      </c>
      <c r="F457" s="16">
        <v>-1</v>
      </c>
      <c r="G457" t="s">
        <v>63</v>
      </c>
      <c r="I457">
        <v>20</v>
      </c>
      <c r="J457" t="s">
        <v>660</v>
      </c>
      <c r="K457" t="s">
        <v>796</v>
      </c>
      <c r="L457" t="s">
        <v>1216</v>
      </c>
    </row>
    <row r="458" spans="1:15" x14ac:dyDescent="0.3">
      <c r="A458" t="s">
        <v>509</v>
      </c>
      <c r="B458" t="s">
        <v>1212</v>
      </c>
      <c r="C458" t="s">
        <v>1213</v>
      </c>
      <c r="D458" t="s">
        <v>61</v>
      </c>
      <c r="E458" t="s">
        <v>154</v>
      </c>
      <c r="F458" s="16">
        <v>-1</v>
      </c>
      <c r="G458" t="s">
        <v>63</v>
      </c>
      <c r="I458">
        <v>20</v>
      </c>
      <c r="J458" t="s">
        <v>661</v>
      </c>
      <c r="K458" t="s">
        <v>1217</v>
      </c>
      <c r="L458" t="s">
        <v>1218</v>
      </c>
    </row>
    <row r="459" spans="1:15" x14ac:dyDescent="0.3">
      <c r="A459" t="s">
        <v>509</v>
      </c>
      <c r="B459" t="s">
        <v>1212</v>
      </c>
      <c r="C459" t="s">
        <v>1213</v>
      </c>
      <c r="D459" t="s">
        <v>61</v>
      </c>
      <c r="E459" t="s">
        <v>154</v>
      </c>
      <c r="F459" s="16">
        <v>-1</v>
      </c>
      <c r="G459" t="s">
        <v>63</v>
      </c>
      <c r="I459">
        <v>20</v>
      </c>
      <c r="J459" t="s">
        <v>362</v>
      </c>
      <c r="K459" t="s">
        <v>1219</v>
      </c>
      <c r="L459" t="s">
        <v>1220</v>
      </c>
    </row>
    <row r="460" spans="1:15" x14ac:dyDescent="0.3">
      <c r="A460" t="s">
        <v>509</v>
      </c>
      <c r="B460" t="s">
        <v>1212</v>
      </c>
      <c r="C460" t="s">
        <v>1213</v>
      </c>
      <c r="D460" t="s">
        <v>61</v>
      </c>
      <c r="E460" t="s">
        <v>154</v>
      </c>
      <c r="F460" s="16">
        <v>-1</v>
      </c>
      <c r="G460" t="s">
        <v>63</v>
      </c>
      <c r="I460">
        <v>20</v>
      </c>
      <c r="J460" t="s">
        <v>1103</v>
      </c>
      <c r="K460" t="s">
        <v>1221</v>
      </c>
      <c r="L460" t="s">
        <v>1222</v>
      </c>
      <c r="O460" t="s">
        <v>377</v>
      </c>
    </row>
    <row r="461" spans="1:15" x14ac:dyDescent="0.3">
      <c r="A461" t="s">
        <v>509</v>
      </c>
      <c r="B461" t="s">
        <v>1212</v>
      </c>
      <c r="C461" t="s">
        <v>1213</v>
      </c>
      <c r="D461" t="s">
        <v>61</v>
      </c>
      <c r="E461" t="s">
        <v>154</v>
      </c>
      <c r="F461" s="16">
        <v>-1</v>
      </c>
      <c r="G461" t="s">
        <v>72</v>
      </c>
      <c r="H461" t="s">
        <v>73</v>
      </c>
      <c r="J461" t="s">
        <v>1223</v>
      </c>
      <c r="K461" t="s">
        <v>1224</v>
      </c>
      <c r="L461" t="s">
        <v>1225</v>
      </c>
      <c r="O461" t="s">
        <v>1175</v>
      </c>
    </row>
    <row r="462" spans="1:15" x14ac:dyDescent="0.3">
      <c r="A462" t="s">
        <v>509</v>
      </c>
      <c r="B462" t="s">
        <v>1212</v>
      </c>
      <c r="C462" t="s">
        <v>1213</v>
      </c>
      <c r="D462" t="s">
        <v>61</v>
      </c>
      <c r="E462" t="s">
        <v>154</v>
      </c>
      <c r="F462" s="16">
        <v>-1</v>
      </c>
      <c r="G462" t="s">
        <v>72</v>
      </c>
      <c r="H462" t="s">
        <v>77</v>
      </c>
      <c r="J462" t="s">
        <v>1223</v>
      </c>
      <c r="K462" t="s">
        <v>1226</v>
      </c>
      <c r="L462" t="s">
        <v>1227</v>
      </c>
      <c r="O462" t="s">
        <v>1175</v>
      </c>
    </row>
    <row r="463" spans="1:15" x14ac:dyDescent="0.3">
      <c r="A463" t="s">
        <v>509</v>
      </c>
      <c r="B463" t="s">
        <v>1228</v>
      </c>
      <c r="C463" t="s">
        <v>862</v>
      </c>
      <c r="D463" t="s">
        <v>61</v>
      </c>
      <c r="E463" t="s">
        <v>154</v>
      </c>
      <c r="F463" s="16">
        <v>-1</v>
      </c>
      <c r="G463" t="s">
        <v>63</v>
      </c>
      <c r="I463">
        <v>20</v>
      </c>
      <c r="J463" t="s">
        <v>660</v>
      </c>
      <c r="K463" t="s">
        <v>766</v>
      </c>
      <c r="L463" t="s">
        <v>1229</v>
      </c>
    </row>
    <row r="464" spans="1:15" x14ac:dyDescent="0.3">
      <c r="A464" t="s">
        <v>509</v>
      </c>
      <c r="B464" t="s">
        <v>1228</v>
      </c>
      <c r="C464" t="s">
        <v>862</v>
      </c>
      <c r="D464" t="s">
        <v>61</v>
      </c>
      <c r="E464" t="s">
        <v>154</v>
      </c>
      <c r="F464" s="16">
        <v>-1</v>
      </c>
      <c r="G464" t="s">
        <v>63</v>
      </c>
      <c r="I464">
        <v>20</v>
      </c>
      <c r="J464" t="s">
        <v>1230</v>
      </c>
      <c r="K464" t="s">
        <v>1231</v>
      </c>
      <c r="L464" t="s">
        <v>1232</v>
      </c>
    </row>
    <row r="465" spans="1:15" x14ac:dyDescent="0.3">
      <c r="A465" t="s">
        <v>509</v>
      </c>
      <c r="B465" t="s">
        <v>1228</v>
      </c>
      <c r="C465" t="s">
        <v>862</v>
      </c>
      <c r="D465" t="s">
        <v>61</v>
      </c>
      <c r="E465" t="s">
        <v>154</v>
      </c>
      <c r="F465" s="16">
        <v>-1</v>
      </c>
      <c r="G465" t="s">
        <v>63</v>
      </c>
      <c r="I465">
        <v>20</v>
      </c>
      <c r="J465" t="s">
        <v>661</v>
      </c>
      <c r="K465" t="s">
        <v>1233</v>
      </c>
      <c r="L465" t="s">
        <v>1234</v>
      </c>
    </row>
    <row r="466" spans="1:15" x14ac:dyDescent="0.3">
      <c r="A466" t="s">
        <v>509</v>
      </c>
      <c r="B466" t="s">
        <v>1228</v>
      </c>
      <c r="C466" t="s">
        <v>862</v>
      </c>
      <c r="D466" t="s">
        <v>61</v>
      </c>
      <c r="E466" t="s">
        <v>154</v>
      </c>
      <c r="F466" s="16">
        <v>-1</v>
      </c>
      <c r="G466" t="s">
        <v>63</v>
      </c>
      <c r="I466">
        <v>20</v>
      </c>
      <c r="J466" t="s">
        <v>362</v>
      </c>
      <c r="K466" t="s">
        <v>1235</v>
      </c>
      <c r="L466" t="s">
        <v>1236</v>
      </c>
    </row>
    <row r="467" spans="1:15" x14ac:dyDescent="0.3">
      <c r="A467" t="s">
        <v>509</v>
      </c>
      <c r="B467" t="s">
        <v>1228</v>
      </c>
      <c r="C467" t="s">
        <v>862</v>
      </c>
      <c r="D467" t="s">
        <v>61</v>
      </c>
      <c r="E467" t="s">
        <v>154</v>
      </c>
      <c r="F467" s="16">
        <v>-1</v>
      </c>
      <c r="G467" t="s">
        <v>63</v>
      </c>
      <c r="I467">
        <v>20</v>
      </c>
      <c r="J467" t="s">
        <v>1237</v>
      </c>
      <c r="K467" t="s">
        <v>1238</v>
      </c>
      <c r="L467" t="s">
        <v>1239</v>
      </c>
      <c r="O467" t="s">
        <v>377</v>
      </c>
    </row>
    <row r="468" spans="1:15" x14ac:dyDescent="0.3">
      <c r="A468" t="s">
        <v>509</v>
      </c>
      <c r="B468" t="s">
        <v>1228</v>
      </c>
      <c r="C468" t="s">
        <v>862</v>
      </c>
      <c r="D468" t="s">
        <v>61</v>
      </c>
      <c r="E468" t="s">
        <v>154</v>
      </c>
      <c r="F468" s="16">
        <v>-1</v>
      </c>
      <c r="G468" t="s">
        <v>72</v>
      </c>
      <c r="H468" t="s">
        <v>73</v>
      </c>
      <c r="J468" t="s">
        <v>1240</v>
      </c>
      <c r="K468" t="s">
        <v>1241</v>
      </c>
      <c r="L468" t="s">
        <v>1242</v>
      </c>
      <c r="O468" t="s">
        <v>1243</v>
      </c>
    </row>
    <row r="469" spans="1:15" x14ac:dyDescent="0.3">
      <c r="A469" t="s">
        <v>509</v>
      </c>
      <c r="B469" t="s">
        <v>1228</v>
      </c>
      <c r="C469" t="s">
        <v>862</v>
      </c>
      <c r="D469" t="s">
        <v>61</v>
      </c>
      <c r="E469" t="s">
        <v>154</v>
      </c>
      <c r="F469" s="16">
        <v>-1</v>
      </c>
      <c r="G469" t="s">
        <v>72</v>
      </c>
      <c r="H469" t="s">
        <v>77</v>
      </c>
      <c r="J469" t="s">
        <v>1240</v>
      </c>
      <c r="K469" t="s">
        <v>1244</v>
      </c>
      <c r="L469" t="s">
        <v>1245</v>
      </c>
      <c r="O469" t="s">
        <v>1243</v>
      </c>
    </row>
    <row r="470" spans="1:15" x14ac:dyDescent="0.3">
      <c r="A470" t="s">
        <v>509</v>
      </c>
      <c r="B470" t="s">
        <v>1246</v>
      </c>
      <c r="C470" t="s">
        <v>120</v>
      </c>
      <c r="D470" t="s">
        <v>61</v>
      </c>
      <c r="E470" t="s">
        <v>154</v>
      </c>
      <c r="F470" s="16">
        <v>-1</v>
      </c>
      <c r="G470" t="s">
        <v>63</v>
      </c>
      <c r="I470">
        <v>20</v>
      </c>
      <c r="J470" t="s">
        <v>660</v>
      </c>
      <c r="K470" t="s">
        <v>1006</v>
      </c>
      <c r="L470" t="s">
        <v>1247</v>
      </c>
    </row>
    <row r="471" spans="1:15" x14ac:dyDescent="0.3">
      <c r="A471" t="s">
        <v>509</v>
      </c>
      <c r="B471" t="s">
        <v>1246</v>
      </c>
      <c r="C471" t="s">
        <v>120</v>
      </c>
      <c r="D471" t="s">
        <v>61</v>
      </c>
      <c r="E471" t="s">
        <v>154</v>
      </c>
      <c r="F471" s="16">
        <v>-1</v>
      </c>
      <c r="G471" t="s">
        <v>63</v>
      </c>
      <c r="I471">
        <v>20</v>
      </c>
      <c r="J471" t="s">
        <v>661</v>
      </c>
      <c r="K471" t="s">
        <v>1248</v>
      </c>
      <c r="L471" t="s">
        <v>1249</v>
      </c>
    </row>
    <row r="472" spans="1:15" x14ac:dyDescent="0.3">
      <c r="A472" t="s">
        <v>509</v>
      </c>
      <c r="B472" t="s">
        <v>1246</v>
      </c>
      <c r="C472" t="s">
        <v>120</v>
      </c>
      <c r="D472" t="s">
        <v>61</v>
      </c>
      <c r="E472" t="s">
        <v>154</v>
      </c>
      <c r="F472" s="16">
        <v>-1</v>
      </c>
      <c r="G472" t="s">
        <v>63</v>
      </c>
      <c r="I472">
        <v>20</v>
      </c>
      <c r="J472" t="s">
        <v>1250</v>
      </c>
      <c r="K472" t="s">
        <v>1251</v>
      </c>
      <c r="L472" t="s">
        <v>1252</v>
      </c>
    </row>
    <row r="473" spans="1:15" x14ac:dyDescent="0.3">
      <c r="A473" t="s">
        <v>509</v>
      </c>
      <c r="B473" t="s">
        <v>1246</v>
      </c>
      <c r="C473" t="s">
        <v>120</v>
      </c>
      <c r="D473" t="s">
        <v>61</v>
      </c>
      <c r="E473" t="s">
        <v>154</v>
      </c>
      <c r="F473" s="16">
        <v>-1</v>
      </c>
      <c r="G473" t="s">
        <v>63</v>
      </c>
      <c r="I473">
        <v>20</v>
      </c>
      <c r="J473" t="s">
        <v>362</v>
      </c>
      <c r="K473" t="s">
        <v>1253</v>
      </c>
      <c r="L473" t="s">
        <v>1254</v>
      </c>
    </row>
    <row r="474" spans="1:15" x14ac:dyDescent="0.3">
      <c r="A474" t="s">
        <v>509</v>
      </c>
      <c r="B474" t="s">
        <v>1246</v>
      </c>
      <c r="C474" t="s">
        <v>120</v>
      </c>
      <c r="D474" t="s">
        <v>61</v>
      </c>
      <c r="E474" t="s">
        <v>154</v>
      </c>
      <c r="F474" s="16">
        <v>-1</v>
      </c>
      <c r="G474" t="s">
        <v>63</v>
      </c>
      <c r="I474">
        <v>20</v>
      </c>
      <c r="J474" t="s">
        <v>663</v>
      </c>
      <c r="K474" t="s">
        <v>1255</v>
      </c>
      <c r="L474" t="s">
        <v>1256</v>
      </c>
      <c r="O474" t="s">
        <v>377</v>
      </c>
    </row>
    <row r="475" spans="1:15" x14ac:dyDescent="0.3">
      <c r="A475" t="s">
        <v>509</v>
      </c>
      <c r="B475" t="s">
        <v>1246</v>
      </c>
      <c r="C475" t="s">
        <v>120</v>
      </c>
      <c r="D475" t="s">
        <v>61</v>
      </c>
      <c r="E475" t="s">
        <v>154</v>
      </c>
      <c r="F475" s="16">
        <v>-1</v>
      </c>
      <c r="G475" t="s">
        <v>72</v>
      </c>
      <c r="H475" t="s">
        <v>73</v>
      </c>
      <c r="J475" t="s">
        <v>1257</v>
      </c>
      <c r="K475" t="s">
        <v>1258</v>
      </c>
      <c r="L475" t="s">
        <v>1259</v>
      </c>
      <c r="O475" t="s">
        <v>1260</v>
      </c>
    </row>
    <row r="476" spans="1:15" x14ac:dyDescent="0.3">
      <c r="A476" t="s">
        <v>509</v>
      </c>
      <c r="B476" t="s">
        <v>1246</v>
      </c>
      <c r="C476" t="s">
        <v>120</v>
      </c>
      <c r="D476" t="s">
        <v>61</v>
      </c>
      <c r="E476" t="s">
        <v>154</v>
      </c>
      <c r="F476" s="16">
        <v>-1</v>
      </c>
      <c r="G476" t="s">
        <v>72</v>
      </c>
      <c r="H476" t="s">
        <v>77</v>
      </c>
      <c r="J476" t="s">
        <v>1257</v>
      </c>
      <c r="K476" t="s">
        <v>1261</v>
      </c>
      <c r="L476" t="s">
        <v>1262</v>
      </c>
      <c r="O476" t="s">
        <v>1260</v>
      </c>
    </row>
    <row r="477" spans="1:15" x14ac:dyDescent="0.3">
      <c r="A477" t="s">
        <v>509</v>
      </c>
      <c r="B477" t="s">
        <v>1263</v>
      </c>
      <c r="C477" t="s">
        <v>544</v>
      </c>
      <c r="D477" t="s">
        <v>61</v>
      </c>
      <c r="E477" t="s">
        <v>154</v>
      </c>
      <c r="F477" s="16">
        <v>-1</v>
      </c>
      <c r="G477" t="s">
        <v>63</v>
      </c>
      <c r="I477">
        <v>25</v>
      </c>
      <c r="J477" t="s">
        <v>1264</v>
      </c>
      <c r="K477" t="s">
        <v>1265</v>
      </c>
      <c r="L477" t="s">
        <v>1266</v>
      </c>
    </row>
    <row r="478" spans="1:15" x14ac:dyDescent="0.3">
      <c r="A478" t="s">
        <v>509</v>
      </c>
      <c r="B478" t="s">
        <v>1263</v>
      </c>
      <c r="C478" t="s">
        <v>544</v>
      </c>
      <c r="D478" t="s">
        <v>61</v>
      </c>
      <c r="E478" t="s">
        <v>154</v>
      </c>
      <c r="F478" s="16">
        <v>-1</v>
      </c>
      <c r="G478" t="s">
        <v>63</v>
      </c>
      <c r="I478">
        <v>25</v>
      </c>
      <c r="J478" t="s">
        <v>660</v>
      </c>
      <c r="K478" t="s">
        <v>1267</v>
      </c>
      <c r="L478" t="s">
        <v>1268</v>
      </c>
    </row>
    <row r="479" spans="1:15" x14ac:dyDescent="0.3">
      <c r="A479" t="s">
        <v>509</v>
      </c>
      <c r="B479" t="s">
        <v>1263</v>
      </c>
      <c r="C479" t="s">
        <v>544</v>
      </c>
      <c r="D479" t="s">
        <v>61</v>
      </c>
      <c r="E479" t="s">
        <v>154</v>
      </c>
      <c r="F479" s="16">
        <v>-1</v>
      </c>
      <c r="G479" t="s">
        <v>63</v>
      </c>
      <c r="I479">
        <v>25</v>
      </c>
      <c r="J479" t="s">
        <v>661</v>
      </c>
      <c r="K479" t="s">
        <v>1269</v>
      </c>
      <c r="L479" t="s">
        <v>1270</v>
      </c>
    </row>
    <row r="480" spans="1:15" x14ac:dyDescent="0.3">
      <c r="A480" t="s">
        <v>509</v>
      </c>
      <c r="B480" t="s">
        <v>1263</v>
      </c>
      <c r="C480" t="s">
        <v>544</v>
      </c>
      <c r="D480" t="s">
        <v>61</v>
      </c>
      <c r="E480" t="s">
        <v>154</v>
      </c>
      <c r="F480" s="16">
        <v>-1</v>
      </c>
      <c r="G480" t="s">
        <v>63</v>
      </c>
      <c r="I480">
        <v>25</v>
      </c>
      <c r="J480" t="s">
        <v>362</v>
      </c>
      <c r="K480" t="s">
        <v>1271</v>
      </c>
      <c r="L480" t="s">
        <v>1272</v>
      </c>
      <c r="O480" t="s">
        <v>732</v>
      </c>
    </row>
    <row r="481" spans="1:15" x14ac:dyDescent="0.3">
      <c r="A481" t="s">
        <v>509</v>
      </c>
      <c r="B481" t="s">
        <v>1273</v>
      </c>
      <c r="C481" t="s">
        <v>1274</v>
      </c>
      <c r="D481" t="s">
        <v>61</v>
      </c>
      <c r="E481" t="s">
        <v>154</v>
      </c>
      <c r="F481" s="16">
        <v>-1</v>
      </c>
      <c r="G481" t="s">
        <v>63</v>
      </c>
      <c r="I481">
        <v>20</v>
      </c>
      <c r="J481" t="s">
        <v>660</v>
      </c>
      <c r="K481" t="s">
        <v>515</v>
      </c>
      <c r="L481" t="s">
        <v>1275</v>
      </c>
    </row>
    <row r="482" spans="1:15" x14ac:dyDescent="0.3">
      <c r="A482" t="s">
        <v>509</v>
      </c>
      <c r="B482" t="s">
        <v>1273</v>
      </c>
      <c r="C482" t="s">
        <v>1274</v>
      </c>
      <c r="D482" t="s">
        <v>61</v>
      </c>
      <c r="E482" t="s">
        <v>154</v>
      </c>
      <c r="F482" s="16">
        <v>-1</v>
      </c>
      <c r="G482" t="s">
        <v>63</v>
      </c>
      <c r="I482">
        <v>20</v>
      </c>
      <c r="J482" t="s">
        <v>661</v>
      </c>
      <c r="K482" t="s">
        <v>1276</v>
      </c>
      <c r="L482" t="s">
        <v>1277</v>
      </c>
    </row>
    <row r="483" spans="1:15" x14ac:dyDescent="0.3">
      <c r="A483" t="s">
        <v>509</v>
      </c>
      <c r="B483" t="s">
        <v>1273</v>
      </c>
      <c r="C483" t="s">
        <v>1274</v>
      </c>
      <c r="D483" t="s">
        <v>61</v>
      </c>
      <c r="E483" t="s">
        <v>154</v>
      </c>
      <c r="F483" s="16">
        <v>-1</v>
      </c>
      <c r="G483" t="s">
        <v>63</v>
      </c>
      <c r="I483">
        <v>20</v>
      </c>
      <c r="J483" t="s">
        <v>1103</v>
      </c>
      <c r="K483" t="s">
        <v>1278</v>
      </c>
      <c r="L483" t="s">
        <v>1279</v>
      </c>
    </row>
    <row r="484" spans="1:15" x14ac:dyDescent="0.3">
      <c r="A484" t="s">
        <v>509</v>
      </c>
      <c r="B484" t="s">
        <v>1273</v>
      </c>
      <c r="C484" t="s">
        <v>1274</v>
      </c>
      <c r="D484" t="s">
        <v>61</v>
      </c>
      <c r="E484" t="s">
        <v>154</v>
      </c>
      <c r="F484" s="16">
        <v>-1</v>
      </c>
      <c r="G484" t="s">
        <v>63</v>
      </c>
      <c r="I484">
        <v>20</v>
      </c>
      <c r="J484" t="s">
        <v>362</v>
      </c>
      <c r="K484" t="s">
        <v>1280</v>
      </c>
      <c r="L484" t="s">
        <v>1281</v>
      </c>
    </row>
    <row r="485" spans="1:15" x14ac:dyDescent="0.3">
      <c r="A485" t="s">
        <v>509</v>
      </c>
      <c r="B485" t="s">
        <v>1273</v>
      </c>
      <c r="C485" t="s">
        <v>1274</v>
      </c>
      <c r="D485" t="s">
        <v>61</v>
      </c>
      <c r="E485" t="s">
        <v>154</v>
      </c>
      <c r="F485" s="16">
        <v>-1</v>
      </c>
      <c r="G485" t="s">
        <v>63</v>
      </c>
      <c r="I485">
        <v>20</v>
      </c>
      <c r="J485" t="s">
        <v>726</v>
      </c>
      <c r="K485" t="s">
        <v>1282</v>
      </c>
      <c r="L485" t="s">
        <v>1283</v>
      </c>
      <c r="O485" t="s">
        <v>377</v>
      </c>
    </row>
    <row r="486" spans="1:15" x14ac:dyDescent="0.3">
      <c r="A486" t="s">
        <v>509</v>
      </c>
      <c r="B486" t="s">
        <v>1273</v>
      </c>
      <c r="C486" t="s">
        <v>1274</v>
      </c>
      <c r="D486" t="s">
        <v>61</v>
      </c>
      <c r="E486" t="s">
        <v>154</v>
      </c>
      <c r="F486" s="16">
        <v>-1</v>
      </c>
      <c r="G486" t="s">
        <v>72</v>
      </c>
      <c r="H486" t="s">
        <v>73</v>
      </c>
      <c r="J486" t="s">
        <v>1284</v>
      </c>
      <c r="K486" t="s">
        <v>1285</v>
      </c>
      <c r="L486" t="s">
        <v>1286</v>
      </c>
      <c r="O486" t="s">
        <v>871</v>
      </c>
    </row>
    <row r="487" spans="1:15" x14ac:dyDescent="0.3">
      <c r="A487" t="s">
        <v>509</v>
      </c>
      <c r="B487" t="s">
        <v>1273</v>
      </c>
      <c r="C487" t="s">
        <v>1274</v>
      </c>
      <c r="D487" t="s">
        <v>61</v>
      </c>
      <c r="E487" t="s">
        <v>154</v>
      </c>
      <c r="F487" s="16">
        <v>-1</v>
      </c>
      <c r="G487" t="s">
        <v>72</v>
      </c>
      <c r="H487" t="s">
        <v>77</v>
      </c>
      <c r="J487" t="s">
        <v>1284</v>
      </c>
      <c r="K487" t="s">
        <v>1287</v>
      </c>
      <c r="L487" t="s">
        <v>1288</v>
      </c>
      <c r="O487" t="s">
        <v>871</v>
      </c>
    </row>
    <row r="488" spans="1:15" x14ac:dyDescent="0.3">
      <c r="A488" t="s">
        <v>509</v>
      </c>
      <c r="B488" t="s">
        <v>1289</v>
      </c>
      <c r="C488" t="s">
        <v>1057</v>
      </c>
      <c r="D488" t="s">
        <v>61</v>
      </c>
      <c r="E488" t="s">
        <v>154</v>
      </c>
      <c r="F488" s="16">
        <v>-1</v>
      </c>
      <c r="G488" t="s">
        <v>63</v>
      </c>
      <c r="I488">
        <v>20</v>
      </c>
      <c r="J488" t="s">
        <v>660</v>
      </c>
      <c r="K488" t="s">
        <v>1290</v>
      </c>
      <c r="L488" t="s">
        <v>1291</v>
      </c>
    </row>
    <row r="489" spans="1:15" x14ac:dyDescent="0.3">
      <c r="A489" t="s">
        <v>509</v>
      </c>
      <c r="B489" t="s">
        <v>1289</v>
      </c>
      <c r="C489" t="s">
        <v>1057</v>
      </c>
      <c r="D489" t="s">
        <v>61</v>
      </c>
      <c r="E489" t="s">
        <v>154</v>
      </c>
      <c r="F489" s="16">
        <v>-1</v>
      </c>
      <c r="G489" t="s">
        <v>63</v>
      </c>
      <c r="I489">
        <v>20</v>
      </c>
      <c r="J489" t="s">
        <v>661</v>
      </c>
      <c r="K489" t="s">
        <v>1292</v>
      </c>
      <c r="L489" t="s">
        <v>1293</v>
      </c>
    </row>
    <row r="490" spans="1:15" x14ac:dyDescent="0.3">
      <c r="A490" t="s">
        <v>509</v>
      </c>
      <c r="B490" t="s">
        <v>1289</v>
      </c>
      <c r="C490" t="s">
        <v>1057</v>
      </c>
      <c r="D490" t="s">
        <v>61</v>
      </c>
      <c r="E490" t="s">
        <v>154</v>
      </c>
      <c r="F490" s="16">
        <v>-1</v>
      </c>
      <c r="G490" t="s">
        <v>63</v>
      </c>
      <c r="I490">
        <v>20</v>
      </c>
      <c r="J490" t="s">
        <v>362</v>
      </c>
      <c r="K490" t="s">
        <v>1294</v>
      </c>
      <c r="L490" t="s">
        <v>1295</v>
      </c>
    </row>
    <row r="491" spans="1:15" x14ac:dyDescent="0.3">
      <c r="A491" t="s">
        <v>509</v>
      </c>
      <c r="B491" t="s">
        <v>1289</v>
      </c>
      <c r="C491" t="s">
        <v>1057</v>
      </c>
      <c r="D491" t="s">
        <v>61</v>
      </c>
      <c r="E491" t="s">
        <v>154</v>
      </c>
      <c r="F491" s="16">
        <v>-1</v>
      </c>
      <c r="G491" t="s">
        <v>63</v>
      </c>
      <c r="I491">
        <v>20</v>
      </c>
      <c r="J491" t="s">
        <v>1296</v>
      </c>
      <c r="K491" t="s">
        <v>1297</v>
      </c>
      <c r="L491" t="s">
        <v>1298</v>
      </c>
    </row>
    <row r="492" spans="1:15" x14ac:dyDescent="0.3">
      <c r="A492" t="s">
        <v>509</v>
      </c>
      <c r="B492" t="s">
        <v>1289</v>
      </c>
      <c r="C492" t="s">
        <v>1057</v>
      </c>
      <c r="D492" t="s">
        <v>61</v>
      </c>
      <c r="E492" t="s">
        <v>154</v>
      </c>
      <c r="F492" s="16">
        <v>-1</v>
      </c>
      <c r="G492" t="s">
        <v>63</v>
      </c>
      <c r="I492">
        <v>20</v>
      </c>
      <c r="J492" t="s">
        <v>1299</v>
      </c>
      <c r="K492" t="s">
        <v>1300</v>
      </c>
      <c r="L492" t="s">
        <v>1301</v>
      </c>
      <c r="O492" t="s">
        <v>377</v>
      </c>
    </row>
    <row r="493" spans="1:15" x14ac:dyDescent="0.3">
      <c r="A493" t="s">
        <v>509</v>
      </c>
      <c r="B493" t="s">
        <v>1289</v>
      </c>
      <c r="C493" t="s">
        <v>1057</v>
      </c>
      <c r="D493" t="s">
        <v>61</v>
      </c>
      <c r="E493" t="s">
        <v>154</v>
      </c>
      <c r="F493" s="16">
        <v>-1</v>
      </c>
      <c r="G493" t="s">
        <v>72</v>
      </c>
      <c r="H493" t="s">
        <v>73</v>
      </c>
      <c r="J493" t="s">
        <v>1302</v>
      </c>
      <c r="K493" t="s">
        <v>1303</v>
      </c>
      <c r="L493" t="s">
        <v>1304</v>
      </c>
      <c r="O493" t="s">
        <v>1305</v>
      </c>
    </row>
    <row r="494" spans="1:15" x14ac:dyDescent="0.3">
      <c r="A494" t="s">
        <v>509</v>
      </c>
      <c r="B494" t="s">
        <v>1289</v>
      </c>
      <c r="C494" t="s">
        <v>1057</v>
      </c>
      <c r="D494" t="s">
        <v>61</v>
      </c>
      <c r="E494" t="s">
        <v>154</v>
      </c>
      <c r="F494" s="16">
        <v>-1</v>
      </c>
      <c r="G494" t="s">
        <v>72</v>
      </c>
      <c r="H494" t="s">
        <v>77</v>
      </c>
      <c r="J494" t="s">
        <v>1302</v>
      </c>
      <c r="K494" t="s">
        <v>1306</v>
      </c>
      <c r="L494" t="s">
        <v>1307</v>
      </c>
      <c r="O494" t="s">
        <v>1305</v>
      </c>
    </row>
    <row r="495" spans="1:15" x14ac:dyDescent="0.3">
      <c r="B495" s="48"/>
    </row>
  </sheetData>
  <autoFilter ref="A1:O494" xr:uid="{00000000-0001-0000-0100-000000000000}"/>
  <conditionalFormatting sqref="K1:K105 K110:K111 K113:K142 K284:K319 K321:K328 K329:L330 K331:K335 K337 K339 K341:K1048576 K144:K282">
    <cfRule type="expression" dxfId="20" priority="48">
      <formula>"&gt;len(20)"</formula>
    </cfRule>
  </conditionalFormatting>
  <conditionalFormatting sqref="K106:L108">
    <cfRule type="expression" dxfId="19" priority="38">
      <formula>"&gt;len(20)"</formula>
    </cfRule>
  </conditionalFormatting>
  <conditionalFormatting sqref="K112:L112">
    <cfRule type="expression" dxfId="18" priority="34">
      <formula>"&gt;len(20)"</formula>
    </cfRule>
  </conditionalFormatting>
  <conditionalFormatting sqref="K288:L288">
    <cfRule type="expression" dxfId="17" priority="5">
      <formula>"&gt;len(20)"</formula>
    </cfRule>
  </conditionalFormatting>
  <conditionalFormatting sqref="L111">
    <cfRule type="expression" dxfId="16" priority="36">
      <formula>"&gt;len(20)"</formula>
    </cfRule>
  </conditionalFormatting>
  <conditionalFormatting sqref="L113">
    <cfRule type="expression" dxfId="15" priority="35">
      <formula>"&gt;len(20)"</formula>
    </cfRule>
  </conditionalFormatting>
  <conditionalFormatting sqref="L122">
    <cfRule type="expression" dxfId="14" priority="43">
      <formula>"&gt;len(20)"</formula>
    </cfRule>
  </conditionalFormatting>
  <conditionalFormatting sqref="L124:L125">
    <cfRule type="expression" dxfId="13" priority="39">
      <formula>"&gt;len(20)"</formula>
    </cfRule>
  </conditionalFormatting>
  <conditionalFormatting sqref="L130">
    <cfRule type="expression" dxfId="12" priority="40">
      <formula>"&gt;len(20)"</formula>
    </cfRule>
  </conditionalFormatting>
  <conditionalFormatting sqref="L144">
    <cfRule type="expression" dxfId="11" priority="44">
      <formula>"&gt;len(20)"</formula>
    </cfRule>
  </conditionalFormatting>
  <conditionalFormatting sqref="L244">
    <cfRule type="expression" dxfId="10" priority="14">
      <formula>"&gt;len(20)"</formula>
    </cfRule>
  </conditionalFormatting>
  <conditionalFormatting sqref="L246:L253">
    <cfRule type="expression" dxfId="9" priority="11">
      <formula>"&gt;len(20)"</formula>
    </cfRule>
  </conditionalFormatting>
  <conditionalFormatting sqref="L264">
    <cfRule type="expression" dxfId="8" priority="16">
      <formula>"&gt;len(20)"</formula>
    </cfRule>
  </conditionalFormatting>
  <conditionalFormatting sqref="L267">
    <cfRule type="expression" dxfId="7" priority="15">
      <formula>"&gt;len(20)"</formula>
    </cfRule>
  </conditionalFormatting>
  <conditionalFormatting sqref="L271">
    <cfRule type="expression" dxfId="6" priority="2">
      <formula>"&gt;len(20)"</formula>
    </cfRule>
  </conditionalFormatting>
  <conditionalFormatting sqref="L284:L285">
    <cfRule type="expression" dxfId="5" priority="6">
      <formula>"&gt;len(20)"</formula>
    </cfRule>
  </conditionalFormatting>
  <conditionalFormatting sqref="L289:L290">
    <cfRule type="expression" dxfId="4" priority="3">
      <formula>"&gt;len(20)"</formula>
    </cfRule>
  </conditionalFormatting>
  <conditionalFormatting sqref="L297:L298">
    <cfRule type="expression" dxfId="3" priority="1">
      <formula>"&gt;len(20)"</formula>
    </cfRule>
  </conditionalFormatting>
  <conditionalFormatting sqref="L319">
    <cfRule type="expression" dxfId="2" priority="29">
      <formula>"&gt;len(20)"</formula>
    </cfRule>
  </conditionalFormatting>
  <conditionalFormatting sqref="L322:L326">
    <cfRule type="expression" dxfId="1" priority="26">
      <formula>"&gt;len(20)"</formula>
    </cfRule>
  </conditionalFormatting>
  <conditionalFormatting sqref="L331:L332">
    <cfRule type="expression" dxfId="0" priority="25">
      <formula>"&gt;len(20)"</formula>
    </cfRule>
  </conditionalFormatting>
  <dataValidations count="3">
    <dataValidation type="list" allowBlank="1" sqref="G2:G29 G32:G404"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404" xr:uid="{00000000-0002-0000-0100-000000000000}">
      <formula1>"Proximity,Trade-completion,Level-reached"</formula1>
    </dataValidation>
  </dataValidation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6A0FA-6AE5-4A2F-84FD-DBAB4F36C689}">
  <sheetPr>
    <tabColor theme="2" tint="-0.249977111117893"/>
  </sheetPr>
  <dimension ref="A1:G17"/>
  <sheetViews>
    <sheetView workbookViewId="0">
      <pane xSplit="2" ySplit="1" topLeftCell="C2" activePane="bottomRight" state="frozen"/>
      <selection pane="topRight" activeCell="C1" sqref="C1"/>
      <selection pane="bottomLeft" activeCell="A2" sqref="A2"/>
      <selection pane="bottomRight" activeCell="E3" sqref="E3"/>
    </sheetView>
  </sheetViews>
  <sheetFormatPr defaultRowHeight="14.4" x14ac:dyDescent="0.3"/>
  <cols>
    <col min="1" max="2" width="26.44140625" customWidth="1"/>
    <col min="3" max="3" width="45.77734375" customWidth="1"/>
    <col min="4" max="6" width="46.5546875" style="40" customWidth="1"/>
    <col min="7" max="7" width="74.77734375" customWidth="1"/>
  </cols>
  <sheetData>
    <row r="1" spans="1:7" s="9" customFormat="1" x14ac:dyDescent="0.3">
      <c r="A1" s="35" t="s">
        <v>472</v>
      </c>
      <c r="B1" s="35" t="s">
        <v>471</v>
      </c>
      <c r="C1" s="35" t="s">
        <v>488</v>
      </c>
      <c r="D1" s="37" t="s">
        <v>473</v>
      </c>
      <c r="E1" s="37">
        <v>2</v>
      </c>
      <c r="F1" s="37">
        <v>3</v>
      </c>
      <c r="G1" s="35">
        <v>4</v>
      </c>
    </row>
    <row r="2" spans="1:7" s="36" customFormat="1" ht="81.599999999999994" x14ac:dyDescent="0.3">
      <c r="A2" s="36" t="s">
        <v>470</v>
      </c>
      <c r="B2" s="36" t="s">
        <v>468</v>
      </c>
      <c r="D2" s="38" t="s">
        <v>469</v>
      </c>
      <c r="E2" s="38" t="s">
        <v>476</v>
      </c>
      <c r="F2" s="38" t="s">
        <v>475</v>
      </c>
    </row>
    <row r="3" spans="1:7" s="36" customFormat="1" ht="193.8" x14ac:dyDescent="0.3">
      <c r="A3" s="36" t="s">
        <v>487</v>
      </c>
      <c r="B3" s="36" t="s">
        <v>392</v>
      </c>
      <c r="C3" s="38" t="s">
        <v>486</v>
      </c>
      <c r="D3" s="38"/>
      <c r="E3" s="38"/>
      <c r="F3" s="38"/>
      <c r="G3" s="38"/>
    </row>
    <row r="4" spans="1:7" s="36" customFormat="1" x14ac:dyDescent="0.3">
      <c r="D4" s="39"/>
      <c r="E4" s="39"/>
      <c r="F4" s="39"/>
    </row>
    <row r="5" spans="1:7" s="36" customFormat="1" x14ac:dyDescent="0.3">
      <c r="D5" s="39"/>
      <c r="E5" s="39"/>
      <c r="F5" s="39"/>
    </row>
    <row r="6" spans="1:7" s="36" customFormat="1" x14ac:dyDescent="0.3">
      <c r="D6" s="39"/>
      <c r="E6" s="39"/>
      <c r="F6" s="39"/>
    </row>
    <row r="7" spans="1:7" s="36" customFormat="1" x14ac:dyDescent="0.3">
      <c r="D7" s="39"/>
      <c r="E7" s="39"/>
      <c r="F7" s="39"/>
    </row>
    <row r="8" spans="1:7" s="36" customFormat="1" x14ac:dyDescent="0.3">
      <c r="D8" s="39"/>
      <c r="E8" s="39"/>
      <c r="F8" s="39"/>
    </row>
    <row r="9" spans="1:7" s="36" customFormat="1" x14ac:dyDescent="0.3">
      <c r="D9" s="39"/>
      <c r="E9" s="39"/>
      <c r="F9" s="39"/>
    </row>
    <row r="10" spans="1:7" s="36" customFormat="1" x14ac:dyDescent="0.3">
      <c r="D10" s="39"/>
      <c r="E10" s="39"/>
      <c r="F10" s="39"/>
    </row>
    <row r="11" spans="1:7" s="36" customFormat="1" x14ac:dyDescent="0.3">
      <c r="D11" s="39"/>
      <c r="E11" s="39"/>
      <c r="F11" s="39"/>
    </row>
    <row r="12" spans="1:7" s="36" customFormat="1" x14ac:dyDescent="0.3">
      <c r="D12" s="39"/>
      <c r="E12" s="39"/>
      <c r="F12" s="39"/>
    </row>
    <row r="13" spans="1:7" s="36" customFormat="1" x14ac:dyDescent="0.3">
      <c r="D13" s="39"/>
      <c r="E13" s="39"/>
      <c r="F13" s="39"/>
    </row>
    <row r="14" spans="1:7" s="36" customFormat="1" x14ac:dyDescent="0.3">
      <c r="D14" s="39"/>
      <c r="E14" s="39"/>
      <c r="F14" s="39"/>
    </row>
    <row r="15" spans="1:7" s="36" customFormat="1" x14ac:dyDescent="0.3">
      <c r="D15" s="39"/>
      <c r="E15" s="39"/>
      <c r="F15" s="39"/>
    </row>
    <row r="16" spans="1:7" s="36" customFormat="1" x14ac:dyDescent="0.3">
      <c r="D16" s="39"/>
      <c r="E16" s="39"/>
      <c r="F16" s="39"/>
    </row>
    <row r="17" spans="4:6" s="36" customFormat="1" x14ac:dyDescent="0.3">
      <c r="D17" s="39"/>
      <c r="E17" s="39"/>
      <c r="F17"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Conversations</vt: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2026-09-12T05:08:29Z</dcterms:modified>
</cp:coreProperties>
</file>