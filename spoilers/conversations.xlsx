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798A1E0C-2261-4744-98E8-846984CD5B26}"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Conversations!$A$1:$O$474</definedName>
  </definedNames>
  <calcPr calcId="191029"/>
</workbook>
</file>

<file path=xl/calcChain.xml><?xml version="1.0" encoding="utf-8"?>
<calcChain xmlns="http://schemas.openxmlformats.org/spreadsheetml/2006/main">
  <c r="L180" i="2" l="1"/>
  <c r="L229" i="2"/>
  <c r="L156" i="2"/>
  <c r="L166" i="2"/>
  <c r="L170" i="2"/>
  <c r="L224" i="2"/>
  <c r="L223" i="2"/>
  <c r="L218" i="2"/>
  <c r="L240" i="2"/>
  <c r="L239" i="2"/>
  <c r="L228" i="2"/>
  <c r="L215" i="2"/>
  <c r="L214" i="2"/>
  <c r="L206" i="2"/>
  <c r="L179" i="2"/>
  <c r="L178" i="2"/>
  <c r="L142" i="2"/>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<sst xmlns="http://schemas.openxmlformats.org/spreadsheetml/2006/main" count="4513" uniqueCount="1373">
  <si>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</si>
  <si>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</si>
  <si>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</si>
  <si>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</si>
  <si>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</si>
  <si>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</si>
  <si>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</si>
  <si>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</si>
  <si>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</si>
  <si>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</si>
  <si>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</si>
  <si>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</si>
  <si>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</si>
  <si>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</si>
  <si>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</si>
  <si>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</si>
  <si>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</si>
  <si>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</si>
  <si>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</si>
  <si>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</si>
  <si>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</si>
  <si>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</si>
  <si>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</si>
  <si>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</si>
  <si>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</si>
  <si>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</si>
  <si>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</si>
  <si>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</si>
  <si>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</si>
  <si>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</si>
  <si>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</si>
  <si>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</si>
  <si>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</si>
  <si>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</si>
  <si>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</si>
  <si>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</si>
  <si>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</si>
  <si>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</si>
  <si>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</si>
  <si>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</si>
  <si>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</si>
  <si>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</si>
  <si>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</si>
  <si>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</si>
  <si>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</si>
  <si>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</si>
  <si>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</si>
  <si>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</si>
  <si>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</si>
  <si>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</si>
  <si>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</si>
  <si>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</si>
  <si>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</si>
  <si>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</si>
  <si>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</si>
  <si>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</si>
  <si>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</si>
  <si>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</si>
  <si>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</si>
  <si>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</si>
  <si>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</si>
  <si>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</si>
  <si>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</si>
  <si>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</si>
  <si>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</si>
  <si>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</si>
  <si>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</si>
  <si>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</si>
  <si>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</si>
  <si>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</si>
  <si>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</si>
  <si>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</si>
  <si>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</si>
  <si>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</si>
  <si>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</si>
  <si>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</si>
  <si>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</si>
  <si>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</si>
  <si>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</si>
  <si>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</si>
  <si>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</si>
  <si>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</si>
  <si>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</si>
  <si>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</si>
  <si>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</si>
  <si>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</si>
  <si>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</si>
  <si>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</si>
  <si>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</si>
  <si>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</si>
  <si>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</si>
  <si>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</si>
  <si>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</si>
  <si>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</si>
  <si>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</si>
  <si>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</si>
  <si>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</si>
  <si>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</si>
  <si>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</si>
  <si>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</si>
  <si>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</si>
  <si>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</si>
  <si>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</si>
  <si>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</si>
  <si>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</si>
  <si>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</si>
  <si>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</si>
  <si>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</si>
  <si>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</si>
  <si>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</si>
  <si>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</si>
  <si>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</si>
  <si>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</si>
  <si>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</si>
  <si>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</si>
  <si>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</si>
  <si>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</si>
  <si>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</si>
  <si>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</si>
  <si>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</si>
  <si>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</si>
  <si>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</si>
  <si>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</si>
  <si>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</si>
  <si>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</si>
  <si>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</si>
  <si>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</si>
  <si>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</si>
  <si>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</si>
  <si>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</si>
  <si>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</si>
  <si>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</si>
  <si>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</si>
  <si>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</si>
  <si>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</si>
  <si>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</si>
  <si>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</si>
  <si>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</si>
  <si>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</si>
  <si>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</si>
  <si>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</si>
  <si>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</si>
  <si>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</si>
  <si>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</si>
  <si>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</si>
  <si>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</si>
  <si>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</si>
  <si>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</si>
  <si>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</si>
  <si>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</si>
  <si>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</si>
  <si>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</si>
  <si>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</si>
  <si>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</si>
  <si>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</si>
  <si>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</si>
  <si>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</si>
  <si>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</si>
  <si>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</si>
  <si>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</si>
  <si>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</si>
  <si>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</si>
  <si>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</si>
  <si>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</si>
  <si>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</si>
  <si>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</si>
  <si>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</si>
  <si>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</si>
  <si>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</si>
  <si>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</si>
  <si>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</si>
  <si>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</si>
  <si>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</si>
  <si>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</si>
  <si>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</si>
  <si>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</si>
  <si>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</si>
  <si>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</si>
  <si>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</si>
  <si>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</si>
  <si>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</si>
  <si>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</si>
  <si>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</si>
  <si>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</si>
  <si>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</si>
  <si>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</si>
  <si>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</si>
  <si>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</si>
  <si>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</si>
  <si>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</si>
  <si>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</si>
  <si>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</si>
  <si>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</si>
  <si>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</si>
  <si>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</si>
  <si>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</si>
  <si>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</si>
  <si>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</si>
  <si>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</si>
  <si>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</si>
  <si>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</si>
  <si>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</si>
  <si>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</si>
  <si>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</si>
  <si>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</si>
  <si>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</si>
  <si>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</si>
  <si>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</si>
  <si>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</si>
  <si>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</si>
  <si>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</si>
  <si>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</si>
  <si>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</si>
  <si>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</si>
  <si>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</si>
  <si>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</si>
  <si>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</si>
  <si>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</si>
  <si>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</si>
  <si>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</si>
  <si>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</si>
  <si>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</si>
  <si>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</si>
  <si>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</si>
  <si>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</si>
  <si>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</si>
  <si>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</si>
  <si>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</si>
  <si>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</si>
  <si>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</si>
  <si>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</si>
  <si>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</si>
  <si>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</si>
  <si>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</si>
  <si>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</si>
  <si>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</si>
  <si>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</si>
  <si>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</si>
  <si>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</si>
  <si>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</si>
  <si>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</si>
  <si>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</si>
  <si>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</si>
  <si>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</si>
  <si>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</si>
  <si>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</si>
  <si>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</si>
  <si>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</si>
  <si>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</si>
  <si>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</si>
  <si>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</si>
  <si>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</si>
  <si>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</si>
  <si>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</si>
  <si>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</si>
  <si>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</si>
  <si>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</si>
  <si>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</si>
  <si>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</si>
  <si>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</si>
  <si>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</si>
  <si>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</si>
  <si>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</si>
  <si>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</si>
  <si>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</si>
  <si>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</si>
  <si>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</si>
  <si>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</si>
  <si>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</si>
  <si>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</si>
  <si>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</si>
  <si>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</si>
  <si>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</si>
  <si>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</si>
  <si>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</si>
  <si>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</si>
  <si>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</si>
  <si>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</si>
  <si>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</si>
  <si>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</si>
  <si>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</si>
  <si>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</si>
  <si>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</si>
  <si>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</si>
  <si>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</si>
  <si>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</si>
  <si>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</si>
  <si>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</si>
  <si>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</si>
  <si>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</si>
  <si>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</si>
  <si>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</si>
  <si>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</si>
  <si>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</si>
  <si>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</si>
  <si>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</si>
  <si>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</si>
  <si>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</si>
  <si>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</si>
  <si>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</si>
  <si>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</si>
  <si>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</si>
  <si>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</si>
  <si>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</si>
  <si>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</si>
  <si>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</si>
  <si>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</si>
  <si>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</si>
  <si>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</si>
  <si>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</si>
  <si>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</si>
  <si>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</si>
  <si>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</si>
  <si>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</si>
  <si>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</si>
  <si>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</si>
  <si>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</si>
  <si>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</si>
  <si>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</si>
  <si>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</si>
  <si>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</si>
  <si>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</si>
  <si>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</si>
  <si>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</si>
  <si>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</si>
  <si>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</si>
  <si>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</si>
  <si>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</si>
  <si>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</si>
  <si>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</si>
  <si>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</si>
  <si>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</si>
  <si>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</si>
  <si>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</si>
  <si>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</si>
  <si>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</si>
  <si>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</si>
  <si>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</si>
  <si>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</si>
  <si>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</si>
  <si>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</si>
  <si>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</si>
  <si>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</si>
  <si>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</si>
  <si>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</si>
  <si>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</si>
  <si>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</si>
  <si>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</si>
  <si>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</si>
  <si>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</si>
  <si>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</si>
  <si>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</si>
  <si>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</si>
  <si>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</si>
  <si>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</si>
  <si>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</si>
  <si>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</si>
  <si>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</si>
  <si>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</si>
  <si>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</si>
  <si>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</si>
  <si>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</si>
  <si>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</si>
  <si>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</si>
  <si>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</si>
  <si>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</si>
  <si>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</si>
  <si>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</si>
  <si>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</si>
  <si>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</si>
  <si>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</si>
  <si>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</si>
  <si>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</si>
  <si>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</si>
  <si>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</si>
  <si>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</si>
  <si>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</si>
  <si>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</si>
  <si>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</si>
  <si>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</si>
  <si>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</si>
  <si>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</si>
  <si>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</si>
  <si>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</si>
  <si>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</si>
  <si>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</si>
  <si>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</si>
  <si>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</si>
  <si>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</si>
  <si>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</si>
  <si>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</si>
  <si>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</si>
  <si>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</si>
  <si>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</si>
  <si>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</si>
  <si>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</si>
  <si>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</si>
  <si>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</si>
  <si>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</si>
  <si>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</si>
  <si>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</si>
  <si>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</si>
  <si>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</si>
  <si>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</si>
  <si>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</si>
  <si>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</si>
  <si>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</si>
  <si>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</si>
  <si>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</si>
  <si>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</si>
  <si>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</si>
  <si>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</si>
  <si>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</si>
  <si>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</si>
  <si>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</si>
  <si>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</si>
  <si>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</si>
  <si>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</si>
  <si>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</si>
  <si>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</si>
  <si>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</si>
  <si>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</si>
  <si>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</si>
  <si>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</si>
  <si>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</si>
  <si>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</si>
  <si>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</si>
  <si>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</si>
  <si>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</si>
  <si>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</si>
  <si>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</si>
  <si>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</si>
  <si>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</si>
  <si>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</si>
  <si>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</si>
  <si>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</si>
  <si>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</si>
  <si>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</si>
  <si>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</si>
  <si>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</si>
  <si>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</si>
  <si>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</si>
  <si>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</si>
  <si>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</si>
  <si>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</si>
  <si>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</si>
  <si>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</si>
  <si>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</si>
  <si>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</si>
  <si>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</si>
  <si>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</si>
  <si>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</si>
  <si>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</si>
  <si>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</si>
  <si>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</si>
  <si>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</si>
  <si>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</si>
  <si>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</si>
  <si>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</si>
  <si>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</si>
  <si>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</si>
  <si>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</si>
  <si>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</si>
  <si>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</si>
  <si>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</si>
  <si>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</si>
  <si>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</si>
  <si>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</si>
  <si>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</si>
  <si>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</si>
  <si>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</si>
  <si>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</si>
  <si>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</si>
  <si>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</si>
  <si>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</si>
  <si>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</si>
  <si>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</si>
  <si>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</si>
  <si>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</si>
  <si>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</si>
  <si>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</si>
  <si>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</si>
  <si>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</si>
  <si>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</si>
  <si>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</si>
  <si>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</si>
  <si>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</si>
  <si>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</si>
  <si>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</si>
  <si>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</si>
  <si>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</si>
  <si>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</si>
  <si>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</si>
  <si>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</si>
  <si>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</si>
  <si>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</si>
  <si>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</si>
  <si>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</si>
  <si>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</si>
  <si>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</si>
  <si>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</si>
  <si>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</si>
  <si>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</si>
  <si>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</si>
  <si>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</si>
  <si>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</si>
  <si>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</si>
  <si>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</si>
  <si>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</si>
  <si>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</si>
  <si>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</si>
  <si>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</si>
  <si>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</si>
  <si>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</si>
  <si>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</si>
  <si>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</si>
  <si>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</si>
  <si>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</si>
  <si>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</si>
  <si>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</si>
  <si>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</si>
  <si>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</si>
  <si>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</si>
  <si>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</si>
  <si>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</si>
  <si>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</si>
  <si>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</si>
  <si>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</si>
  <si>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</si>
  <si>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</si>
  <si>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</si>
  <si>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</si>
  <si>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</si>
  <si>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</si>
  <si>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</si>
  <si>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</si>
  <si>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Estro: Why I am fine, you too I hope.</t>
  </si>
  <si>
    <t>Research</t>
  </si>
  <si>
    <t>Estro: Research.</t>
  </si>
  <si>
    <t>A short druid</t>
  </si>
  <si>
    <t>Estro: A short druid.</t>
  </si>
  <si>
    <t>I am looking for the book of justice!</t>
  </si>
  <si>
    <t>Estro: I am looking for the book of justice!</t>
  </si>
  <si>
    <t>Hast thou never committed any crime!?</t>
  </si>
  <si>
    <t>I believe thou art boasting a lie!</t>
  </si>
  <si>
    <t>Estro: I believe thou art boasting a lie!</t>
  </si>
  <si>
    <t>Fires after "Still looking"</t>
  </si>
  <si>
    <t>Then speak to the judge in Yew!</t>
  </si>
  <si>
    <t>Estro: 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</si>
  <si>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</si>
  <si>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</si>
  <si>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</si>
  <si>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</si>
  <si>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</si>
  <si>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</si>
  <si>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</si>
  <si>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</si>
  <si>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</si>
  <si>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</si>
  <si>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</si>
  <si>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</si>
  <si>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</si>
  <si>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</si>
  <si>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</si>
  <si>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</si>
  <si>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</si>
  <si>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</si>
  <si>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</si>
  <si>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</si>
  <si>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</si>
  <si>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</si>
  <si>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</si>
  <si>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</si>
  <si>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</si>
  <si>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</si>
  <si>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</si>
  <si>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</si>
  <si>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</si>
  <si>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</si>
  <si>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</si>
  <si>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</si>
  <si>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</si>
  <si>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</si>
  <si>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</si>
  <si>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</si>
  <si>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</si>
  <si>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</si>
  <si>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</si>
  <si>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</si>
  <si>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</si>
  <si>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</si>
  <si>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</si>
  <si>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</si>
  <si>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</si>
  <si>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</si>
  <si>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</si>
  <si>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</si>
  <si>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</si>
  <si>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</si>
  <si>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</si>
  <si>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</si>
  <si>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</si>
  <si>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</si>
  <si>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</si>
  <si>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</si>
  <si>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</si>
  <si>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</si>
  <si>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</si>
  <si>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</si>
  <si>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</si>
  <si>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</si>
  <si>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</si>
  <si>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</si>
  <si>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</si>
  <si>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</si>
  <si>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</si>
  <si>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</si>
  <si>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</si>
  <si>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</si>
  <si>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</si>
  <si>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</si>
  <si>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</si>
  <si>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</si>
  <si>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</si>
  <si>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</si>
  <si>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</si>
  <si>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</si>
  <si>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</si>
  <si>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</si>
  <si>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</si>
  <si>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</si>
  <si>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</si>
  <si>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</si>
  <si>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</si>
  <si>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</si>
  <si>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</si>
  <si>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</si>
  <si>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</si>
  <si>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</si>
  <si>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</si>
  <si>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</si>
  <si>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</si>
  <si>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</si>
  <si>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</si>
  <si>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</si>
  <si>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</si>
  <si>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</si>
  <si>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</si>
  <si>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</si>
  <si>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</si>
  <si>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</si>
  <si>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</si>
  <si>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</si>
  <si>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</si>
  <si>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</si>
  <si>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</si>
  <si>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</si>
  <si>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</si>
  <si>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</si>
  <si>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</si>
  <si>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</si>
  <si>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</si>
  <si>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</si>
  <si>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</si>
  <si>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</si>
  <si>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</si>
  <si>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</si>
  <si>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</si>
  <si>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</si>
  <si>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</si>
  <si>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</si>
  <si>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</si>
  <si>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</si>
  <si>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</si>
  <si>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</si>
  <si>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</si>
  <si>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</si>
  <si>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</si>
  <si>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</si>
  <si>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</si>
  <si>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</si>
  <si>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</si>
  <si>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</si>
  <si>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</si>
  <si>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</si>
  <si>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</si>
  <si>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</si>
  <si>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</si>
  <si>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</si>
  <si>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</si>
  <si>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</si>
  <si>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</si>
  <si>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</si>
  <si>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</si>
  <si>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</si>
  <si>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</si>
  <si>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</si>
  <si>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</si>
  <si>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</si>
  <si>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</si>
  <si>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</si>
  <si>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</si>
  <si>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</si>
  <si>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</si>
  <si>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</si>
  <si>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</si>
  <si>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</si>
  <si>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</si>
  <si>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</si>
  <si>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</si>
  <si>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</si>
  <si>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</si>
  <si>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</si>
  <si>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</si>
  <si>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</si>
  <si>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</si>
  <si>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</si>
  <si>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</si>
  <si>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</si>
  <si>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</si>
  <si>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</si>
  <si>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</si>
  <si>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</si>
  <si>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</si>
  <si>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</si>
  <si>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</si>
  <si>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</si>
  <si>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</si>
  <si>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</si>
  <si>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</si>
  <si>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</si>
  <si>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</si>
  <si>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</si>
  <si>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</si>
  <si>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</si>
  <si>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</si>
  <si>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</si>
  <si>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</si>
  <si>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</si>
  <si>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</si>
  <si>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</si>
  <si>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</si>
  <si>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</si>
  <si>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</si>
  <si>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</si>
  <si>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</si>
  <si>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</si>
  <si>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</si>
  <si>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</si>
  <si>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</si>
  <si>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</si>
  <si>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</si>
  <si>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</si>
  <si>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</si>
  <si>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</si>
  <si>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</si>
  <si>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</si>
  <si>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</si>
  <si>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</si>
  <si>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</si>
  <si>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</si>
  <si>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</si>
  <si>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</si>
  <si>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</si>
  <si>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</si>
  <si>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</si>
  <si>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</si>
  <si>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</si>
  <si>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</si>
  <si>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</si>
  <si>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</si>
  <si>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</si>
  <si>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</si>
  <si>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</si>
  <si>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</si>
  <si>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</si>
  <si>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</si>
  <si>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</si>
  <si>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</si>
  <si>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I carve runes for passage into the shrines!</t>
  </si>
  <si>
    <t>Azure: I carve runes for passage into the shrines!</t>
  </si>
  <si>
    <t>A secret</t>
  </si>
  <si>
    <t>Ask my sister, Mischief.</t>
  </si>
  <si>
    <t>Azure: Ask my sister, Mischief.</t>
  </si>
  <si>
    <t>Dost thou seek a rune?</t>
  </si>
  <si>
    <t>Which?</t>
  </si>
  <si>
    <t>Azure: Which?</t>
  </si>
  <si>
    <t>Fires after "A secret"</t>
  </si>
  <si>
    <t>I see.</t>
  </si>
  <si>
    <t>Azure: I see.</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</si>
  <si>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</si>
  <si>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</si>
  <si>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</si>
  <si>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</si>
  <si>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</si>
  <si>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</si>
  <si>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</si>
  <si>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</si>
  <si>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</si>
  <si>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</si>
  <si>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</si>
  <si>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</si>
  <si>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</si>
  <si>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</si>
  <si>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</si>
  <si>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</si>
  <si>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</si>
  <si>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</si>
  <si>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</si>
  <si>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</si>
  <si>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</si>
  <si>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</si>
  <si>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</si>
  <si>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</si>
  <si>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</si>
  <si>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</si>
  <si>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</si>
  <si>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</si>
  <si>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Listen to the bard's song, the key's in its verse!</t>
  </si>
  <si>
    <t>Damon: Listen to the bard's song for in its verse lies the key!</t>
  </si>
  <si>
    <t>Can't a man just think to himself?</t>
  </si>
  <si>
    <t>Well I hope so!</t>
  </si>
  <si>
    <t>Damon: Well I hope so!</t>
  </si>
  <si>
    <t>Oh, yes I can thou bandersnatch!</t>
  </si>
  <si>
    <t>Damon: Oh, yes I can thou bandersnatch!</t>
  </si>
  <si>
    <t>Gimble</t>
  </si>
  <si>
    <t>I suffer from a tsetse byte!</t>
  </si>
  <si>
    <t>Gimble: I suffer from a tsetse byte!</t>
  </si>
  <si>
    <t>I am barely conscious.</t>
  </si>
  <si>
    <t>Gimble: I am barely conscious.</t>
  </si>
  <si>
    <t>I shall die soon.</t>
  </si>
  <si>
    <t>Gimble: I shall die soon.</t>
  </si>
  <si>
    <t>A fading man</t>
  </si>
  <si>
    <t>Gimble: A fading man.</t>
  </si>
  <si>
    <t>Fading</t>
  </si>
  <si>
    <t>I will soon sleep forever.</t>
  </si>
  <si>
    <t>Gimble: I will soon sleep forever.</t>
  </si>
  <si>
    <t>Could thou spare a gold piece for a last drink?</t>
  </si>
  <si>
    <t>Remember Azure knows of the rune!</t>
  </si>
  <si>
    <t>Gimble: Remember Azure knows of the rune!</t>
  </si>
  <si>
    <t>Fires after "Fading"</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</si>
  <si>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</si>
  <si>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</si>
  <si>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</si>
  <si>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</si>
  <si>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</si>
  <si>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</si>
  <si>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</si>
  <si>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</si>
  <si>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</si>
  <si>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</si>
  <si>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</si>
  <si>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</si>
  <si>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</si>
  <si>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</si>
  <si>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</si>
  <si>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</si>
  <si>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</si>
  <si>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</si>
  <si>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</si>
  <si>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</si>
  <si>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</si>
  <si>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</si>
  <si>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</si>
  <si>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</si>
  <si>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Self sacrifice is the highest rule of grace.</t>
  </si>
  <si>
    <t>Julia: Self preservation is the first law of nature; self sacrifice the highest rule of grace.</t>
  </si>
  <si>
    <t>Julia: Well.</t>
  </si>
  <si>
    <t>I care for the poor.</t>
  </si>
  <si>
    <t>Julia: I care for the poor.</t>
  </si>
  <si>
    <t>An agile tinker</t>
  </si>
  <si>
    <t>Julia: An agile tinker.</t>
  </si>
  <si>
    <t>The house</t>
  </si>
  <si>
    <t>Many poor and destitute souls dwell here.</t>
  </si>
  <si>
    <t>Julia: Within this house are many poor and destitute souls.</t>
  </si>
  <si>
    <t>Wilt thou help?</t>
  </si>
  <si>
    <t>I would join thee.</t>
  </si>
  <si>
    <t>Julia: I would join thee.</t>
  </si>
  <si>
    <t>Fires after "The house"</t>
  </si>
  <si>
    <t>Bum.</t>
  </si>
  <si>
    <t>Julia: Bum.</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</si>
  <si>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</si>
  <si>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</si>
  <si>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</si>
  <si>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</si>
  <si>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</si>
  <si>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</si>
  <si>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</si>
  <si>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</si>
  <si>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</si>
  <si>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A hidden shepherd is said to know it.</t>
  </si>
  <si>
    <t>Merida: I am told that a hidden shepherd knows the mantra.</t>
  </si>
  <si>
    <t>Know ye the mantra?</t>
  </si>
  <si>
    <t>Merida: Good!</t>
  </si>
  <si>
    <t>The shrine is on a lake to the east!</t>
  </si>
  <si>
    <t>Merida: The shrine is on a lake to the east!</t>
  </si>
  <si>
    <t>Mike Ward</t>
  </si>
  <si>
    <t>Ranger</t>
  </si>
  <si>
    <t>Well enough.</t>
  </si>
  <si>
    <t>Mike Ward: Well enough.</t>
  </si>
  <si>
    <t>I am trying to get a room.</t>
  </si>
  <si>
    <t>Mike Ward: I am trying to get a room.</t>
  </si>
  <si>
    <t>A stocky ranger</t>
  </si>
  <si>
    <t>Mike Ward: A stocky ranger.</t>
  </si>
  <si>
    <t>The journey</t>
  </si>
  <si>
    <t>I have travelled clear from Skara Brae.</t>
  </si>
  <si>
    <t>Mike Ward: I have travelled clear from Skara Brae.</t>
  </si>
  <si>
    <t>The rune of our city is missing!</t>
  </si>
  <si>
    <t>Mike Ward: The rune of our city is missing!</t>
  </si>
  <si>
    <t>Know thee of the rune?</t>
  </si>
  <si>
    <t>It is the key to the shrine of spirituality!</t>
  </si>
  <si>
    <t>Mike Ward: It is the key to the shrine of spirituality!</t>
  </si>
  <si>
    <t>Fires after "The rune"</t>
  </si>
  <si>
    <t>It is not in Skara Brae.</t>
  </si>
  <si>
    <t>Mike Ward: It is not in Skara Brae.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</si>
  <si>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</si>
  <si>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</si>
  <si>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</si>
  <si>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</si>
  <si>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</si>
  <si>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</si>
  <si>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</si>
  <si>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</si>
  <si>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</si>
  <si>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</si>
  <si>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</si>
  <si>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</si>
  <si>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</si>
  <si>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</si>
  <si>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</si>
  <si>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</si>
  <si>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</si>
  <si>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</si>
  <si>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</si>
  <si>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</si>
  <si>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</si>
  <si>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</si>
  <si>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</si>
  <si>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</si>
  <si>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</si>
  <si>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</si>
  <si>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</si>
  <si>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</si>
  <si>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</si>
  <si>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</si>
  <si>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</si>
  <si>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</si>
  <si>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</si>
  <si>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</si>
  <si>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</si>
  <si>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</si>
  <si>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</si>
  <si>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Very well indeed!</t>
  </si>
  <si>
    <t>Singsong: Very well indeed!</t>
  </si>
  <si>
    <t>I sing songs!</t>
  </si>
  <si>
    <t>Singsong: I sing songs!</t>
  </si>
  <si>
    <t>A cute bard</t>
  </si>
  <si>
    <t>Singsong: A cute bard.</t>
  </si>
  <si>
    <t>The raven sayeth 'CAH'.</t>
  </si>
  <si>
    <t>Singsong: Very well, the raven sings, the raven saw and in the corn he sayeth 'CAH'. Dost thou like it?</t>
  </si>
  <si>
    <t>Zircon</t>
  </si>
  <si>
    <t>Blacksmith</t>
  </si>
  <si>
    <t>Quite well.</t>
  </si>
  <si>
    <t>Zircon: Quite well.</t>
  </si>
  <si>
    <t>I forge weapons.</t>
  </si>
  <si>
    <t>Zircon: I forge weapons.</t>
  </si>
  <si>
    <t>A seasoned blacksmith</t>
  </si>
  <si>
    <t>Zircon: A seasoned blacksmith.</t>
  </si>
  <si>
    <t>Craftsmanship</t>
  </si>
  <si>
    <t>I make the very best!</t>
  </si>
  <si>
    <t>Zircon: I make the very best!</t>
  </si>
  <si>
    <t>Mystic gear</t>
  </si>
  <si>
    <t>My greatest work went to Sir Simon and Lady Tessa.</t>
  </si>
  <si>
    <t>Zircon: Ah, yes, the mystic weapons, and armour, my greatest work! Those I gave unto Sir Simon and Lady Tessa.</t>
  </si>
  <si>
    <t>Seek thee a weapon?</t>
  </si>
  <si>
    <t>Ask at the counter!</t>
  </si>
  <si>
    <t>Zircon: Ask at the counter!</t>
  </si>
  <si>
    <t>Fires after "Mystic gear"</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</si>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</sst>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cellXfs>
  <cellStyles count="1">
    <cellStyle name="Normal" xfId="0" builtinId="0"/>
  </cellStyles>
  <dxfs count="9">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474"/>
  <sheetViews>
    <sheetView tabSelected="1" zoomScale="85" zoomScaleNormal="85" workbookViewId="0">
      <pane xSplit="3" ySplit="1" topLeftCell="G159" activePane="bottomRight" state="frozen"/>
      <selection pane="topRight" activeCell="D1" sqref="D1"/>
      <selection pane="bottomLeft" activeCell="A2" sqref="A2"/>
      <selection pane="bottomRight" activeCell="A180" sqref="A180:O186"/>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4"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x14ac:dyDescent="0.3">
      <c r="A53" s="23" t="s">
        <v>248</v>
      </c>
      <c r="B53" s="10" t="s">
        <v>249</v>
      </c>
      <c r="C53" s="5" t="s">
        <v>250</v>
      </c>
      <c r="D53" s="5" t="s">
        <v>79</v>
      </c>
      <c r="E53" s="5" t="s">
        <v>80</v>
      </c>
      <c r="F53" s="14">
        <v>-1</v>
      </c>
      <c r="G53" s="5" t="s">
        <v>63</v>
      </c>
      <c r="H53" s="5"/>
      <c r="I53" s="5">
        <f>INT((1/COUNTIF(B:B,B53))*100)</f>
        <v>16</v>
      </c>
      <c r="J53" s="5" t="s">
        <v>254</v>
      </c>
      <c r="K53" s="5" t="s">
        <v>255</v>
      </c>
      <c r="L53" s="5" t="s">
        <v>256</v>
      </c>
      <c r="M53" s="5"/>
      <c r="N53" s="5">
        <v>5</v>
      </c>
      <c r="O53" s="5"/>
    </row>
    <row r="54" spans="1:15" x14ac:dyDescent="0.3">
      <c r="A54" s="23" t="s">
        <v>248</v>
      </c>
      <c r="B54" s="10" t="s">
        <v>249</v>
      </c>
      <c r="C54" s="5" t="s">
        <v>250</v>
      </c>
      <c r="D54" s="5" t="s">
        <v>257</v>
      </c>
      <c r="E54" s="5" t="s">
        <v>154</v>
      </c>
      <c r="F54" s="14">
        <v>-1</v>
      </c>
      <c r="G54" s="5" t="s">
        <v>72</v>
      </c>
      <c r="H54" s="5" t="s">
        <v>73</v>
      </c>
      <c r="I54" s="5">
        <f>INT((1/COUNTIF(B:B,B54))*100)</f>
        <v>16</v>
      </c>
      <c r="J54" s="5" t="s">
        <v>249</v>
      </c>
      <c r="K54" s="5" t="s">
        <v>258</v>
      </c>
      <c r="L54" s="5" t="s">
        <v>259</v>
      </c>
      <c r="M54" s="5"/>
      <c r="N54" s="5">
        <v>20</v>
      </c>
      <c r="O54" s="5" t="s">
        <v>260</v>
      </c>
    </row>
    <row r="55" spans="1:15" x14ac:dyDescent="0.3">
      <c r="A55" s="23" t="s">
        <v>248</v>
      </c>
      <c r="B55" s="10" t="s">
        <v>249</v>
      </c>
      <c r="C55" s="5" t="s">
        <v>250</v>
      </c>
      <c r="D55" s="5" t="s">
        <v>257</v>
      </c>
      <c r="E55" s="5" t="s">
        <v>154</v>
      </c>
      <c r="F55" s="14">
        <v>-1</v>
      </c>
      <c r="G55" s="5" t="s">
        <v>72</v>
      </c>
      <c r="H55" s="5" t="s">
        <v>77</v>
      </c>
      <c r="I55" s="5">
        <f>INT((1/COUNTIF(B:B,B55))*100)</f>
        <v>16</v>
      </c>
      <c r="J55" s="5" t="s">
        <v>249</v>
      </c>
      <c r="K55" s="5" t="s">
        <v>258</v>
      </c>
      <c r="L55" s="5" t="s">
        <v>261</v>
      </c>
      <c r="M55" s="5"/>
      <c r="N55" s="5"/>
      <c r="O55" s="5"/>
    </row>
    <row r="56" spans="1:15" x14ac:dyDescent="0.3">
      <c r="A56" s="23" t="s">
        <v>248</v>
      </c>
      <c r="B56" s="10" t="s">
        <v>249</v>
      </c>
      <c r="C56" s="5" t="s">
        <v>250</v>
      </c>
      <c r="D56" s="5" t="s">
        <v>262</v>
      </c>
      <c r="E56" s="5" t="s">
        <v>154</v>
      </c>
      <c r="F56" s="14">
        <v>-1</v>
      </c>
      <c r="G56" s="5" t="s">
        <v>63</v>
      </c>
      <c r="H56" s="5"/>
      <c r="I56" s="5">
        <f>INT((1/COUNTIF(B:B,B56))*100)</f>
        <v>16</v>
      </c>
      <c r="J56" s="5" t="s">
        <v>338</v>
      </c>
      <c r="K56" s="5" t="s">
        <v>336</v>
      </c>
      <c r="L56" s="5" t="s">
        <v>263</v>
      </c>
      <c r="M56" s="5"/>
      <c r="N56" s="5"/>
      <c r="O56" s="5" t="s">
        <v>264</v>
      </c>
    </row>
    <row r="57" spans="1:15" x14ac:dyDescent="0.3">
      <c r="A57" s="23" t="s">
        <v>248</v>
      </c>
      <c r="B57" s="10" t="s">
        <v>249</v>
      </c>
      <c r="C57" s="5" t="s">
        <v>250</v>
      </c>
      <c r="D57" s="5" t="s">
        <v>265</v>
      </c>
      <c r="E57" s="5" t="s">
        <v>154</v>
      </c>
      <c r="F57" s="14">
        <v>-1</v>
      </c>
      <c r="G57" s="5" t="s">
        <v>63</v>
      </c>
      <c r="H57" s="5"/>
      <c r="I57" s="5">
        <f>INT((1/COUNTIF(B:B,B57))*100)</f>
        <v>16</v>
      </c>
      <c r="J57" s="5" t="s">
        <v>339</v>
      </c>
      <c r="K57" s="5" t="s">
        <v>337</v>
      </c>
      <c r="L57" s="5" t="s">
        <v>266</v>
      </c>
      <c r="M57" s="5"/>
      <c r="N57" s="5"/>
      <c r="O57" s="5"/>
    </row>
    <row r="58" spans="1:15" x14ac:dyDescent="0.3">
      <c r="A58" s="24" t="s">
        <v>277</v>
      </c>
      <c r="B58" s="25" t="s">
        <v>267</v>
      </c>
      <c r="C58" s="28" t="str">
        <f>VLOOKUP(A58&amp;"|"&amp;B58&amp;"|"&amp;"LOOK",'[1]NPC Dialogue'!$A:$F,6,FALSE)</f>
        <v>A tall mage.</v>
      </c>
      <c r="D58" s="7" t="s">
        <v>61</v>
      </c>
      <c r="E58" s="7" t="s">
        <v>96</v>
      </c>
      <c r="F58" s="14">
        <v>-1</v>
      </c>
      <c r="G58" s="4" t="s">
        <v>63</v>
      </c>
      <c r="H58" s="5"/>
      <c r="I58" s="5">
        <f>INT((1/COUNTIF(B:B,B58))*100)</f>
        <v>33</v>
      </c>
      <c r="J58" s="24" t="s">
        <v>310</v>
      </c>
      <c r="K58" s="24" t="s">
        <v>282</v>
      </c>
      <c r="L58" s="5" t="str">
        <f>B58&amp;": "&amp;K58</f>
        <v>Browning: An honest soul need remember no lies!</v>
      </c>
      <c r="M58" s="5"/>
      <c r="N58" s="5"/>
      <c r="O58" s="5"/>
    </row>
    <row r="59" spans="1:15" x14ac:dyDescent="0.3">
      <c r="A59" s="24" t="s">
        <v>277</v>
      </c>
      <c r="B59" s="25" t="s">
        <v>267</v>
      </c>
      <c r="C59" s="28" t="str">
        <f>VLOOKUP(A59&amp;"|"&amp;B59&amp;"|"&amp;"LOOK",'[1]NPC Dialogue'!$A:$F,6,FALSE)</f>
        <v>A tall mage.</v>
      </c>
      <c r="D59" s="7" t="s">
        <v>61</v>
      </c>
      <c r="E59" s="7" t="s">
        <v>96</v>
      </c>
      <c r="F59" s="14">
        <v>-1</v>
      </c>
      <c r="G59" s="4" t="s">
        <v>63</v>
      </c>
      <c r="H59" s="5"/>
      <c r="I59" s="5">
        <f>INT((1/COUNTIF(B:B,B59))*100)</f>
        <v>33</v>
      </c>
      <c r="J59" s="24" t="s">
        <v>311</v>
      </c>
      <c r="K59" s="24" t="s">
        <v>283</v>
      </c>
      <c r="L59" s="5" t="str">
        <f t="shared" ref="L59:L98" si="0">B59&amp;": "&amp;K59</f>
        <v>Browning: I strive to live an honest life!</v>
      </c>
      <c r="M59" s="5"/>
      <c r="N59" s="5"/>
      <c r="O59" s="5"/>
    </row>
    <row r="60" spans="1:15" x14ac:dyDescent="0.3">
      <c r="A60" s="24" t="s">
        <v>277</v>
      </c>
      <c r="B60" s="25" t="s">
        <v>267</v>
      </c>
      <c r="C60" s="28" t="str">
        <f>VLOOKUP(A60&amp;"|"&amp;B60&amp;"|"&amp;"LOOK",'[1]NPC Dialogue'!$A:$F,6,FALSE)</f>
        <v>A tall mage.</v>
      </c>
      <c r="D60" s="7" t="s">
        <v>61</v>
      </c>
      <c r="E60" s="7" t="s">
        <v>96</v>
      </c>
      <c r="F60" s="14">
        <v>-1</v>
      </c>
      <c r="G60" s="4" t="s">
        <v>63</v>
      </c>
      <c r="H60" s="5"/>
      <c r="I60" s="5">
        <f>INT((1/COUNTIF(B:B,B60))*100)</f>
        <v>33</v>
      </c>
      <c r="J60" s="24" t="s">
        <v>315</v>
      </c>
      <c r="K60" s="24" t="s">
        <v>316</v>
      </c>
      <c r="L60" s="5" t="str">
        <f t="shared" si="0"/>
        <v>Browning: It is rooted in Knowledge and Courage.</v>
      </c>
      <c r="M60" s="5"/>
      <c r="N60" s="5"/>
      <c r="O60" s="5"/>
    </row>
    <row r="61" spans="1:15" ht="26.4" x14ac:dyDescent="0.3">
      <c r="A61" s="24" t="s">
        <v>277</v>
      </c>
      <c r="B61" s="25" t="s">
        <v>268</v>
      </c>
      <c r="C61" s="28" t="str">
        <f>VLOOKUP(A61&amp;"|"&amp;B61&amp;"|"&amp;"LOOK",'[1]NPC Dialogue'!$A:$F,6,FALSE)</f>
        <v>A tall mage.</v>
      </c>
      <c r="D61" s="7" t="s">
        <v>61</v>
      </c>
      <c r="E61" s="7" t="s">
        <v>154</v>
      </c>
      <c r="F61" s="14">
        <v>-1</v>
      </c>
      <c r="G61" s="4" t="s">
        <v>63</v>
      </c>
      <c r="H61" s="5"/>
      <c r="I61" s="5">
        <f>INT((1/COUNTIF(B:B,B61))*100)</f>
        <v>33</v>
      </c>
      <c r="J61" s="25" t="s">
        <v>343</v>
      </c>
      <c r="K61" s="25" t="s">
        <v>344</v>
      </c>
      <c r="L61" s="5" t="str">
        <f t="shared" si="0"/>
        <v>Calabrini: Yes several types of potions are sold here!</v>
      </c>
      <c r="M61" s="5"/>
      <c r="N61" s="5"/>
      <c r="O61" s="5"/>
    </row>
    <row r="62" spans="1:15" ht="26.4" x14ac:dyDescent="0.3">
      <c r="A62" s="24" t="s">
        <v>277</v>
      </c>
      <c r="B62" s="25" t="s">
        <v>268</v>
      </c>
      <c r="C62" s="28" t="str">
        <f>VLOOKUP(A62&amp;"|"&amp;B62&amp;"|"&amp;"LOOK",'[1]NPC Dialogue'!$A:$F,6,FALSE)</f>
        <v>A tall mage.</v>
      </c>
      <c r="D62" s="7" t="s">
        <v>61</v>
      </c>
      <c r="E62" s="7" t="s">
        <v>154</v>
      </c>
      <c r="F62" s="14">
        <v>-1</v>
      </c>
      <c r="G62" s="4" t="s">
        <v>63</v>
      </c>
      <c r="H62" s="5"/>
      <c r="I62" s="5">
        <f>INT((1/COUNTIF(B:B,B62))*100)</f>
        <v>33</v>
      </c>
      <c r="J62" s="24" t="s">
        <v>347</v>
      </c>
      <c r="K62" s="24" t="s">
        <v>348</v>
      </c>
      <c r="L62" s="5" t="str">
        <f t="shared" si="0"/>
        <v>Calabrini: The housekeeper at the inn is very chatty.</v>
      </c>
      <c r="M62" s="5"/>
      <c r="N62" s="5"/>
      <c r="O62" s="5"/>
    </row>
    <row r="63" spans="1:15" ht="26.4" x14ac:dyDescent="0.3">
      <c r="A63" s="24" t="s">
        <v>277</v>
      </c>
      <c r="B63" s="25" t="s">
        <v>268</v>
      </c>
      <c r="C63" s="28" t="str">
        <f>VLOOKUP(A63&amp;"|"&amp;B63&amp;"|"&amp;"LOOK",'[1]NPC Dialogue'!$A:$F,6,FALSE)</f>
        <v>A tall mage.</v>
      </c>
      <c r="D63" s="7" t="s">
        <v>61</v>
      </c>
      <c r="E63" s="7" t="s">
        <v>154</v>
      </c>
      <c r="F63" s="14">
        <v>-1</v>
      </c>
      <c r="G63" s="4" t="s">
        <v>63</v>
      </c>
      <c r="H63" s="5"/>
      <c r="I63" s="5">
        <f>INT((1/COUNTIF(B:B,B63))*100)</f>
        <v>33</v>
      </c>
      <c r="J63" s="24" t="s">
        <v>346</v>
      </c>
      <c r="K63" s="25" t="s">
        <v>345</v>
      </c>
      <c r="L63" s="5" t="str">
        <f t="shared" si="0"/>
        <v>Calabrini: I bear greetings from the HONEST town of Moonglow.</v>
      </c>
      <c r="M63" s="5"/>
      <c r="N63" s="5"/>
      <c r="O63" s="5"/>
    </row>
    <row r="64" spans="1:15" ht="21.6" x14ac:dyDescent="0.3">
      <c r="A64" s="24" t="s">
        <v>277</v>
      </c>
      <c r="B64" s="25" t="s">
        <v>269</v>
      </c>
      <c r="C64" s="28" t="str">
        <f>VLOOKUP(A64&amp;"|"&amp;B64&amp;"|"&amp;"LOOK",'[1]NPC Dialogue'!$A:$F,6,FALSE)</f>
        <v>The housekeeping nitwit.</v>
      </c>
      <c r="D64" s="7" t="s">
        <v>61</v>
      </c>
      <c r="E64" s="7" t="s">
        <v>96</v>
      </c>
      <c r="F64" s="14">
        <v>-1</v>
      </c>
      <c r="G64" s="4" t="s">
        <v>63</v>
      </c>
      <c r="H64" s="5"/>
      <c r="I64" s="5">
        <f>INT((1/COUNTIF(B:B,B64))*100)</f>
        <v>20</v>
      </c>
      <c r="J64" s="25" t="s">
        <v>322</v>
      </c>
      <c r="K64" s="25" t="s">
        <v>284</v>
      </c>
      <c r="L64" s="5" t="str">
        <f t="shared" si="0"/>
        <v>Christen: Honest friends are few!</v>
      </c>
      <c r="M64" s="5"/>
      <c r="N64" s="5"/>
      <c r="O64" s="5"/>
    </row>
    <row r="65" spans="1:15" ht="21.6" x14ac:dyDescent="0.3">
      <c r="A65" s="24" t="s">
        <v>277</v>
      </c>
      <c r="B65" s="25" t="s">
        <v>269</v>
      </c>
      <c r="C65" s="28" t="str">
        <f>VLOOKUP(A65&amp;"|"&amp;B65&amp;"|"&amp;"LOOK",'[1]NPC Dialogue'!$A:$F,6,FALSE)</f>
        <v>The housekeeping nitwit.</v>
      </c>
      <c r="D65" s="7" t="s">
        <v>61</v>
      </c>
      <c r="E65" s="7" t="s">
        <v>96</v>
      </c>
      <c r="F65" s="14">
        <v>-1</v>
      </c>
      <c r="G65" s="4" t="s">
        <v>63</v>
      </c>
      <c r="H65" s="5"/>
      <c r="I65" s="5">
        <f>INT((1/COUNTIF(B:B,B65))*100)</f>
        <v>20</v>
      </c>
      <c r="J65" s="24" t="s">
        <v>323</v>
      </c>
      <c r="K65" s="24" t="s">
        <v>319</v>
      </c>
      <c r="L65" s="5" t="str">
        <f t="shared" si="0"/>
        <v>Christen: Imma feeling gooood!</v>
      </c>
      <c r="M65" s="5"/>
      <c r="N65" s="5"/>
      <c r="O65" s="5"/>
    </row>
    <row r="66" spans="1:15" ht="26.4" x14ac:dyDescent="0.3">
      <c r="A66" s="24" t="s">
        <v>277</v>
      </c>
      <c r="B66" s="25" t="s">
        <v>269</v>
      </c>
      <c r="C66" s="28" t="str">
        <f>VLOOKUP(A66&amp;"|"&amp;B66&amp;"|"&amp;"LOOK",'[1]NPC Dialogue'!$A:$F,6,FALSE)</f>
        <v>The housekeeping nitwit.</v>
      </c>
      <c r="D66" s="7" t="s">
        <v>61</v>
      </c>
      <c r="E66" s="7" t="s">
        <v>96</v>
      </c>
      <c r="F66" s="14">
        <v>-1</v>
      </c>
      <c r="G66" s="4" t="s">
        <v>63</v>
      </c>
      <c r="H66" s="5"/>
      <c r="I66" s="5">
        <f>INT((1/COUNTIF(B:B,B66))*100)</f>
        <v>20</v>
      </c>
      <c r="J66" s="24" t="s">
        <v>321</v>
      </c>
      <c r="K66" s="25" t="s">
        <v>285</v>
      </c>
      <c r="L66" s="5" t="str">
        <f t="shared" si="0"/>
        <v>Christen: My friend William knows where the rune of honesty is.</v>
      </c>
      <c r="M66" s="5"/>
      <c r="N66" s="5"/>
      <c r="O66" s="5"/>
    </row>
    <row r="67" spans="1:15" ht="26.4" x14ac:dyDescent="0.3">
      <c r="A67" s="24" t="s">
        <v>277</v>
      </c>
      <c r="B67" s="25" t="s">
        <v>269</v>
      </c>
      <c r="C67" s="28" t="str">
        <f>VLOOKUP(A67&amp;"|"&amp;B67&amp;"|"&amp;"LOOK",'[1]NPC Dialogue'!$A:$F,6,FALSE)</f>
        <v>The housekeeping nitwit.</v>
      </c>
      <c r="D67" s="7" t="s">
        <v>61</v>
      </c>
      <c r="E67" s="7" t="s">
        <v>96</v>
      </c>
      <c r="F67" s="14">
        <v>-1</v>
      </c>
      <c r="G67" s="4" t="s">
        <v>63</v>
      </c>
      <c r="H67" s="5"/>
      <c r="I67" s="5">
        <f>INT((1/COUNTIF(B:B,B67))*100)</f>
        <v>20</v>
      </c>
      <c r="J67" s="24" t="s">
        <v>340</v>
      </c>
      <c r="K67" s="29" t="s">
        <v>349</v>
      </c>
      <c r="L67" s="26" t="str">
        <f t="shared" si="0"/>
        <v>Christen: Hey, don't open Rebelias' personal chests. That's not honest!</v>
      </c>
      <c r="M67" s="5"/>
      <c r="N67" s="5"/>
      <c r="O67" s="5"/>
    </row>
    <row r="68" spans="1:15" ht="21.6" x14ac:dyDescent="0.3">
      <c r="A68" s="24" t="s">
        <v>277</v>
      </c>
      <c r="B68" s="25" t="s">
        <v>269</v>
      </c>
      <c r="C68" s="28" t="str">
        <f>VLOOKUP(A68&amp;"|"&amp;B68&amp;"|"&amp;"LOOK",'[1]NPC Dialogue'!$A:$F,6,FALSE)</f>
        <v>The housekeeping nitwit.</v>
      </c>
      <c r="D68" s="7" t="s">
        <v>61</v>
      </c>
      <c r="E68" s="7" t="s">
        <v>96</v>
      </c>
      <c r="F68" s="14">
        <v>-1</v>
      </c>
      <c r="G68" s="4" t="s">
        <v>63</v>
      </c>
      <c r="H68" s="5"/>
      <c r="I68" s="5">
        <f>INT((1/COUNTIF(B:B,B68))*100)</f>
        <v>20</v>
      </c>
      <c r="J68" s="24" t="s">
        <v>335</v>
      </c>
      <c r="K68" s="24" t="s">
        <v>286</v>
      </c>
      <c r="L68" s="5" t="str">
        <f t="shared" si="0"/>
        <v>Christen: The housekeeping nitwit.</v>
      </c>
      <c r="M68" s="5"/>
      <c r="N68" s="5"/>
      <c r="O68" s="5"/>
    </row>
    <row r="69" spans="1:15" ht="26.4" x14ac:dyDescent="0.3">
      <c r="A69" s="24" t="s">
        <v>277</v>
      </c>
      <c r="B69" s="25" t="s">
        <v>270</v>
      </c>
      <c r="C69" s="28" t="str">
        <f>VLOOKUP(A69&amp;"|"&amp;B69&amp;"|"&amp;"LOOK",'[1]NPC Dialogue'!$A:$F,6,FALSE)</f>
        <v>I am a regal palladin.</v>
      </c>
      <c r="D69" s="7" t="s">
        <v>61</v>
      </c>
      <c r="E69" s="7" t="s">
        <v>96</v>
      </c>
      <c r="F69" s="14">
        <v>-1</v>
      </c>
      <c r="G69" s="4" t="s">
        <v>63</v>
      </c>
      <c r="H69" s="5"/>
      <c r="I69" s="5">
        <f>INT((1/COUNTIF(B:B,B69))*100)</f>
        <v>33</v>
      </c>
      <c r="J69" s="24" t="s">
        <v>326</v>
      </c>
      <c r="K69" s="24" t="s">
        <v>287</v>
      </c>
      <c r="L69" s="5" t="str">
        <f t="shared" si="0"/>
        <v>Cromwell: A few honest men are better than numbers!</v>
      </c>
      <c r="M69" s="5"/>
      <c r="N69" s="5"/>
      <c r="O69" s="5"/>
    </row>
    <row r="70" spans="1:15" x14ac:dyDescent="0.3">
      <c r="A70" s="24" t="s">
        <v>277</v>
      </c>
      <c r="B70" s="25" t="s">
        <v>270</v>
      </c>
      <c r="C70" s="28" t="str">
        <f>VLOOKUP(A70&amp;"|"&amp;B70&amp;"|"&amp;"LOOK",'[1]NPC Dialogue'!$A:$F,6,FALSE)</f>
        <v>I am a regal palladin.</v>
      </c>
      <c r="D70" s="7" t="s">
        <v>61</v>
      </c>
      <c r="E70" s="7" t="s">
        <v>96</v>
      </c>
      <c r="F70" s="14">
        <v>-1</v>
      </c>
      <c r="G70" s="4" t="s">
        <v>63</v>
      </c>
      <c r="H70" s="5"/>
      <c r="I70" s="5">
        <f>INT((1/COUNTIF(B:B,B70))*100)</f>
        <v>33</v>
      </c>
      <c r="J70" s="24" t="s">
        <v>311</v>
      </c>
      <c r="K70" s="24" t="s">
        <v>288</v>
      </c>
      <c r="L70" s="5" t="str">
        <f t="shared" si="0"/>
        <v>Cromwell: I speak of the virtues of honesty!</v>
      </c>
      <c r="M70" s="5"/>
      <c r="N70" s="5"/>
      <c r="O70" s="5"/>
    </row>
    <row r="71" spans="1:15" x14ac:dyDescent="0.3">
      <c r="A71" s="24" t="s">
        <v>277</v>
      </c>
      <c r="B71" s="25" t="s">
        <v>270</v>
      </c>
      <c r="C71" s="28" t="str">
        <f>VLOOKUP(A71&amp;"|"&amp;B71&amp;"|"&amp;"LOOK",'[1]NPC Dialogue'!$A:$F,6,FALSE)</f>
        <v>I am a regal palladin.</v>
      </c>
      <c r="D71" s="7" t="s">
        <v>61</v>
      </c>
      <c r="E71" s="7" t="s">
        <v>96</v>
      </c>
      <c r="F71" s="14">
        <v>-1</v>
      </c>
      <c r="G71" s="4" t="s">
        <v>63</v>
      </c>
      <c r="H71" s="5"/>
      <c r="I71" s="5">
        <f>INT((1/COUNTIF(B:B,B71))*100)</f>
        <v>33</v>
      </c>
      <c r="J71" s="24" t="s">
        <v>333</v>
      </c>
      <c r="K71" s="24" t="s">
        <v>289</v>
      </c>
      <c r="L71" s="5" t="str">
        <f t="shared" si="0"/>
        <v>Cromwell: The mantra for Honesty is ’AHM’.</v>
      </c>
      <c r="M71" s="5"/>
      <c r="N71" s="5"/>
      <c r="O71" s="5"/>
    </row>
    <row r="72" spans="1:15" ht="26.4" x14ac:dyDescent="0.3">
      <c r="A72" s="24" t="s">
        <v>277</v>
      </c>
      <c r="B72" s="25" t="s">
        <v>271</v>
      </c>
      <c r="C72" s="28" t="str">
        <f>VLOOKUP(A72&amp;"|"&amp;B72&amp;"|"&amp;"LOOK",'[1]NPC Dialogue'!$A:$F,6,FALSE)</f>
        <v>A young mage</v>
      </c>
      <c r="D72" s="7" t="s">
        <v>61</v>
      </c>
      <c r="E72" s="7" t="s">
        <v>154</v>
      </c>
      <c r="F72" s="14">
        <v>-1</v>
      </c>
      <c r="G72" s="4" t="s">
        <v>63</v>
      </c>
      <c r="H72" s="5"/>
      <c r="I72" s="5">
        <f>INT((1/COUNTIF(B:B,B72))*100)</f>
        <v>33</v>
      </c>
      <c r="J72" s="24" t="s">
        <v>334</v>
      </c>
      <c r="K72" s="24" t="s">
        <v>342</v>
      </c>
      <c r="L72" s="5" t="str">
        <f t="shared" si="0"/>
        <v>Mariah: Yes, I hope to go on a great quest, one day!</v>
      </c>
      <c r="M72" s="5"/>
      <c r="N72" s="5"/>
      <c r="O72" s="5"/>
    </row>
    <row r="73" spans="1:15" x14ac:dyDescent="0.3">
      <c r="A73" s="24" t="s">
        <v>277</v>
      </c>
      <c r="B73" s="25" t="s">
        <v>271</v>
      </c>
      <c r="C73" s="28" t="str">
        <f>VLOOKUP(A73&amp;"|"&amp;B73&amp;"|"&amp;"LOOK",'[1]NPC Dialogue'!$A:$F,6,FALSE)</f>
        <v>A young mage</v>
      </c>
      <c r="D73" s="7" t="s">
        <v>61</v>
      </c>
      <c r="E73" s="7" t="s">
        <v>154</v>
      </c>
      <c r="F73" s="14">
        <v>-1</v>
      </c>
      <c r="G73" s="4" t="s">
        <v>63</v>
      </c>
      <c r="H73" s="5"/>
      <c r="I73" s="5">
        <f>INT((1/COUNTIF(B:B,B73))*100)</f>
        <v>33</v>
      </c>
      <c r="J73" s="24" t="s">
        <v>311</v>
      </c>
      <c r="K73" s="24" t="s">
        <v>341</v>
      </c>
      <c r="L73" s="5" t="str">
        <f t="shared" si="0"/>
        <v>Mariah: I tend to the pond fish. It's honest work.</v>
      </c>
      <c r="M73" s="5"/>
      <c r="N73" s="5"/>
      <c r="O73" s="5"/>
    </row>
    <row r="74" spans="1:15" x14ac:dyDescent="0.3">
      <c r="A74" s="24" t="s">
        <v>277</v>
      </c>
      <c r="B74" s="25" t="s">
        <v>271</v>
      </c>
      <c r="C74" s="28" t="str">
        <f>VLOOKUP(A74&amp;"|"&amp;B74&amp;"|"&amp;"LOOK",'[1]NPC Dialogue'!$A:$F,6,FALSE)</f>
        <v>A young mage</v>
      </c>
      <c r="D74" s="7" t="s">
        <v>61</v>
      </c>
      <c r="E74" s="7" t="s">
        <v>154</v>
      </c>
      <c r="F74" s="14">
        <v>-1</v>
      </c>
      <c r="G74" s="4" t="s">
        <v>63</v>
      </c>
      <c r="H74" s="5"/>
      <c r="I74" s="5">
        <f>INT((1/COUNTIF(B:B,B74))*100)</f>
        <v>33</v>
      </c>
      <c r="J74" s="24" t="s">
        <v>332</v>
      </c>
      <c r="K74" s="24" t="s">
        <v>290</v>
      </c>
      <c r="L74" s="5" t="str">
        <f t="shared" si="0"/>
        <v>Mariah: The quest of the avatar is noble indeed!</v>
      </c>
      <c r="M74" s="5"/>
      <c r="N74" s="5"/>
      <c r="O74" s="5"/>
    </row>
    <row r="75" spans="1:15" ht="39.6" x14ac:dyDescent="0.3">
      <c r="A75" s="24" t="s">
        <v>277</v>
      </c>
      <c r="B75" s="25" t="s">
        <v>272</v>
      </c>
      <c r="C75" s="28" t="str">
        <f>VLOOKUP(A75&amp;"|"&amp;B75&amp;"|"&amp;"LOOK",'[1]NPC Dialogue'!$A:$F,6,FALSE)</f>
        <v>A meek shepherd.</v>
      </c>
      <c r="D75" s="7" t="s">
        <v>61</v>
      </c>
      <c r="E75" s="7" t="s">
        <v>154</v>
      </c>
      <c r="F75" s="14">
        <v>-1</v>
      </c>
      <c r="G75" s="4" t="s">
        <v>63</v>
      </c>
      <c r="H75" s="5"/>
      <c r="I75" s="5">
        <f>INT((1/COUNTIF(B:B,B75))*100)</f>
        <v>33</v>
      </c>
      <c r="J75" s="24" t="s">
        <v>330</v>
      </c>
      <c r="K75" s="24" t="s">
        <v>317</v>
      </c>
      <c r="L75" s="5" t="str">
        <f t="shared" si="0"/>
        <v>Patric the Humble Shepherd: Humility is not derived from any of the four principles.</v>
      </c>
      <c r="M75" s="5"/>
      <c r="N75" s="5"/>
      <c r="O75" s="5"/>
    </row>
    <row r="76" spans="1:15" ht="39.6" x14ac:dyDescent="0.3">
      <c r="A76" s="24" t="s">
        <v>277</v>
      </c>
      <c r="B76" s="25" t="s">
        <v>272</v>
      </c>
      <c r="C76" s="28" t="str">
        <f>VLOOKUP(A76&amp;"|"&amp;B76&amp;"|"&amp;"LOOK",'[1]NPC Dialogue'!$A:$F,6,FALSE)</f>
        <v>A meek shepherd.</v>
      </c>
      <c r="D76" s="7" t="s">
        <v>61</v>
      </c>
      <c r="E76" s="7" t="s">
        <v>154</v>
      </c>
      <c r="F76" s="14">
        <v>-1</v>
      </c>
      <c r="G76" s="4" t="s">
        <v>63</v>
      </c>
      <c r="H76" s="5"/>
      <c r="I76" s="5">
        <f>INT((1/COUNTIF(B:B,B76))*100)</f>
        <v>33</v>
      </c>
      <c r="J76" s="24" t="s">
        <v>331</v>
      </c>
      <c r="K76" s="24" t="s">
        <v>318</v>
      </c>
      <c r="L76" s="5" t="str">
        <f t="shared" si="0"/>
        <v>Patric the Humble Shepherd: Humility is to act while remaining humble.</v>
      </c>
      <c r="M76" s="5"/>
      <c r="N76" s="5"/>
      <c r="O76" s="5"/>
    </row>
    <row r="77" spans="1:15" ht="39.6" x14ac:dyDescent="0.3">
      <c r="A77" s="24" t="s">
        <v>277</v>
      </c>
      <c r="B77" s="25" t="s">
        <v>272</v>
      </c>
      <c r="C77" s="28" t="str">
        <f>VLOOKUP(A77&amp;"|"&amp;B77&amp;"|"&amp;"LOOK",'[1]NPC Dialogue'!$A:$F,6,FALSE)</f>
        <v>A meek shepherd.</v>
      </c>
      <c r="D77" s="7" t="s">
        <v>61</v>
      </c>
      <c r="E77" s="7" t="s">
        <v>154</v>
      </c>
      <c r="F77" s="14">
        <v>-1</v>
      </c>
      <c r="G77" s="4" t="s">
        <v>63</v>
      </c>
      <c r="H77" s="5"/>
      <c r="I77" s="5">
        <f>INT((1/COUNTIF(B:B,B77))*100)</f>
        <v>33</v>
      </c>
      <c r="J77" s="24" t="s">
        <v>311</v>
      </c>
      <c r="K77" s="24" t="s">
        <v>291</v>
      </c>
      <c r="L77" s="5" t="str">
        <f t="shared" si="0"/>
        <v>Patric the Humble Shepherd: I am a meek shepherd.</v>
      </c>
      <c r="M77" s="5"/>
      <c r="N77" s="5"/>
      <c r="O77" s="5"/>
    </row>
    <row r="78" spans="1:15" x14ac:dyDescent="0.3">
      <c r="A78" s="24" t="s">
        <v>277</v>
      </c>
      <c r="B78" s="25" t="s">
        <v>273</v>
      </c>
      <c r="C78" s="28" t="str">
        <f>VLOOKUP(A78&amp;"|"&amp;B78&amp;"|"&amp;"LOOK",'[1]NPC Dialogue'!$A:$F,6,FALSE)</f>
        <v>A mystic wizard.</v>
      </c>
      <c r="D78" s="7" t="s">
        <v>61</v>
      </c>
      <c r="E78" s="7" t="s">
        <v>96</v>
      </c>
      <c r="F78" s="14">
        <v>-1</v>
      </c>
      <c r="G78" s="4" t="s">
        <v>63</v>
      </c>
      <c r="H78" s="5"/>
      <c r="I78" s="5">
        <f>INT((1/COUNTIF(B:B,B78))*100)</f>
        <v>33</v>
      </c>
      <c r="J78" s="24" t="s">
        <v>329</v>
      </c>
      <c r="K78" s="24" t="s">
        <v>292</v>
      </c>
      <c r="L78" s="5" t="str">
        <f t="shared" si="0"/>
        <v>Rebelias: Evil still exists in our hearts and souls!</v>
      </c>
      <c r="M78" s="5"/>
      <c r="N78" s="5"/>
      <c r="O78" s="5"/>
    </row>
    <row r="79" spans="1:15" ht="26.4" x14ac:dyDescent="0.3">
      <c r="A79" s="24" t="s">
        <v>277</v>
      </c>
      <c r="B79" s="25" t="s">
        <v>273</v>
      </c>
      <c r="C79" s="28" t="str">
        <f>VLOOKUP(A79&amp;"|"&amp;B79&amp;"|"&amp;"LOOK",'[1]NPC Dialogue'!$A:$F,6,FALSE)</f>
        <v>A mystic wizard.</v>
      </c>
      <c r="D79" s="7" t="s">
        <v>61</v>
      </c>
      <c r="E79" s="7" t="s">
        <v>96</v>
      </c>
      <c r="F79" s="14">
        <v>-1</v>
      </c>
      <c r="G79" s="4" t="s">
        <v>63</v>
      </c>
      <c r="H79" s="5"/>
      <c r="I79" s="5">
        <f>INT((1/COUNTIF(B:B,B79))*100)</f>
        <v>33</v>
      </c>
      <c r="J79" s="24" t="s">
        <v>320</v>
      </c>
      <c r="K79" s="24" t="s">
        <v>328</v>
      </c>
      <c r="L79" s="5" t="str">
        <f t="shared" si="0"/>
        <v>Rebelias: Speak the truth always and shame evil forces!</v>
      </c>
      <c r="M79" s="5"/>
      <c r="N79" s="5"/>
      <c r="O79" s="5"/>
    </row>
    <row r="80" spans="1:15" x14ac:dyDescent="0.3">
      <c r="A80" s="24" t="s">
        <v>277</v>
      </c>
      <c r="B80" s="25" t="s">
        <v>273</v>
      </c>
      <c r="C80" s="28" t="str">
        <f>VLOOKUP(A80&amp;"|"&amp;B80&amp;"|"&amp;"LOOK",'[1]NPC Dialogue'!$A:$F,6,FALSE)</f>
        <v>A mystic wizard.</v>
      </c>
      <c r="D80" s="7" t="s">
        <v>61</v>
      </c>
      <c r="E80" s="7" t="s">
        <v>96</v>
      </c>
      <c r="F80" s="14">
        <v>-1</v>
      </c>
      <c r="G80" s="4" t="s">
        <v>63</v>
      </c>
      <c r="H80" s="5"/>
      <c r="I80" s="5">
        <f>INT((1/COUNTIF(B:B,B80))*100)</f>
        <v>33</v>
      </c>
      <c r="J80" s="24" t="s">
        <v>311</v>
      </c>
      <c r="K80" s="24" t="s">
        <v>293</v>
      </c>
      <c r="L80" s="5" t="str">
        <f t="shared" si="0"/>
        <v>Rebelias: I live an honest life as a mystic wizard.</v>
      </c>
      <c r="M80" s="5"/>
      <c r="N80" s="5"/>
      <c r="O80" s="5"/>
    </row>
    <row r="81" spans="1:15" ht="21.6" x14ac:dyDescent="0.3">
      <c r="A81" s="29" t="s">
        <v>277</v>
      </c>
      <c r="B81" s="29" t="s">
        <v>280</v>
      </c>
      <c r="C81" s="28" t="str">
        <f>VLOOKUP(A81&amp;"|"&amp;B81&amp;"|"&amp;"LOOK",'[1]NPC Dialogue'!$A:$F,6,FALSE)</f>
        <v>I am the Proprietor of Inn</v>
      </c>
      <c r="D81" s="7" t="s">
        <v>61</v>
      </c>
      <c r="E81" s="7" t="s">
        <v>154</v>
      </c>
      <c r="F81" s="14">
        <v>-1</v>
      </c>
      <c r="G81" s="4" t="s">
        <v>63</v>
      </c>
      <c r="H81" s="5"/>
      <c r="I81" s="5">
        <f>INT((1/COUNTIF(B:B,B81))*100)</f>
        <v>100</v>
      </c>
      <c r="J81" s="29" t="s">
        <v>314</v>
      </c>
      <c r="K81" s="29" t="s">
        <v>294</v>
      </c>
      <c r="L81" s="5" t="str">
        <f t="shared" si="0"/>
        <v>Scatu: I am the Proprietor of Inn</v>
      </c>
      <c r="M81" s="5"/>
      <c r="N81" s="5"/>
      <c r="O81" s="5"/>
    </row>
    <row r="82" spans="1:15" x14ac:dyDescent="0.3">
      <c r="A82" s="24" t="s">
        <v>277</v>
      </c>
      <c r="B82" s="25" t="s">
        <v>274</v>
      </c>
      <c r="C82" s="28" t="str">
        <f>VLOOKUP(A82&amp;"|"&amp;B82&amp;"|"&amp;"LOOK",'[1]NPC Dialogue'!$A:$F,6,FALSE)</f>
        <v>A wise wizard.</v>
      </c>
      <c r="D82" s="7" t="s">
        <v>61</v>
      </c>
      <c r="E82" s="7" t="s">
        <v>96</v>
      </c>
      <c r="F82" s="14">
        <v>-1</v>
      </c>
      <c r="G82" s="4" t="s">
        <v>63</v>
      </c>
      <c r="H82" s="5"/>
      <c r="I82" s="5">
        <f>INT((1/COUNTIF(B:B,B82))*100)</f>
        <v>20</v>
      </c>
      <c r="J82" s="24" t="s">
        <v>327</v>
      </c>
      <c r="K82" s="24" t="s">
        <v>295</v>
      </c>
      <c r="L82" s="5" t="str">
        <f t="shared" si="0"/>
        <v>Shakespeare: Corruption wins not more than honesty!</v>
      </c>
      <c r="M82" s="5"/>
      <c r="N82" s="5"/>
      <c r="O82" s="5"/>
    </row>
    <row r="83" spans="1:15" ht="26.4" x14ac:dyDescent="0.3">
      <c r="A83" s="24" t="s">
        <v>277</v>
      </c>
      <c r="B83" s="25" t="s">
        <v>274</v>
      </c>
      <c r="C83" s="28" t="str">
        <f>VLOOKUP(A83&amp;"|"&amp;B83&amp;"|"&amp;"LOOK",'[1]NPC Dialogue'!$A:$F,6,FALSE)</f>
        <v>A wise wizard.</v>
      </c>
      <c r="D83" s="7" t="s">
        <v>61</v>
      </c>
      <c r="E83" s="7" t="s">
        <v>96</v>
      </c>
      <c r="F83" s="14">
        <v>-1</v>
      </c>
      <c r="G83" s="4" t="s">
        <v>63</v>
      </c>
      <c r="H83" s="5"/>
      <c r="I83" s="5">
        <f>INT((1/COUNTIF(B:B,B83))*100)</f>
        <v>20</v>
      </c>
      <c r="J83" s="24" t="s">
        <v>326</v>
      </c>
      <c r="K83" s="24" t="s">
        <v>296</v>
      </c>
      <c r="L83" s="5" t="str">
        <f t="shared" si="0"/>
        <v>Shakespeare: Remember, there is no terror in threats for I am strong in honesty!</v>
      </c>
      <c r="M83" s="5"/>
      <c r="N83" s="5"/>
      <c r="O83" s="5"/>
    </row>
    <row r="84" spans="1:15" x14ac:dyDescent="0.3">
      <c r="A84" s="24" t="s">
        <v>277</v>
      </c>
      <c r="B84" s="25" t="s">
        <v>274</v>
      </c>
      <c r="C84" s="28" t="str">
        <f>VLOOKUP(A84&amp;"|"&amp;B84&amp;"|"&amp;"LOOK",'[1]NPC Dialogue'!$A:$F,6,FALSE)</f>
        <v>A wise wizard.</v>
      </c>
      <c r="D84" s="7" t="s">
        <v>61</v>
      </c>
      <c r="E84" s="7" t="s">
        <v>96</v>
      </c>
      <c r="F84" s="14">
        <v>-1</v>
      </c>
      <c r="G84" s="4" t="s">
        <v>63</v>
      </c>
      <c r="H84" s="5"/>
      <c r="I84" s="5">
        <f>INT((1/COUNTIF(B:B,B84))*100)</f>
        <v>20</v>
      </c>
      <c r="J84" s="24" t="s">
        <v>311</v>
      </c>
      <c r="K84" s="24" t="s">
        <v>297</v>
      </c>
      <c r="L84" s="5" t="str">
        <f t="shared" si="0"/>
        <v>Shakespeare: I create tales of honesty.</v>
      </c>
      <c r="M84" s="5"/>
      <c r="N84" s="5"/>
      <c r="O84" s="5"/>
    </row>
    <row r="85" spans="1:15" x14ac:dyDescent="0.3">
      <c r="A85" s="24" t="s">
        <v>277</v>
      </c>
      <c r="B85" s="25" t="s">
        <v>274</v>
      </c>
      <c r="C85" s="28" t="str">
        <f>VLOOKUP(A85&amp;"|"&amp;B85&amp;"|"&amp;"LOOK",'[1]NPC Dialogue'!$A:$F,6,FALSE)</f>
        <v>A wise wizard.</v>
      </c>
      <c r="D85" s="7" t="s">
        <v>61</v>
      </c>
      <c r="E85" s="7" t="s">
        <v>96</v>
      </c>
      <c r="F85" s="14">
        <v>-1</v>
      </c>
      <c r="G85" s="4" t="s">
        <v>63</v>
      </c>
      <c r="H85" s="5"/>
      <c r="I85" s="5">
        <f>INT((1/COUNTIF(B:B,B85))*100)</f>
        <v>20</v>
      </c>
      <c r="J85" s="29" t="s">
        <v>314</v>
      </c>
      <c r="K85" s="24" t="s">
        <v>298</v>
      </c>
      <c r="L85" s="5" t="str">
        <f t="shared" si="0"/>
        <v>Shakespeare: A wise wizard.</v>
      </c>
      <c r="M85" s="5"/>
      <c r="N85" s="5"/>
      <c r="O85" s="5"/>
    </row>
    <row r="86" spans="1:15" x14ac:dyDescent="0.3">
      <c r="A86" s="24" t="s">
        <v>277</v>
      </c>
      <c r="B86" s="25" t="s">
        <v>274</v>
      </c>
      <c r="C86" s="28" t="str">
        <f>VLOOKUP(A86&amp;"|"&amp;B86&amp;"|"&amp;"LOOK",'[1]NPC Dialogue'!$A:$F,6,FALSE)</f>
        <v>A wise wizard.</v>
      </c>
      <c r="D86" s="7" t="s">
        <v>61</v>
      </c>
      <c r="E86" s="7" t="s">
        <v>96</v>
      </c>
      <c r="F86" s="14">
        <v>-1</v>
      </c>
      <c r="G86" s="4" t="s">
        <v>63</v>
      </c>
      <c r="H86" s="5"/>
      <c r="I86" s="5">
        <f>INT((1/COUNTIF(B:B,B86))*100)</f>
        <v>20</v>
      </c>
      <c r="J86" s="24" t="s">
        <v>313</v>
      </c>
      <c r="K86" s="24" t="s">
        <v>274</v>
      </c>
      <c r="L86" s="5" t="str">
        <f t="shared" si="0"/>
        <v>Shakespeare: Shakespeare</v>
      </c>
      <c r="M86" s="5"/>
      <c r="N86" s="5"/>
      <c r="O86" s="5"/>
    </row>
    <row r="87" spans="1:15" ht="21.6" x14ac:dyDescent="0.3">
      <c r="A87" s="24" t="s">
        <v>277</v>
      </c>
      <c r="B87" s="25" t="s">
        <v>275</v>
      </c>
      <c r="C87" s="28" t="str">
        <f>VLOOKUP(A87&amp;"|"&amp;B87&amp;"|"&amp;"LOOK",'[1]NPC Dialogue'!$A:$F,6,FALSE)</f>
        <v>A dying young wizard.</v>
      </c>
      <c r="D87" s="7" t="s">
        <v>61</v>
      </c>
      <c r="E87" s="7" t="s">
        <v>154</v>
      </c>
      <c r="F87" s="14">
        <v>-1</v>
      </c>
      <c r="G87" s="4" t="s">
        <v>63</v>
      </c>
      <c r="H87" s="5"/>
      <c r="I87" s="5">
        <f>INT((1/COUNTIF(B:B,B87))*100)</f>
        <v>20</v>
      </c>
      <c r="J87" s="24" t="s">
        <v>312</v>
      </c>
      <c r="K87" s="24" t="s">
        <v>299</v>
      </c>
      <c r="L87" s="5" t="str">
        <f t="shared" si="0"/>
        <v>Shazom: I will soon die.</v>
      </c>
      <c r="M87" s="5"/>
      <c r="N87" s="5"/>
      <c r="O87" s="5"/>
    </row>
    <row r="88" spans="1:15" ht="26.4" x14ac:dyDescent="0.3">
      <c r="A88" s="24" t="s">
        <v>277</v>
      </c>
      <c r="B88" s="25" t="s">
        <v>275</v>
      </c>
      <c r="C88" s="28" t="str">
        <f>VLOOKUP(A88&amp;"|"&amp;B88&amp;"|"&amp;"LOOK",'[1]NPC Dialogue'!$A:$F,6,FALSE)</f>
        <v>A dying young wizard.</v>
      </c>
      <c r="D88" s="7" t="s">
        <v>61</v>
      </c>
      <c r="E88" s="7" t="s">
        <v>154</v>
      </c>
      <c r="F88" s="14">
        <v>-1</v>
      </c>
      <c r="G88" s="4" t="s">
        <v>63</v>
      </c>
      <c r="H88" s="5"/>
      <c r="I88" s="5">
        <f>INT((1/COUNTIF(B:B,B88))*100)</f>
        <v>20</v>
      </c>
      <c r="J88" s="24" t="s">
        <v>311</v>
      </c>
      <c r="K88" s="24" t="s">
        <v>300</v>
      </c>
      <c r="L88" s="5" t="str">
        <f t="shared" si="0"/>
        <v>Shazom: I am apprentice to the great wizard Nigel!</v>
      </c>
      <c r="M88" s="5"/>
      <c r="N88" s="5"/>
      <c r="O88" s="5"/>
    </row>
    <row r="89" spans="1:15" ht="21.6" x14ac:dyDescent="0.3">
      <c r="A89" s="24" t="s">
        <v>277</v>
      </c>
      <c r="B89" s="25" t="s">
        <v>275</v>
      </c>
      <c r="C89" s="28" t="str">
        <f>VLOOKUP(A89&amp;"|"&amp;B89&amp;"|"&amp;"LOOK",'[1]NPC Dialogue'!$A:$F,6,FALSE)</f>
        <v>A dying young wizard.</v>
      </c>
      <c r="D89" s="7" t="s">
        <v>61</v>
      </c>
      <c r="E89" s="7" t="s">
        <v>154</v>
      </c>
      <c r="F89" s="14">
        <v>-1</v>
      </c>
      <c r="G89" s="4" t="s">
        <v>63</v>
      </c>
      <c r="H89" s="5"/>
      <c r="I89" s="5">
        <f>INT((1/COUNTIF(B:B,B89))*100)</f>
        <v>20</v>
      </c>
      <c r="J89" s="29" t="s">
        <v>314</v>
      </c>
      <c r="K89" s="24" t="s">
        <v>301</v>
      </c>
      <c r="L89" s="5" t="str">
        <f t="shared" si="0"/>
        <v>Shazom: A dying young wizard.</v>
      </c>
      <c r="M89" s="5"/>
      <c r="N89" s="5"/>
      <c r="O89" s="5"/>
    </row>
    <row r="90" spans="1:15" ht="21.6" x14ac:dyDescent="0.3">
      <c r="A90" s="24" t="s">
        <v>277</v>
      </c>
      <c r="B90" s="25" t="s">
        <v>275</v>
      </c>
      <c r="C90" s="28" t="str">
        <f>VLOOKUP(A90&amp;"|"&amp;B90&amp;"|"&amp;"LOOK",'[1]NPC Dialogue'!$A:$F,6,FALSE)</f>
        <v>A dying young wizard.</v>
      </c>
      <c r="D90" s="7" t="s">
        <v>61</v>
      </c>
      <c r="E90" s="7" t="s">
        <v>154</v>
      </c>
      <c r="F90" s="14">
        <v>-1</v>
      </c>
      <c r="G90" s="4" t="s">
        <v>63</v>
      </c>
      <c r="H90" s="5"/>
      <c r="I90" s="5">
        <f>INT((1/COUNTIF(B:B,B90))*100)</f>
        <v>20</v>
      </c>
      <c r="J90" s="24" t="s">
        <v>313</v>
      </c>
      <c r="K90" s="24" t="s">
        <v>275</v>
      </c>
      <c r="L90" s="5" t="str">
        <f t="shared" si="0"/>
        <v>Shazom: Shazom</v>
      </c>
      <c r="M90" s="5"/>
      <c r="N90" s="5"/>
      <c r="O90" s="5"/>
    </row>
    <row r="91" spans="1:15" ht="26.4" x14ac:dyDescent="0.3">
      <c r="A91" s="24" t="s">
        <v>277</v>
      </c>
      <c r="B91" s="25" t="s">
        <v>275</v>
      </c>
      <c r="C91" s="28" t="str">
        <f>VLOOKUP(A91&amp;"|"&amp;B91&amp;"|"&amp;"LOOK",'[1]NPC Dialogue'!$A:$F,6,FALSE)</f>
        <v>A dying young wizard.</v>
      </c>
      <c r="D91" s="7" t="s">
        <v>61</v>
      </c>
      <c r="E91" s="7" t="s">
        <v>154</v>
      </c>
      <c r="F91" s="14">
        <v>-1</v>
      </c>
      <c r="G91" s="4" t="s">
        <v>63</v>
      </c>
      <c r="H91" s="5"/>
      <c r="I91" s="5">
        <f>INT((1/COUNTIF(B:B,B91))*100)</f>
        <v>20</v>
      </c>
      <c r="J91" s="24" t="s">
        <v>325</v>
      </c>
      <c r="K91" s="24" t="s">
        <v>302</v>
      </c>
      <c r="L91" s="5" t="str">
        <f t="shared" si="0"/>
        <v>Shazom: I will soon need to use the spell he calls ’recall’.</v>
      </c>
      <c r="M91" s="5"/>
      <c r="N91" s="5"/>
      <c r="O91" s="5"/>
    </row>
    <row r="92" spans="1:15" ht="21.6"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0"/>
        <v>William: Pretty good.</v>
      </c>
      <c r="M92" s="5"/>
      <c r="N92" s="5"/>
      <c r="O92" s="5"/>
    </row>
    <row r="93" spans="1:15" ht="21.6"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0"/>
        <v>William: A Nitwit eating a sandwich.</v>
      </c>
      <c r="M93" s="5"/>
      <c r="N93" s="5"/>
      <c r="O93" s="5"/>
    </row>
    <row r="94" spans="1:15" ht="26.4"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0"/>
        <v>William: Search for the rune of honesty near Mariah’s gold chest!</v>
      </c>
      <c r="M94" s="5"/>
      <c r="N94" s="5"/>
      <c r="O94" s="5"/>
    </row>
    <row r="95" spans="1:15" ht="26.4"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0"/>
        <v>William: It’s a peanut butter and grape jelly on lightly toasted bread!</v>
      </c>
      <c r="M95" s="5"/>
      <c r="N95" s="5"/>
      <c r="O95" s="5"/>
    </row>
    <row r="96" spans="1:15" ht="26.4"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0"/>
        <v>Shaman: I am the Proprietor of Sage Deli, here.</v>
      </c>
      <c r="M96" s="5"/>
      <c r="N96" s="5"/>
      <c r="O96" s="5"/>
    </row>
    <row r="97" spans="1:15" ht="26.4"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0"/>
        <v>Harmony: I am the Proprietor of The Healer shoppe.</v>
      </c>
      <c r="M97" s="5"/>
      <c r="N97" s="5"/>
      <c r="O97" s="5"/>
    </row>
    <row r="98" spans="1:15" ht="21.6"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0"/>
        <v>Margot: I am the Propriety of Magical Herbs</v>
      </c>
      <c r="M98" s="5"/>
      <c r="N98" s="5"/>
      <c r="O98" s="5"/>
    </row>
    <row r="99" spans="1:15"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1">B140&amp;": "&amp;K140</f>
        <v>Jumar: I am the Proprietor of Duelling Armour.</v>
      </c>
      <c r="M140" s="5"/>
      <c r="N140" s="5"/>
      <c r="O140" s="5"/>
    </row>
    <row r="141" spans="1:15" x14ac:dyDescent="0.3">
      <c r="A141" s="5" t="s">
        <v>350</v>
      </c>
      <c r="B141" s="31" t="s">
        <v>440</v>
      </c>
      <c r="C141" s="32" t="s">
        <v>91</v>
      </c>
      <c r="D141" s="5" t="s">
        <v>61</v>
      </c>
      <c r="E141" s="5" t="s">
        <v>154</v>
      </c>
      <c r="F141" s="14">
        <v>-1</v>
      </c>
      <c r="G141" s="5" t="s">
        <v>63</v>
      </c>
      <c r="H141" s="5"/>
      <c r="I141" s="5">
        <v>100</v>
      </c>
      <c r="J141" s="5" t="s">
        <v>445</v>
      </c>
      <c r="K141" s="30" t="s">
        <v>449</v>
      </c>
      <c r="L141" s="5" t="str">
        <f t="shared" si="1"/>
        <v>Terran: I am the Proprietor of The Keg Tap.</v>
      </c>
      <c r="M141" s="5"/>
      <c r="N141" s="5"/>
      <c r="O141" s="5"/>
    </row>
    <row r="142" spans="1:15" x14ac:dyDescent="0.3">
      <c r="A142" s="5" t="s">
        <v>350</v>
      </c>
      <c r="B142" s="31" t="s">
        <v>441</v>
      </c>
      <c r="C142" s="32" t="s">
        <v>111</v>
      </c>
      <c r="D142" s="5" t="s">
        <v>61</v>
      </c>
      <c r="E142" s="5" t="s">
        <v>154</v>
      </c>
      <c r="F142" s="14">
        <v>-1</v>
      </c>
      <c r="G142" s="5" t="s">
        <v>63</v>
      </c>
      <c r="H142" s="5"/>
      <c r="I142" s="5">
        <v>100</v>
      </c>
      <c r="J142" s="5" t="s">
        <v>444</v>
      </c>
      <c r="K142" s="30" t="s">
        <v>448</v>
      </c>
      <c r="L142" s="5" t="str">
        <f t="shared" si="1"/>
        <v>Zajac: I am the Proprietor of the Honorable Inn.</v>
      </c>
      <c r="M142" s="5"/>
      <c r="N142" s="5"/>
      <c r="O142" s="5"/>
    </row>
    <row r="143" spans="1:15"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x14ac:dyDescent="0.3">
      <c r="A145" s="5" t="s">
        <v>512</v>
      </c>
      <c r="B145" s="5" t="s">
        <v>513</v>
      </c>
      <c r="C145" s="5" t="s">
        <v>514</v>
      </c>
      <c r="D145" s="5" t="s">
        <v>61</v>
      </c>
      <c r="E145" s="5" t="s">
        <v>154</v>
      </c>
      <c r="F145" s="14">
        <v>-1</v>
      </c>
      <c r="G145" s="5" t="s">
        <v>63</v>
      </c>
      <c r="H145" s="5"/>
      <c r="I145" s="5">
        <v>20</v>
      </c>
      <c r="J145" s="5" t="s">
        <v>666</v>
      </c>
      <c r="K145" s="5" t="s">
        <v>515</v>
      </c>
      <c r="L145" s="5" t="s">
        <v>516</v>
      </c>
      <c r="M145" s="5"/>
      <c r="N145" s="5"/>
      <c r="O145" s="5"/>
    </row>
    <row r="146" spans="1:15" x14ac:dyDescent="0.3">
      <c r="A146" s="5" t="s">
        <v>512</v>
      </c>
      <c r="B146" s="5" t="s">
        <v>513</v>
      </c>
      <c r="C146" s="5" t="s">
        <v>514</v>
      </c>
      <c r="D146" s="5" t="s">
        <v>61</v>
      </c>
      <c r="E146" s="5" t="s">
        <v>154</v>
      </c>
      <c r="F146" s="14">
        <v>-1</v>
      </c>
      <c r="G146" s="5" t="s">
        <v>63</v>
      </c>
      <c r="H146" s="5"/>
      <c r="I146" s="5">
        <v>20</v>
      </c>
      <c r="J146" s="5" t="s">
        <v>667</v>
      </c>
      <c r="K146" s="5" t="s">
        <v>517</v>
      </c>
      <c r="L146" s="5" t="s">
        <v>518</v>
      </c>
      <c r="M146" s="5"/>
      <c r="N146" s="5"/>
      <c r="O146" s="5"/>
    </row>
    <row r="147" spans="1:15" x14ac:dyDescent="0.3">
      <c r="A147" s="5" t="s">
        <v>512</v>
      </c>
      <c r="B147" s="5" t="s">
        <v>513</v>
      </c>
      <c r="C147" s="5" t="s">
        <v>514</v>
      </c>
      <c r="D147" s="5" t="s">
        <v>61</v>
      </c>
      <c r="E147" s="5" t="s">
        <v>154</v>
      </c>
      <c r="F147" s="14">
        <v>-1</v>
      </c>
      <c r="G147" s="5" t="s">
        <v>63</v>
      </c>
      <c r="H147" s="5"/>
      <c r="I147" s="5">
        <v>20</v>
      </c>
      <c r="J147" s="5" t="s">
        <v>362</v>
      </c>
      <c r="K147" s="5" t="s">
        <v>519</v>
      </c>
      <c r="L147" s="5" t="s">
        <v>520</v>
      </c>
      <c r="M147" s="5"/>
      <c r="N147" s="5"/>
      <c r="O147" s="5"/>
    </row>
    <row r="148" spans="1:15" x14ac:dyDescent="0.3">
      <c r="A148" s="5" t="s">
        <v>512</v>
      </c>
      <c r="B148" s="5" t="s">
        <v>513</v>
      </c>
      <c r="C148" s="5" t="s">
        <v>514</v>
      </c>
      <c r="D148" s="5" t="s">
        <v>61</v>
      </c>
      <c r="E148" s="5" t="s">
        <v>154</v>
      </c>
      <c r="F148" s="14">
        <v>-1</v>
      </c>
      <c r="G148" s="5" t="s">
        <v>63</v>
      </c>
      <c r="H148" s="5"/>
      <c r="I148" s="5">
        <v>20</v>
      </c>
      <c r="J148" s="5" t="s">
        <v>521</v>
      </c>
      <c r="K148" s="5" t="s">
        <v>522</v>
      </c>
      <c r="L148" s="5" t="s">
        <v>523</v>
      </c>
      <c r="M148" s="5"/>
      <c r="N148" s="5"/>
      <c r="O148" s="5"/>
    </row>
    <row r="149" spans="1:15" x14ac:dyDescent="0.3">
      <c r="A149" s="5" t="s">
        <v>512</v>
      </c>
      <c r="B149" s="5" t="s">
        <v>513</v>
      </c>
      <c r="C149" s="5" t="s">
        <v>514</v>
      </c>
      <c r="D149" s="5" t="s">
        <v>61</v>
      </c>
      <c r="E149" s="5" t="s">
        <v>154</v>
      </c>
      <c r="F149" s="14">
        <v>-1</v>
      </c>
      <c r="G149" s="5" t="s">
        <v>63</v>
      </c>
      <c r="H149" s="5"/>
      <c r="I149" s="5">
        <v>20</v>
      </c>
      <c r="J149" s="5" t="s">
        <v>524</v>
      </c>
      <c r="K149" s="5" t="s">
        <v>525</v>
      </c>
      <c r="L149" s="5" t="s">
        <v>526</v>
      </c>
      <c r="M149" s="5"/>
      <c r="N149" s="5"/>
      <c r="O149" s="5" t="s">
        <v>377</v>
      </c>
    </row>
    <row r="150" spans="1:15" x14ac:dyDescent="0.3">
      <c r="A150" s="5" t="s">
        <v>512</v>
      </c>
      <c r="B150" s="5" t="s">
        <v>513</v>
      </c>
      <c r="C150" s="5" t="s">
        <v>514</v>
      </c>
      <c r="D150" s="5" t="s">
        <v>61</v>
      </c>
      <c r="E150" s="5" t="s">
        <v>154</v>
      </c>
      <c r="F150" s="14">
        <v>-1</v>
      </c>
      <c r="G150" s="5" t="s">
        <v>72</v>
      </c>
      <c r="H150" s="5" t="s">
        <v>73</v>
      </c>
      <c r="I150" s="5"/>
      <c r="J150" s="5" t="s">
        <v>527</v>
      </c>
      <c r="K150" s="5" t="s">
        <v>528</v>
      </c>
      <c r="L150" s="5" t="s">
        <v>529</v>
      </c>
      <c r="M150" s="5"/>
      <c r="N150" s="5"/>
      <c r="O150" s="5" t="s">
        <v>530</v>
      </c>
    </row>
    <row r="151" spans="1:15" x14ac:dyDescent="0.3">
      <c r="A151" s="5" t="s">
        <v>512</v>
      </c>
      <c r="B151" s="5" t="s">
        <v>513</v>
      </c>
      <c r="C151" s="5" t="s">
        <v>514</v>
      </c>
      <c r="D151" s="5" t="s">
        <v>61</v>
      </c>
      <c r="E151" s="5" t="s">
        <v>154</v>
      </c>
      <c r="F151" s="14">
        <v>-1</v>
      </c>
      <c r="G151" s="5" t="s">
        <v>72</v>
      </c>
      <c r="H151" s="5" t="s">
        <v>77</v>
      </c>
      <c r="I151" s="5"/>
      <c r="J151" s="5" t="s">
        <v>527</v>
      </c>
      <c r="K151" s="5" t="s">
        <v>531</v>
      </c>
      <c r="L151" s="5" t="s">
        <v>532</v>
      </c>
      <c r="M151" s="5"/>
      <c r="N151" s="5"/>
      <c r="O151" s="5" t="s">
        <v>530</v>
      </c>
    </row>
    <row r="152" spans="1:15" s="45" customFormat="1" x14ac:dyDescent="0.3">
      <c r="A152" s="43" t="s">
        <v>512</v>
      </c>
      <c r="B152" s="43" t="s">
        <v>533</v>
      </c>
      <c r="C152" s="43" t="s">
        <v>534</v>
      </c>
      <c r="D152" s="43" t="s">
        <v>61</v>
      </c>
      <c r="E152" s="43" t="s">
        <v>154</v>
      </c>
      <c r="F152" s="44">
        <v>-1</v>
      </c>
      <c r="G152" s="43" t="s">
        <v>63</v>
      </c>
      <c r="H152" s="43"/>
      <c r="I152" s="43">
        <v>20</v>
      </c>
      <c r="J152" s="43" t="s">
        <v>666</v>
      </c>
      <c r="K152" s="43" t="s">
        <v>535</v>
      </c>
      <c r="L152" s="43" t="s">
        <v>536</v>
      </c>
      <c r="M152" s="43"/>
      <c r="N152" s="43"/>
      <c r="O152" s="43"/>
    </row>
    <row r="153" spans="1:15" s="45" customFormat="1" x14ac:dyDescent="0.3">
      <c r="A153" s="43" t="s">
        <v>512</v>
      </c>
      <c r="B153" s="43" t="s">
        <v>533</v>
      </c>
      <c r="C153" s="43" t="s">
        <v>534</v>
      </c>
      <c r="D153" s="43" t="s">
        <v>61</v>
      </c>
      <c r="E153" s="43" t="s">
        <v>154</v>
      </c>
      <c r="F153" s="44">
        <v>-1</v>
      </c>
      <c r="G153" s="43" t="s">
        <v>63</v>
      </c>
      <c r="H153" s="43"/>
      <c r="I153" s="43">
        <v>20</v>
      </c>
      <c r="J153" s="43" t="s">
        <v>668</v>
      </c>
      <c r="K153" s="43" t="s">
        <v>537</v>
      </c>
      <c r="L153" s="43" t="s">
        <v>538</v>
      </c>
      <c r="M153" s="43"/>
      <c r="N153" s="43"/>
      <c r="O153" s="43"/>
    </row>
    <row r="154" spans="1:15" s="45" customFormat="1" x14ac:dyDescent="0.3">
      <c r="A154" s="43" t="s">
        <v>512</v>
      </c>
      <c r="B154" s="43" t="s">
        <v>533</v>
      </c>
      <c r="C154" s="43" t="s">
        <v>534</v>
      </c>
      <c r="D154" s="43" t="s">
        <v>61</v>
      </c>
      <c r="E154" s="43" t="s">
        <v>154</v>
      </c>
      <c r="F154" s="44">
        <v>-1</v>
      </c>
      <c r="G154" s="43" t="s">
        <v>63</v>
      </c>
      <c r="H154" s="43"/>
      <c r="I154" s="43">
        <v>20</v>
      </c>
      <c r="J154" s="43" t="s">
        <v>362</v>
      </c>
      <c r="K154" s="43" t="s">
        <v>539</v>
      </c>
      <c r="L154" s="43" t="s">
        <v>540</v>
      </c>
      <c r="M154" s="43"/>
      <c r="N154" s="43"/>
      <c r="O154" s="43"/>
    </row>
    <row r="155" spans="1:15" s="45" customFormat="1" x14ac:dyDescent="0.3">
      <c r="A155" s="43" t="s">
        <v>512</v>
      </c>
      <c r="B155" s="43" t="s">
        <v>533</v>
      </c>
      <c r="C155" s="43" t="s">
        <v>534</v>
      </c>
      <c r="D155" s="43" t="s">
        <v>61</v>
      </c>
      <c r="E155" s="43" t="s">
        <v>154</v>
      </c>
      <c r="F155" s="44">
        <v>-1</v>
      </c>
      <c r="G155" s="43" t="s">
        <v>63</v>
      </c>
      <c r="H155" s="43"/>
      <c r="I155" s="43">
        <v>20</v>
      </c>
      <c r="J155" s="43" t="s">
        <v>669</v>
      </c>
      <c r="K155" s="43" t="s">
        <v>541</v>
      </c>
      <c r="L155" s="43" t="s">
        <v>542</v>
      </c>
      <c r="M155" s="43"/>
      <c r="N155" s="43"/>
      <c r="O155" s="43"/>
    </row>
    <row r="156" spans="1:15" s="45" customFormat="1" x14ac:dyDescent="0.3">
      <c r="A156" s="43" t="s">
        <v>512</v>
      </c>
      <c r="B156" s="43" t="s">
        <v>533</v>
      </c>
      <c r="C156" s="43" t="s">
        <v>534</v>
      </c>
      <c r="D156" s="43" t="s">
        <v>61</v>
      </c>
      <c r="E156" s="43" t="s">
        <v>154</v>
      </c>
      <c r="F156" s="44">
        <v>-1</v>
      </c>
      <c r="G156" s="43" t="s">
        <v>63</v>
      </c>
      <c r="H156" s="43"/>
      <c r="I156" s="43">
        <v>20</v>
      </c>
      <c r="J156" s="43" t="s">
        <v>980</v>
      </c>
      <c r="K156" s="46" t="s">
        <v>981</v>
      </c>
      <c r="L156" s="46" t="str">
        <f>B156&amp;": "&amp;K156</f>
        <v>Estro: It must be here somewhere!  …2.1….2.1…</v>
      </c>
      <c r="M156" s="43"/>
      <c r="N156" s="43"/>
      <c r="O156" s="43" t="s">
        <v>377</v>
      </c>
    </row>
    <row r="157" spans="1:15" s="45" customFormat="1" x14ac:dyDescent="0.3">
      <c r="A157" s="43" t="s">
        <v>512</v>
      </c>
      <c r="B157" s="43" t="s">
        <v>533</v>
      </c>
      <c r="C157" s="43" t="s">
        <v>534</v>
      </c>
      <c r="D157" s="43" t="s">
        <v>61</v>
      </c>
      <c r="E157" s="43" t="s">
        <v>154</v>
      </c>
      <c r="F157" s="44">
        <v>-1</v>
      </c>
      <c r="G157" s="43" t="s">
        <v>72</v>
      </c>
      <c r="H157" s="43" t="s">
        <v>73</v>
      </c>
      <c r="I157" s="43"/>
      <c r="J157" s="43" t="s">
        <v>543</v>
      </c>
      <c r="K157" s="43" t="s">
        <v>544</v>
      </c>
      <c r="L157" s="43" t="s">
        <v>545</v>
      </c>
      <c r="M157" s="43"/>
      <c r="N157" s="43"/>
      <c r="O157" s="43" t="s">
        <v>546</v>
      </c>
    </row>
    <row r="158" spans="1:15" s="45" customFormat="1" x14ac:dyDescent="0.3">
      <c r="A158" s="43" t="s">
        <v>512</v>
      </c>
      <c r="B158" s="43" t="s">
        <v>533</v>
      </c>
      <c r="C158" s="43" t="s">
        <v>534</v>
      </c>
      <c r="D158" s="43" t="s">
        <v>61</v>
      </c>
      <c r="E158" s="43" t="s">
        <v>154</v>
      </c>
      <c r="F158" s="44">
        <v>-1</v>
      </c>
      <c r="G158" s="43" t="s">
        <v>72</v>
      </c>
      <c r="H158" s="43" t="s">
        <v>77</v>
      </c>
      <c r="I158" s="43"/>
      <c r="J158" s="43" t="s">
        <v>543</v>
      </c>
      <c r="K158" s="43" t="s">
        <v>547</v>
      </c>
      <c r="L158" s="43" t="s">
        <v>548</v>
      </c>
      <c r="M158" s="43"/>
      <c r="N158" s="43"/>
      <c r="O158" s="43" t="s">
        <v>546</v>
      </c>
    </row>
    <row r="159" spans="1:15" x14ac:dyDescent="0.3">
      <c r="A159" s="5" t="s">
        <v>512</v>
      </c>
      <c r="B159" s="5" t="s">
        <v>549</v>
      </c>
      <c r="C159" s="5" t="s">
        <v>550</v>
      </c>
      <c r="D159" s="5" t="s">
        <v>61</v>
      </c>
      <c r="E159" s="5" t="s">
        <v>154</v>
      </c>
      <c r="F159" s="14">
        <v>-1</v>
      </c>
      <c r="G159" s="5" t="s">
        <v>63</v>
      </c>
      <c r="H159" s="5"/>
      <c r="I159" s="5">
        <v>20</v>
      </c>
      <c r="J159" s="5" t="s">
        <v>666</v>
      </c>
      <c r="K159" s="5" t="s">
        <v>551</v>
      </c>
      <c r="L159" s="5" t="s">
        <v>552</v>
      </c>
      <c r="M159" s="5"/>
      <c r="N159" s="5"/>
      <c r="O159" s="5"/>
    </row>
    <row r="160" spans="1:15" x14ac:dyDescent="0.3">
      <c r="A160" s="5" t="s">
        <v>512</v>
      </c>
      <c r="B160" s="5" t="s">
        <v>549</v>
      </c>
      <c r="C160" s="5" t="s">
        <v>550</v>
      </c>
      <c r="D160" s="5" t="s">
        <v>61</v>
      </c>
      <c r="E160" s="5" t="s">
        <v>154</v>
      </c>
      <c r="F160" s="14">
        <v>-1</v>
      </c>
      <c r="G160" s="5" t="s">
        <v>63</v>
      </c>
      <c r="H160" s="5"/>
      <c r="I160" s="5">
        <v>20</v>
      </c>
      <c r="J160" s="5" t="s">
        <v>670</v>
      </c>
      <c r="K160" s="5" t="s">
        <v>553</v>
      </c>
      <c r="L160" s="5" t="s">
        <v>554</v>
      </c>
      <c r="M160" s="5"/>
      <c r="N160" s="5"/>
      <c r="O160" s="5"/>
    </row>
    <row r="161" spans="1:15" x14ac:dyDescent="0.3">
      <c r="A161" s="5" t="s">
        <v>512</v>
      </c>
      <c r="B161" s="5" t="s">
        <v>549</v>
      </c>
      <c r="C161" s="5" t="s">
        <v>550</v>
      </c>
      <c r="D161" s="5" t="s">
        <v>61</v>
      </c>
      <c r="E161" s="5" t="s">
        <v>154</v>
      </c>
      <c r="F161" s="14">
        <v>-1</v>
      </c>
      <c r="G161" s="5" t="s">
        <v>63</v>
      </c>
      <c r="H161" s="5"/>
      <c r="I161" s="5">
        <v>20</v>
      </c>
      <c r="J161" s="5" t="s">
        <v>671</v>
      </c>
      <c r="K161" s="5" t="s">
        <v>555</v>
      </c>
      <c r="L161" s="5" t="s">
        <v>556</v>
      </c>
      <c r="M161" s="5"/>
      <c r="N161" s="5"/>
      <c r="O161" s="5"/>
    </row>
    <row r="162" spans="1:15" x14ac:dyDescent="0.3">
      <c r="A162" s="5" t="s">
        <v>512</v>
      </c>
      <c r="B162" s="5" t="s">
        <v>549</v>
      </c>
      <c r="C162" s="5" t="s">
        <v>550</v>
      </c>
      <c r="D162" s="5" t="s">
        <v>61</v>
      </c>
      <c r="E162" s="5" t="s">
        <v>154</v>
      </c>
      <c r="F162" s="14">
        <v>-1</v>
      </c>
      <c r="G162" s="5" t="s">
        <v>63</v>
      </c>
      <c r="H162" s="5"/>
      <c r="I162" s="5">
        <v>20</v>
      </c>
      <c r="J162" s="5" t="s">
        <v>362</v>
      </c>
      <c r="K162" s="5" t="s">
        <v>557</v>
      </c>
      <c r="L162" s="5" t="s">
        <v>558</v>
      </c>
      <c r="M162" s="5"/>
      <c r="N162" s="5"/>
      <c r="O162" s="5"/>
    </row>
    <row r="163" spans="1:15" x14ac:dyDescent="0.3">
      <c r="A163" s="5" t="s">
        <v>512</v>
      </c>
      <c r="B163" s="5" t="s">
        <v>549</v>
      </c>
      <c r="C163" s="5" t="s">
        <v>550</v>
      </c>
      <c r="D163" s="5" t="s">
        <v>61</v>
      </c>
      <c r="E163" s="5" t="s">
        <v>154</v>
      </c>
      <c r="F163" s="14">
        <v>-1</v>
      </c>
      <c r="G163" s="5" t="s">
        <v>63</v>
      </c>
      <c r="H163" s="5"/>
      <c r="I163" s="5">
        <v>20</v>
      </c>
      <c r="J163" s="5" t="s">
        <v>559</v>
      </c>
      <c r="K163" s="5" t="s">
        <v>560</v>
      </c>
      <c r="L163" s="5" t="s">
        <v>561</v>
      </c>
      <c r="M163" s="5"/>
      <c r="N163" s="5"/>
      <c r="O163" s="5" t="s">
        <v>377</v>
      </c>
    </row>
    <row r="164" spans="1:15" x14ac:dyDescent="0.3">
      <c r="A164" s="5" t="s">
        <v>512</v>
      </c>
      <c r="B164" s="5" t="s">
        <v>549</v>
      </c>
      <c r="C164" s="5" t="s">
        <v>550</v>
      </c>
      <c r="D164" s="5" t="s">
        <v>61</v>
      </c>
      <c r="E164" s="5" t="s">
        <v>154</v>
      </c>
      <c r="F164" s="14">
        <v>-1</v>
      </c>
      <c r="G164" s="5" t="s">
        <v>72</v>
      </c>
      <c r="H164" s="5" t="s">
        <v>73</v>
      </c>
      <c r="I164" s="5"/>
      <c r="J164" s="5" t="s">
        <v>562</v>
      </c>
      <c r="K164" s="5" t="s">
        <v>563</v>
      </c>
      <c r="L164" s="5" t="s">
        <v>564</v>
      </c>
      <c r="M164" s="5"/>
      <c r="N164" s="5"/>
      <c r="O164" s="5" t="s">
        <v>565</v>
      </c>
    </row>
    <row r="165" spans="1:15" x14ac:dyDescent="0.3">
      <c r="A165" s="5" t="s">
        <v>512</v>
      </c>
      <c r="B165" s="5" t="s">
        <v>549</v>
      </c>
      <c r="C165" s="5" t="s">
        <v>550</v>
      </c>
      <c r="D165" s="5" t="s">
        <v>61</v>
      </c>
      <c r="E165" s="5" t="s">
        <v>154</v>
      </c>
      <c r="F165" s="14">
        <v>-1</v>
      </c>
      <c r="G165" s="5" t="s">
        <v>72</v>
      </c>
      <c r="H165" s="5" t="s">
        <v>77</v>
      </c>
      <c r="I165" s="5"/>
      <c r="J165" s="5" t="s">
        <v>562</v>
      </c>
      <c r="K165" s="5" t="s">
        <v>566</v>
      </c>
      <c r="L165" s="5" t="s">
        <v>567</v>
      </c>
      <c r="M165" s="5"/>
      <c r="N165" s="5"/>
      <c r="O165" s="5" t="s">
        <v>565</v>
      </c>
    </row>
    <row r="166" spans="1:15" s="45" customFormat="1" x14ac:dyDescent="0.3">
      <c r="A166" s="43" t="s">
        <v>512</v>
      </c>
      <c r="B166" s="43" t="s">
        <v>568</v>
      </c>
      <c r="C166" s="43" t="s">
        <v>60</v>
      </c>
      <c r="D166" s="43" t="s">
        <v>61</v>
      </c>
      <c r="E166" s="43" t="s">
        <v>154</v>
      </c>
      <c r="F166" s="44">
        <v>-1</v>
      </c>
      <c r="G166" s="43" t="s">
        <v>63</v>
      </c>
      <c r="H166" s="43"/>
      <c r="I166" s="43">
        <v>20</v>
      </c>
      <c r="J166" s="46" t="s">
        <v>769</v>
      </c>
      <c r="K166" s="46" t="s">
        <v>767</v>
      </c>
      <c r="L166" s="46" t="str">
        <f>B166&amp;": "&amp;K166</f>
        <v>Lord Terence: We have a card catalogue, y'know.,,!</v>
      </c>
      <c r="M166" s="43"/>
      <c r="N166" s="43"/>
      <c r="O166" s="43"/>
    </row>
    <row r="167" spans="1:15" s="45" customFormat="1" x14ac:dyDescent="0.3">
      <c r="A167" s="43" t="s">
        <v>512</v>
      </c>
      <c r="B167" s="43" t="s">
        <v>568</v>
      </c>
      <c r="C167" s="43" t="s">
        <v>60</v>
      </c>
      <c r="D167" s="43" t="s">
        <v>61</v>
      </c>
      <c r="E167" s="43" t="s">
        <v>154</v>
      </c>
      <c r="F167" s="44">
        <v>-1</v>
      </c>
      <c r="G167" s="43" t="s">
        <v>63</v>
      </c>
      <c r="H167" s="43"/>
      <c r="I167" s="43">
        <v>20</v>
      </c>
      <c r="J167" s="43" t="s">
        <v>665</v>
      </c>
      <c r="K167" s="43" t="s">
        <v>570</v>
      </c>
      <c r="L167" s="43" t="s">
        <v>571</v>
      </c>
      <c r="M167" s="43"/>
      <c r="N167" s="43"/>
      <c r="O167" s="43"/>
    </row>
    <row r="168" spans="1:15" s="45" customFormat="1" x14ac:dyDescent="0.3">
      <c r="A168" s="43" t="s">
        <v>512</v>
      </c>
      <c r="B168" s="43" t="s">
        <v>568</v>
      </c>
      <c r="C168" s="43" t="s">
        <v>60</v>
      </c>
      <c r="D168" s="43" t="s">
        <v>61</v>
      </c>
      <c r="E168" s="43" t="s">
        <v>154</v>
      </c>
      <c r="F168" s="44">
        <v>-1</v>
      </c>
      <c r="G168" s="43" t="s">
        <v>63</v>
      </c>
      <c r="H168" s="43"/>
      <c r="I168" s="43">
        <v>20</v>
      </c>
      <c r="J168" s="43" t="s">
        <v>572</v>
      </c>
      <c r="K168" s="43" t="s">
        <v>573</v>
      </c>
      <c r="L168" s="43" t="s">
        <v>574</v>
      </c>
      <c r="M168" s="43"/>
      <c r="N168" s="43"/>
      <c r="O168" s="43"/>
    </row>
    <row r="169" spans="1:15" s="45" customFormat="1" x14ac:dyDescent="0.3">
      <c r="A169" s="43" t="s">
        <v>512</v>
      </c>
      <c r="B169" s="43" t="s">
        <v>568</v>
      </c>
      <c r="C169" s="43" t="s">
        <v>60</v>
      </c>
      <c r="D169" s="43" t="s">
        <v>61</v>
      </c>
      <c r="E169" s="43" t="s">
        <v>154</v>
      </c>
      <c r="F169" s="44">
        <v>-1</v>
      </c>
      <c r="G169" s="43" t="s">
        <v>63</v>
      </c>
      <c r="H169" s="43"/>
      <c r="I169" s="43">
        <v>20</v>
      </c>
      <c r="J169" s="43" t="s">
        <v>362</v>
      </c>
      <c r="K169" s="43" t="s">
        <v>575</v>
      </c>
      <c r="L169" s="43" t="s">
        <v>576</v>
      </c>
      <c r="M169" s="43"/>
      <c r="N169" s="43"/>
      <c r="O169" s="43"/>
    </row>
    <row r="170" spans="1:15" s="45" customFormat="1" x14ac:dyDescent="0.3">
      <c r="A170" s="43" t="s">
        <v>512</v>
      </c>
      <c r="B170" s="43" t="s">
        <v>568</v>
      </c>
      <c r="C170" s="43" t="s">
        <v>60</v>
      </c>
      <c r="D170" s="43" t="s">
        <v>61</v>
      </c>
      <c r="E170" s="43" t="s">
        <v>154</v>
      </c>
      <c r="F170" s="44">
        <v>-1</v>
      </c>
      <c r="G170" s="43" t="s">
        <v>63</v>
      </c>
      <c r="H170" s="43"/>
      <c r="I170" s="43">
        <v>20</v>
      </c>
      <c r="J170" s="46" t="s">
        <v>768</v>
      </c>
      <c r="K170" s="46" t="s">
        <v>766</v>
      </c>
      <c r="L170" s="46" t="str">
        <f>B170&amp;": "&amp;K170</f>
        <v>Lord Terence: The book you seek is in ...(4,8)-something…</v>
      </c>
      <c r="M170" s="43"/>
      <c r="N170" s="43"/>
      <c r="O170" s="43" t="s">
        <v>377</v>
      </c>
    </row>
    <row r="171" spans="1:15" s="45" customFormat="1" x14ac:dyDescent="0.3">
      <c r="A171" s="43" t="s">
        <v>512</v>
      </c>
      <c r="B171" s="43" t="s">
        <v>568</v>
      </c>
      <c r="C171" s="43" t="s">
        <v>60</v>
      </c>
      <c r="D171" s="43" t="s">
        <v>61</v>
      </c>
      <c r="E171" s="43" t="s">
        <v>154</v>
      </c>
      <c r="F171" s="44">
        <v>-1</v>
      </c>
      <c r="G171" s="43" t="s">
        <v>72</v>
      </c>
      <c r="H171" s="43" t="s">
        <v>73</v>
      </c>
      <c r="I171" s="43"/>
      <c r="J171" s="43" t="s">
        <v>577</v>
      </c>
      <c r="K171" s="43" t="s">
        <v>578</v>
      </c>
      <c r="L171" s="43" t="s">
        <v>579</v>
      </c>
      <c r="M171" s="43"/>
      <c r="N171" s="43"/>
      <c r="O171" s="43" t="s">
        <v>580</v>
      </c>
    </row>
    <row r="172" spans="1:15" s="45" customFormat="1" x14ac:dyDescent="0.3">
      <c r="A172" s="43" t="s">
        <v>512</v>
      </c>
      <c r="B172" s="43" t="s">
        <v>568</v>
      </c>
      <c r="C172" s="43" t="s">
        <v>60</v>
      </c>
      <c r="D172" s="43" t="s">
        <v>61</v>
      </c>
      <c r="E172" s="43" t="s">
        <v>154</v>
      </c>
      <c r="F172" s="44">
        <v>-1</v>
      </c>
      <c r="G172" s="43" t="s">
        <v>72</v>
      </c>
      <c r="H172" s="43" t="s">
        <v>77</v>
      </c>
      <c r="I172" s="43"/>
      <c r="J172" s="43" t="s">
        <v>577</v>
      </c>
      <c r="K172" s="43" t="s">
        <v>581</v>
      </c>
      <c r="L172" s="43" t="s">
        <v>582</v>
      </c>
      <c r="M172" s="43"/>
      <c r="N172" s="43"/>
      <c r="O172" s="43" t="s">
        <v>580</v>
      </c>
    </row>
    <row r="173" spans="1:15" s="45" customFormat="1" x14ac:dyDescent="0.3">
      <c r="A173" s="43" t="s">
        <v>512</v>
      </c>
      <c r="B173" s="43" t="s">
        <v>583</v>
      </c>
      <c r="C173" s="43" t="s">
        <v>393</v>
      </c>
      <c r="D173" s="43" t="s">
        <v>61</v>
      </c>
      <c r="E173" s="43" t="s">
        <v>154</v>
      </c>
      <c r="F173" s="44">
        <v>-1</v>
      </c>
      <c r="G173" s="43" t="s">
        <v>63</v>
      </c>
      <c r="H173" s="43"/>
      <c r="I173" s="43">
        <v>20</v>
      </c>
      <c r="J173" s="43" t="s">
        <v>666</v>
      </c>
      <c r="K173" s="43" t="s">
        <v>584</v>
      </c>
      <c r="L173" s="43" t="s">
        <v>585</v>
      </c>
      <c r="M173" s="43"/>
      <c r="N173" s="43"/>
      <c r="O173" s="43"/>
    </row>
    <row r="174" spans="1:15" s="45" customFormat="1" x14ac:dyDescent="0.3">
      <c r="A174" s="43" t="s">
        <v>512</v>
      </c>
      <c r="B174" s="43" t="s">
        <v>583</v>
      </c>
      <c r="C174" s="43" t="s">
        <v>393</v>
      </c>
      <c r="D174" s="43" t="s">
        <v>61</v>
      </c>
      <c r="E174" s="43" t="s">
        <v>154</v>
      </c>
      <c r="F174" s="44">
        <v>-1</v>
      </c>
      <c r="G174" s="43" t="s">
        <v>63</v>
      </c>
      <c r="H174" s="43"/>
      <c r="I174" s="43">
        <v>20</v>
      </c>
      <c r="J174" s="43" t="s">
        <v>672</v>
      </c>
      <c r="K174" s="43" t="s">
        <v>586</v>
      </c>
      <c r="L174" s="43" t="s">
        <v>587</v>
      </c>
      <c r="M174" s="43"/>
      <c r="N174" s="43"/>
      <c r="O174" s="43"/>
    </row>
    <row r="175" spans="1:15" s="45" customFormat="1" x14ac:dyDescent="0.3">
      <c r="A175" s="43" t="s">
        <v>512</v>
      </c>
      <c r="B175" s="43" t="s">
        <v>583</v>
      </c>
      <c r="C175" s="43" t="s">
        <v>393</v>
      </c>
      <c r="D175" s="43" t="s">
        <v>61</v>
      </c>
      <c r="E175" s="43" t="s">
        <v>154</v>
      </c>
      <c r="F175" s="44">
        <v>-1</v>
      </c>
      <c r="G175" s="43" t="s">
        <v>63</v>
      </c>
      <c r="H175" s="43"/>
      <c r="I175" s="43">
        <v>20</v>
      </c>
      <c r="J175" s="43" t="s">
        <v>362</v>
      </c>
      <c r="K175" s="43" t="s">
        <v>588</v>
      </c>
      <c r="L175" s="43" t="s">
        <v>589</v>
      </c>
      <c r="M175" s="43"/>
      <c r="N175" s="43"/>
      <c r="O175" s="43"/>
    </row>
    <row r="176" spans="1:15" s="45" customFormat="1" x14ac:dyDescent="0.3">
      <c r="A176" s="43" t="s">
        <v>512</v>
      </c>
      <c r="B176" s="43" t="s">
        <v>583</v>
      </c>
      <c r="C176" s="43" t="s">
        <v>393</v>
      </c>
      <c r="D176" s="43" t="s">
        <v>61</v>
      </c>
      <c r="E176" s="43" t="s">
        <v>154</v>
      </c>
      <c r="F176" s="44">
        <v>-1</v>
      </c>
      <c r="G176" s="43" t="s">
        <v>63</v>
      </c>
      <c r="H176" s="43"/>
      <c r="I176" s="43">
        <v>20</v>
      </c>
      <c r="J176" s="43" t="s">
        <v>673</v>
      </c>
      <c r="K176" s="43" t="s">
        <v>590</v>
      </c>
      <c r="L176" s="43" t="s">
        <v>591</v>
      </c>
      <c r="M176" s="43"/>
      <c r="N176" s="43"/>
      <c r="O176" s="43"/>
    </row>
    <row r="177" spans="1:15" s="45" customFormat="1" x14ac:dyDescent="0.3">
      <c r="A177" s="43" t="s">
        <v>512</v>
      </c>
      <c r="B177" s="43" t="s">
        <v>583</v>
      </c>
      <c r="C177" s="43" t="s">
        <v>393</v>
      </c>
      <c r="D177" s="43" t="s">
        <v>61</v>
      </c>
      <c r="E177" s="43" t="s">
        <v>154</v>
      </c>
      <c r="F177" s="44">
        <v>-1</v>
      </c>
      <c r="G177" s="43" t="s">
        <v>63</v>
      </c>
      <c r="H177" s="43"/>
      <c r="I177" s="43">
        <v>20</v>
      </c>
      <c r="J177" s="43" t="s">
        <v>592</v>
      </c>
      <c r="K177" s="43" t="s">
        <v>593</v>
      </c>
      <c r="L177" s="43" t="s">
        <v>594</v>
      </c>
      <c r="M177" s="43"/>
      <c r="N177" s="43"/>
      <c r="O177" s="43" t="s">
        <v>377</v>
      </c>
    </row>
    <row r="178" spans="1:15" s="45" customFormat="1" x14ac:dyDescent="0.3">
      <c r="A178" s="43" t="s">
        <v>512</v>
      </c>
      <c r="B178" s="43" t="s">
        <v>583</v>
      </c>
      <c r="C178" s="43" t="s">
        <v>393</v>
      </c>
      <c r="D178" s="43" t="s">
        <v>61</v>
      </c>
      <c r="E178" s="43" t="s">
        <v>154</v>
      </c>
      <c r="F178" s="44">
        <v>-1</v>
      </c>
      <c r="G178" s="43" t="s">
        <v>72</v>
      </c>
      <c r="H178" s="43" t="s">
        <v>73</v>
      </c>
      <c r="I178" s="43"/>
      <c r="J178" s="43" t="s">
        <v>595</v>
      </c>
      <c r="K178" s="46" t="s">
        <v>684</v>
      </c>
      <c r="L178" s="46" t="str">
        <f>B178&amp;": "&amp;K178</f>
        <v>Nigel: That's right. It's RECALL.</v>
      </c>
      <c r="M178" s="43"/>
      <c r="N178" s="43"/>
      <c r="O178" s="43" t="s">
        <v>596</v>
      </c>
    </row>
    <row r="179" spans="1:15" s="45" customFormat="1" x14ac:dyDescent="0.3">
      <c r="A179" s="43" t="s">
        <v>512</v>
      </c>
      <c r="B179" s="43" t="s">
        <v>583</v>
      </c>
      <c r="C179" s="43" t="s">
        <v>393</v>
      </c>
      <c r="D179" s="43" t="s">
        <v>61</v>
      </c>
      <c r="E179" s="43" t="s">
        <v>154</v>
      </c>
      <c r="F179" s="44">
        <v>-1</v>
      </c>
      <c r="G179" s="43" t="s">
        <v>72</v>
      </c>
      <c r="H179" s="43" t="s">
        <v>77</v>
      </c>
      <c r="I179" s="43"/>
      <c r="J179" s="43" t="s">
        <v>595</v>
      </c>
      <c r="K179" s="46" t="s">
        <v>683</v>
      </c>
      <c r="L179" s="46" t="str">
        <f>B179&amp;": "&amp;K179</f>
        <v>Nigel: It's RECALL. To resurrect the recently dead.</v>
      </c>
      <c r="M179" s="43"/>
      <c r="N179" s="43"/>
      <c r="O179" s="43" t="s">
        <v>596</v>
      </c>
    </row>
    <row r="180" spans="1:15" x14ac:dyDescent="0.3">
      <c r="A180" s="5" t="s">
        <v>512</v>
      </c>
      <c r="B180" s="5" t="s">
        <v>597</v>
      </c>
      <c r="C180" s="5" t="s">
        <v>514</v>
      </c>
      <c r="D180" s="5" t="s">
        <v>61</v>
      </c>
      <c r="E180" s="5" t="s">
        <v>154</v>
      </c>
      <c r="F180" s="14">
        <v>-1</v>
      </c>
      <c r="G180" s="5" t="s">
        <v>63</v>
      </c>
      <c r="H180" s="5"/>
      <c r="I180" s="5">
        <v>20</v>
      </c>
      <c r="J180" s="5" t="s">
        <v>1372</v>
      </c>
      <c r="K180" s="5" t="s">
        <v>1371</v>
      </c>
      <c r="L180" s="46" t="str">
        <f>B180&amp;": "&amp;K180</f>
        <v>Robert Frasier: We're only temporary custodians of that we keep.</v>
      </c>
      <c r="M180" s="5"/>
      <c r="N180" s="5"/>
      <c r="O180" s="5"/>
    </row>
    <row r="181" spans="1:15" x14ac:dyDescent="0.3">
      <c r="A181" s="5" t="s">
        <v>512</v>
      </c>
      <c r="B181" s="5" t="s">
        <v>597</v>
      </c>
      <c r="C181" s="5" t="s">
        <v>514</v>
      </c>
      <c r="D181" s="5" t="s">
        <v>61</v>
      </c>
      <c r="E181" s="5" t="s">
        <v>154</v>
      </c>
      <c r="F181" s="14">
        <v>-1</v>
      </c>
      <c r="G181" s="5" t="s">
        <v>63</v>
      </c>
      <c r="H181" s="5"/>
      <c r="I181" s="5">
        <v>20</v>
      </c>
      <c r="J181" s="5" t="s">
        <v>667</v>
      </c>
      <c r="K181" s="5" t="s">
        <v>598</v>
      </c>
      <c r="L181" s="5" t="s">
        <v>599</v>
      </c>
      <c r="M181" s="5"/>
      <c r="N181" s="5"/>
      <c r="O181" s="5"/>
    </row>
    <row r="182" spans="1:15" x14ac:dyDescent="0.3">
      <c r="A182" s="5" t="s">
        <v>512</v>
      </c>
      <c r="B182" s="5" t="s">
        <v>597</v>
      </c>
      <c r="C182" s="5" t="s">
        <v>514</v>
      </c>
      <c r="D182" s="5" t="s">
        <v>61</v>
      </c>
      <c r="E182" s="5" t="s">
        <v>154</v>
      </c>
      <c r="F182" s="14">
        <v>-1</v>
      </c>
      <c r="G182" s="5" t="s">
        <v>63</v>
      </c>
      <c r="H182" s="5"/>
      <c r="I182" s="5">
        <v>20</v>
      </c>
      <c r="J182" s="5" t="s">
        <v>362</v>
      </c>
      <c r="K182" s="5" t="s">
        <v>600</v>
      </c>
      <c r="L182" s="5" t="s">
        <v>601</v>
      </c>
      <c r="M182" s="5"/>
      <c r="N182" s="5"/>
      <c r="O182" s="5"/>
    </row>
    <row r="183" spans="1:15" x14ac:dyDescent="0.3">
      <c r="A183" s="5" t="s">
        <v>512</v>
      </c>
      <c r="B183" s="5" t="s">
        <v>597</v>
      </c>
      <c r="C183" s="5" t="s">
        <v>514</v>
      </c>
      <c r="D183" s="5" t="s">
        <v>61</v>
      </c>
      <c r="E183" s="5" t="s">
        <v>154</v>
      </c>
      <c r="F183" s="14">
        <v>-1</v>
      </c>
      <c r="G183" s="5" t="s">
        <v>63</v>
      </c>
      <c r="H183" s="5"/>
      <c r="I183" s="5">
        <v>20</v>
      </c>
      <c r="J183" s="5" t="s">
        <v>521</v>
      </c>
      <c r="K183" s="5" t="s">
        <v>602</v>
      </c>
      <c r="L183" s="5" t="s">
        <v>603</v>
      </c>
      <c r="M183" s="5"/>
      <c r="N183" s="5"/>
      <c r="O183" s="5"/>
    </row>
    <row r="184" spans="1:15" x14ac:dyDescent="0.3">
      <c r="A184" s="5" t="s">
        <v>512</v>
      </c>
      <c r="B184" s="5" t="s">
        <v>597</v>
      </c>
      <c r="C184" s="5" t="s">
        <v>514</v>
      </c>
      <c r="D184" s="5" t="s">
        <v>61</v>
      </c>
      <c r="E184" s="5" t="s">
        <v>154</v>
      </c>
      <c r="F184" s="14">
        <v>-1</v>
      </c>
      <c r="G184" s="5" t="s">
        <v>63</v>
      </c>
      <c r="H184" s="5"/>
      <c r="I184" s="5">
        <v>20</v>
      </c>
      <c r="J184" s="5" t="s">
        <v>604</v>
      </c>
      <c r="K184" s="5" t="s">
        <v>605</v>
      </c>
      <c r="L184" s="5" t="s">
        <v>606</v>
      </c>
      <c r="M184" s="5"/>
      <c r="N184" s="5"/>
      <c r="O184" s="5" t="s">
        <v>377</v>
      </c>
    </row>
    <row r="185" spans="1:15" x14ac:dyDescent="0.3">
      <c r="A185" s="5" t="s">
        <v>512</v>
      </c>
      <c r="B185" s="5" t="s">
        <v>597</v>
      </c>
      <c r="C185" s="5" t="s">
        <v>514</v>
      </c>
      <c r="D185" s="5" t="s">
        <v>61</v>
      </c>
      <c r="E185" s="5" t="s">
        <v>154</v>
      </c>
      <c r="F185" s="14">
        <v>-1</v>
      </c>
      <c r="G185" s="5" t="s">
        <v>72</v>
      </c>
      <c r="H185" s="5" t="s">
        <v>73</v>
      </c>
      <c r="I185" s="5"/>
      <c r="J185" s="5" t="s">
        <v>607</v>
      </c>
      <c r="K185" s="5" t="s">
        <v>608</v>
      </c>
      <c r="L185" s="5" t="s">
        <v>609</v>
      </c>
      <c r="M185" s="5"/>
      <c r="N185" s="5"/>
      <c r="O185" s="5" t="s">
        <v>610</v>
      </c>
    </row>
    <row r="186" spans="1:15" x14ac:dyDescent="0.3">
      <c r="A186" s="5" t="s">
        <v>512</v>
      </c>
      <c r="B186" s="5" t="s">
        <v>597</v>
      </c>
      <c r="C186" s="5" t="s">
        <v>514</v>
      </c>
      <c r="D186" s="5" t="s">
        <v>61</v>
      </c>
      <c r="E186" s="5" t="s">
        <v>154</v>
      </c>
      <c r="F186" s="14">
        <v>-1</v>
      </c>
      <c r="G186" s="5" t="s">
        <v>72</v>
      </c>
      <c r="H186" s="5" t="s">
        <v>77</v>
      </c>
      <c r="I186" s="5"/>
      <c r="J186" s="5" t="s">
        <v>607</v>
      </c>
      <c r="K186" s="5" t="s">
        <v>611</v>
      </c>
      <c r="L186" s="5" t="s">
        <v>612</v>
      </c>
      <c r="M186" s="5"/>
      <c r="N186" s="5"/>
      <c r="O186" s="5" t="s">
        <v>610</v>
      </c>
    </row>
    <row r="187" spans="1:15" s="45" customFormat="1" x14ac:dyDescent="0.3">
      <c r="A187" s="43" t="s">
        <v>512</v>
      </c>
      <c r="B187" s="43" t="s">
        <v>613</v>
      </c>
      <c r="C187" s="43" t="s">
        <v>614</v>
      </c>
      <c r="D187" s="43" t="s">
        <v>61</v>
      </c>
      <c r="E187" s="43" t="s">
        <v>154</v>
      </c>
      <c r="F187" s="44">
        <v>-1</v>
      </c>
      <c r="G187" s="43" t="s">
        <v>63</v>
      </c>
      <c r="H187" s="43"/>
      <c r="I187" s="43">
        <v>20</v>
      </c>
      <c r="J187" s="43" t="s">
        <v>666</v>
      </c>
      <c r="K187" s="43" t="s">
        <v>615</v>
      </c>
      <c r="L187" s="43" t="s">
        <v>616</v>
      </c>
      <c r="M187" s="43"/>
      <c r="N187" s="43"/>
      <c r="O187" s="43"/>
    </row>
    <row r="188" spans="1:15" s="45" customFormat="1" x14ac:dyDescent="0.3">
      <c r="A188" s="43" t="s">
        <v>512</v>
      </c>
      <c r="B188" s="43" t="s">
        <v>613</v>
      </c>
      <c r="C188" s="43" t="s">
        <v>614</v>
      </c>
      <c r="D188" s="43" t="s">
        <v>61</v>
      </c>
      <c r="E188" s="43" t="s">
        <v>154</v>
      </c>
      <c r="F188" s="44">
        <v>-1</v>
      </c>
      <c r="G188" s="43" t="s">
        <v>63</v>
      </c>
      <c r="H188" s="43"/>
      <c r="I188" s="43">
        <v>20</v>
      </c>
      <c r="J188" s="46" t="s">
        <v>751</v>
      </c>
      <c r="K188" s="43" t="s">
        <v>617</v>
      </c>
      <c r="L188" s="43" t="s">
        <v>618</v>
      </c>
      <c r="M188" s="43"/>
      <c r="N188" s="43"/>
      <c r="O188" s="43"/>
    </row>
    <row r="189" spans="1:15" s="45" customFormat="1" x14ac:dyDescent="0.3">
      <c r="A189" s="43" t="s">
        <v>512</v>
      </c>
      <c r="B189" s="43" t="s">
        <v>613</v>
      </c>
      <c r="C189" s="43" t="s">
        <v>614</v>
      </c>
      <c r="D189" s="43" t="s">
        <v>61</v>
      </c>
      <c r="E189" s="43" t="s">
        <v>154</v>
      </c>
      <c r="F189" s="44">
        <v>-1</v>
      </c>
      <c r="G189" s="43" t="s">
        <v>63</v>
      </c>
      <c r="H189" s="43"/>
      <c r="I189" s="43">
        <v>20</v>
      </c>
      <c r="J189" s="43" t="s">
        <v>362</v>
      </c>
      <c r="K189" s="43" t="s">
        <v>619</v>
      </c>
      <c r="L189" s="43" t="s">
        <v>620</v>
      </c>
      <c r="M189" s="43"/>
      <c r="N189" s="43"/>
      <c r="O189" s="43"/>
    </row>
    <row r="190" spans="1:15" s="45" customFormat="1" x14ac:dyDescent="0.3">
      <c r="A190" s="43" t="s">
        <v>512</v>
      </c>
      <c r="B190" s="43" t="s">
        <v>613</v>
      </c>
      <c r="C190" s="43" t="s">
        <v>614</v>
      </c>
      <c r="D190" s="43" t="s">
        <v>61</v>
      </c>
      <c r="E190" s="43" t="s">
        <v>154</v>
      </c>
      <c r="F190" s="44">
        <v>-1</v>
      </c>
      <c r="G190" s="43" t="s">
        <v>63</v>
      </c>
      <c r="H190" s="43"/>
      <c r="I190" s="43">
        <v>20</v>
      </c>
      <c r="J190" s="43" t="s">
        <v>675</v>
      </c>
      <c r="K190" s="43" t="s">
        <v>621</v>
      </c>
      <c r="L190" s="43" t="s">
        <v>622</v>
      </c>
      <c r="M190" s="43"/>
      <c r="N190" s="43"/>
      <c r="O190" s="43"/>
    </row>
    <row r="191" spans="1:15" s="45" customFormat="1" x14ac:dyDescent="0.3">
      <c r="A191" s="43" t="s">
        <v>512</v>
      </c>
      <c r="B191" s="43" t="s">
        <v>613</v>
      </c>
      <c r="C191" s="43" t="s">
        <v>614</v>
      </c>
      <c r="D191" s="43" t="s">
        <v>61</v>
      </c>
      <c r="E191" s="43" t="s">
        <v>154</v>
      </c>
      <c r="F191" s="44">
        <v>-1</v>
      </c>
      <c r="G191" s="43" t="s">
        <v>63</v>
      </c>
      <c r="H191" s="43"/>
      <c r="I191" s="43">
        <v>20</v>
      </c>
      <c r="J191" s="43" t="s">
        <v>676</v>
      </c>
      <c r="K191" s="43" t="s">
        <v>623</v>
      </c>
      <c r="L191" s="43" t="s">
        <v>624</v>
      </c>
      <c r="M191" s="43"/>
      <c r="N191" s="43"/>
      <c r="O191" s="43" t="s">
        <v>677</v>
      </c>
    </row>
    <row r="192" spans="1:15" s="45" customFormat="1" x14ac:dyDescent="0.3">
      <c r="A192" s="43" t="s">
        <v>512</v>
      </c>
      <c r="B192" s="43" t="s">
        <v>613</v>
      </c>
      <c r="C192" s="43" t="s">
        <v>614</v>
      </c>
      <c r="D192" s="43" t="s">
        <v>61</v>
      </c>
      <c r="E192" s="43" t="s">
        <v>154</v>
      </c>
      <c r="F192" s="44">
        <v>-1</v>
      </c>
      <c r="G192" s="43" t="s">
        <v>72</v>
      </c>
      <c r="H192" s="43" t="s">
        <v>73</v>
      </c>
      <c r="I192" s="43"/>
      <c r="J192" s="43" t="s">
        <v>625</v>
      </c>
      <c r="K192" s="43" t="s">
        <v>626</v>
      </c>
      <c r="L192" s="43" t="s">
        <v>627</v>
      </c>
      <c r="M192" s="43"/>
      <c r="N192" s="43"/>
      <c r="O192" s="43" t="s">
        <v>678</v>
      </c>
    </row>
    <row r="193" spans="1:15" s="45" customFormat="1" x14ac:dyDescent="0.3">
      <c r="A193" s="43" t="s">
        <v>512</v>
      </c>
      <c r="B193" s="43" t="s">
        <v>613</v>
      </c>
      <c r="C193" s="43" t="s">
        <v>614</v>
      </c>
      <c r="D193" s="43" t="s">
        <v>61</v>
      </c>
      <c r="E193" s="43" t="s">
        <v>154</v>
      </c>
      <c r="F193" s="44">
        <v>-1</v>
      </c>
      <c r="G193" s="43" t="s">
        <v>72</v>
      </c>
      <c r="H193" s="43" t="s">
        <v>77</v>
      </c>
      <c r="I193" s="43"/>
      <c r="J193" s="43" t="s">
        <v>625</v>
      </c>
      <c r="K193" s="43" t="s">
        <v>626</v>
      </c>
      <c r="L193" s="43" t="s">
        <v>627</v>
      </c>
      <c r="M193" s="43"/>
      <c r="N193" s="43"/>
      <c r="O193" s="43" t="s">
        <v>678</v>
      </c>
    </row>
    <row r="194" spans="1:15" s="45" customFormat="1" x14ac:dyDescent="0.3">
      <c r="A194" s="43" t="s">
        <v>512</v>
      </c>
      <c r="B194" s="43" t="s">
        <v>629</v>
      </c>
      <c r="C194" s="43" t="s">
        <v>630</v>
      </c>
      <c r="D194" s="43" t="s">
        <v>61</v>
      </c>
      <c r="E194" s="43" t="s">
        <v>154</v>
      </c>
      <c r="F194" s="44">
        <v>-1</v>
      </c>
      <c r="G194" s="43" t="s">
        <v>63</v>
      </c>
      <c r="H194" s="43"/>
      <c r="I194" s="43">
        <v>20</v>
      </c>
      <c r="J194" s="46" t="s">
        <v>752</v>
      </c>
      <c r="K194" s="43" t="s">
        <v>631</v>
      </c>
      <c r="L194" s="43" t="s">
        <v>632</v>
      </c>
      <c r="M194" s="43"/>
      <c r="N194" s="43"/>
      <c r="O194" s="43"/>
    </row>
    <row r="195" spans="1:15" s="45" customFormat="1" x14ac:dyDescent="0.3">
      <c r="A195" s="43" t="s">
        <v>512</v>
      </c>
      <c r="B195" s="43" t="s">
        <v>629</v>
      </c>
      <c r="C195" s="43" t="s">
        <v>630</v>
      </c>
      <c r="D195" s="43" t="s">
        <v>61</v>
      </c>
      <c r="E195" s="43" t="s">
        <v>154</v>
      </c>
      <c r="F195" s="44">
        <v>-1</v>
      </c>
      <c r="G195" s="43" t="s">
        <v>63</v>
      </c>
      <c r="H195" s="43"/>
      <c r="I195" s="43">
        <v>20</v>
      </c>
      <c r="J195" s="43" t="s">
        <v>679</v>
      </c>
      <c r="K195" s="43" t="s">
        <v>633</v>
      </c>
      <c r="L195" s="43" t="s">
        <v>634</v>
      </c>
      <c r="M195" s="43"/>
      <c r="N195" s="43"/>
      <c r="O195" s="43"/>
    </row>
    <row r="196" spans="1:15" s="45" customFormat="1" x14ac:dyDescent="0.3">
      <c r="A196" s="43" t="s">
        <v>512</v>
      </c>
      <c r="B196" s="43" t="s">
        <v>629</v>
      </c>
      <c r="C196" s="43" t="s">
        <v>630</v>
      </c>
      <c r="D196" s="43" t="s">
        <v>61</v>
      </c>
      <c r="E196" s="43" t="s">
        <v>154</v>
      </c>
      <c r="F196" s="44">
        <v>-1</v>
      </c>
      <c r="G196" s="43" t="s">
        <v>63</v>
      </c>
      <c r="H196" s="43"/>
      <c r="I196" s="43">
        <v>20</v>
      </c>
      <c r="J196" s="43" t="s">
        <v>362</v>
      </c>
      <c r="K196" s="43" t="s">
        <v>635</v>
      </c>
      <c r="L196" s="43" t="s">
        <v>636</v>
      </c>
      <c r="M196" s="43"/>
      <c r="N196" s="43"/>
      <c r="O196" s="43"/>
    </row>
    <row r="197" spans="1:15" s="45" customFormat="1" x14ac:dyDescent="0.3">
      <c r="A197" s="43" t="s">
        <v>512</v>
      </c>
      <c r="B197" s="43" t="s">
        <v>629</v>
      </c>
      <c r="C197" s="43" t="s">
        <v>630</v>
      </c>
      <c r="D197" s="43" t="s">
        <v>61</v>
      </c>
      <c r="E197" s="43" t="s">
        <v>154</v>
      </c>
      <c r="F197" s="44">
        <v>-1</v>
      </c>
      <c r="G197" s="43" t="s">
        <v>63</v>
      </c>
      <c r="H197" s="43"/>
      <c r="I197" s="43">
        <v>20</v>
      </c>
      <c r="J197" s="43" t="s">
        <v>680</v>
      </c>
      <c r="K197" s="43" t="s">
        <v>637</v>
      </c>
      <c r="L197" s="43" t="s">
        <v>638</v>
      </c>
      <c r="M197" s="43"/>
      <c r="N197" s="43"/>
      <c r="O197" s="43"/>
    </row>
    <row r="198" spans="1:15" s="45" customFormat="1" x14ac:dyDescent="0.3">
      <c r="A198" s="43" t="s">
        <v>512</v>
      </c>
      <c r="B198" s="43" t="s">
        <v>629</v>
      </c>
      <c r="C198" s="43" t="s">
        <v>630</v>
      </c>
      <c r="D198" s="43" t="s">
        <v>61</v>
      </c>
      <c r="E198" s="43" t="s">
        <v>154</v>
      </c>
      <c r="F198" s="44">
        <v>-1</v>
      </c>
      <c r="G198" s="43" t="s">
        <v>63</v>
      </c>
      <c r="H198" s="43"/>
      <c r="I198" s="43">
        <v>20</v>
      </c>
      <c r="J198" s="43" t="s">
        <v>681</v>
      </c>
      <c r="K198" s="43" t="s">
        <v>639</v>
      </c>
      <c r="L198" s="43" t="s">
        <v>640</v>
      </c>
      <c r="M198" s="43"/>
      <c r="N198" s="43"/>
      <c r="O198" s="43" t="s">
        <v>377</v>
      </c>
    </row>
    <row r="199" spans="1:15" s="45" customFormat="1" x14ac:dyDescent="0.3">
      <c r="A199" s="43" t="s">
        <v>512</v>
      </c>
      <c r="B199" s="43" t="s">
        <v>629</v>
      </c>
      <c r="C199" s="43" t="s">
        <v>630</v>
      </c>
      <c r="D199" s="43" t="s">
        <v>61</v>
      </c>
      <c r="E199" s="43" t="s">
        <v>154</v>
      </c>
      <c r="F199" s="44">
        <v>-1</v>
      </c>
      <c r="G199" s="43" t="s">
        <v>72</v>
      </c>
      <c r="H199" s="43" t="s">
        <v>73</v>
      </c>
      <c r="I199" s="43"/>
      <c r="J199" s="43" t="s">
        <v>641</v>
      </c>
      <c r="K199" s="43" t="s">
        <v>642</v>
      </c>
      <c r="L199" s="43" t="s">
        <v>643</v>
      </c>
      <c r="M199" s="43"/>
      <c r="N199" s="43"/>
      <c r="O199" s="43" t="s">
        <v>682</v>
      </c>
    </row>
    <row r="200" spans="1:15" s="45" customFormat="1" x14ac:dyDescent="0.3">
      <c r="A200" s="43" t="s">
        <v>512</v>
      </c>
      <c r="B200" s="43" t="s">
        <v>629</v>
      </c>
      <c r="C200" s="43" t="s">
        <v>630</v>
      </c>
      <c r="D200" s="43" t="s">
        <v>61</v>
      </c>
      <c r="E200" s="43" t="s">
        <v>154</v>
      </c>
      <c r="F200" s="44">
        <v>-1</v>
      </c>
      <c r="G200" s="43" t="s">
        <v>72</v>
      </c>
      <c r="H200" s="43" t="s">
        <v>77</v>
      </c>
      <c r="I200" s="43"/>
      <c r="J200" s="43" t="s">
        <v>641</v>
      </c>
      <c r="K200" s="43" t="s">
        <v>642</v>
      </c>
      <c r="L200" s="43" t="s">
        <v>643</v>
      </c>
      <c r="M200" s="43"/>
      <c r="N200" s="43"/>
      <c r="O200" s="43" t="s">
        <v>682</v>
      </c>
    </row>
    <row r="201" spans="1:15" s="45" customFormat="1" x14ac:dyDescent="0.3">
      <c r="A201" s="43" t="s">
        <v>512</v>
      </c>
      <c r="B201" s="43" t="s">
        <v>644</v>
      </c>
      <c r="C201" s="43" t="s">
        <v>393</v>
      </c>
      <c r="D201" s="43" t="s">
        <v>61</v>
      </c>
      <c r="E201" s="43" t="s">
        <v>154</v>
      </c>
      <c r="F201" s="44">
        <v>-1</v>
      </c>
      <c r="G201" s="43" t="s">
        <v>63</v>
      </c>
      <c r="H201" s="43"/>
      <c r="I201" s="43">
        <v>20</v>
      </c>
      <c r="J201" s="43" t="s">
        <v>666</v>
      </c>
      <c r="K201" s="43" t="s">
        <v>645</v>
      </c>
      <c r="L201" s="43" t="s">
        <v>646</v>
      </c>
      <c r="M201" s="43"/>
      <c r="N201" s="43"/>
      <c r="O201" s="43"/>
    </row>
    <row r="202" spans="1:15" s="45" customFormat="1" x14ac:dyDescent="0.3">
      <c r="A202" s="43" t="s">
        <v>512</v>
      </c>
      <c r="B202" s="43" t="s">
        <v>644</v>
      </c>
      <c r="C202" s="43" t="s">
        <v>393</v>
      </c>
      <c r="D202" s="43" t="s">
        <v>61</v>
      </c>
      <c r="E202" s="43" t="s">
        <v>154</v>
      </c>
      <c r="F202" s="44">
        <v>-1</v>
      </c>
      <c r="G202" s="43" t="s">
        <v>63</v>
      </c>
      <c r="H202" s="43"/>
      <c r="I202" s="43">
        <v>20</v>
      </c>
      <c r="J202" s="43" t="s">
        <v>667</v>
      </c>
      <c r="K202" s="43" t="s">
        <v>647</v>
      </c>
      <c r="L202" s="43" t="s">
        <v>648</v>
      </c>
      <c r="M202" s="43"/>
      <c r="N202" s="43"/>
      <c r="O202" s="43"/>
    </row>
    <row r="203" spans="1:15" s="45" customFormat="1" x14ac:dyDescent="0.3">
      <c r="A203" s="43" t="s">
        <v>512</v>
      </c>
      <c r="B203" s="43" t="s">
        <v>644</v>
      </c>
      <c r="C203" s="43" t="s">
        <v>393</v>
      </c>
      <c r="D203" s="43" t="s">
        <v>61</v>
      </c>
      <c r="E203" s="43" t="s">
        <v>154</v>
      </c>
      <c r="F203" s="44">
        <v>-1</v>
      </c>
      <c r="G203" s="43" t="s">
        <v>63</v>
      </c>
      <c r="H203" s="43"/>
      <c r="I203" s="43">
        <v>20</v>
      </c>
      <c r="J203" s="43" t="s">
        <v>362</v>
      </c>
      <c r="K203" s="43" t="s">
        <v>649</v>
      </c>
      <c r="L203" s="43" t="s">
        <v>650</v>
      </c>
      <c r="M203" s="43"/>
      <c r="N203" s="43"/>
      <c r="O203" s="43"/>
    </row>
    <row r="204" spans="1:15" s="45" customFormat="1" x14ac:dyDescent="0.3">
      <c r="A204" s="43" t="s">
        <v>512</v>
      </c>
      <c r="B204" s="43" t="s">
        <v>644</v>
      </c>
      <c r="C204" s="43" t="s">
        <v>393</v>
      </c>
      <c r="D204" s="43" t="s">
        <v>61</v>
      </c>
      <c r="E204" s="43" t="s">
        <v>154</v>
      </c>
      <c r="F204" s="44">
        <v>-1</v>
      </c>
      <c r="G204" s="43" t="s">
        <v>63</v>
      </c>
      <c r="H204" s="43"/>
      <c r="I204" s="43">
        <v>20</v>
      </c>
      <c r="J204" s="43" t="s">
        <v>365</v>
      </c>
      <c r="K204" s="43" t="s">
        <v>651</v>
      </c>
      <c r="L204" s="43" t="s">
        <v>652</v>
      </c>
      <c r="M204" s="43"/>
      <c r="N204" s="43"/>
      <c r="O204" s="43"/>
    </row>
    <row r="205" spans="1:15" s="45" customFormat="1" x14ac:dyDescent="0.3">
      <c r="A205" s="43" t="s">
        <v>512</v>
      </c>
      <c r="B205" s="43" t="s">
        <v>644</v>
      </c>
      <c r="C205" s="43" t="s">
        <v>393</v>
      </c>
      <c r="D205" s="43" t="s">
        <v>61</v>
      </c>
      <c r="E205" s="43" t="s">
        <v>154</v>
      </c>
      <c r="F205" s="44">
        <v>-1</v>
      </c>
      <c r="G205" s="43" t="s">
        <v>63</v>
      </c>
      <c r="H205" s="43"/>
      <c r="I205" s="43">
        <v>20</v>
      </c>
      <c r="J205" s="43" t="s">
        <v>653</v>
      </c>
      <c r="K205" s="43" t="s">
        <v>654</v>
      </c>
      <c r="L205" s="43" t="s">
        <v>655</v>
      </c>
      <c r="M205" s="43"/>
      <c r="N205" s="43"/>
      <c r="O205" s="43" t="s">
        <v>377</v>
      </c>
    </row>
    <row r="206" spans="1:15" s="45" customFormat="1" x14ac:dyDescent="0.3">
      <c r="A206" s="43" t="s">
        <v>512</v>
      </c>
      <c r="B206" s="43" t="s">
        <v>644</v>
      </c>
      <c r="C206" s="43" t="s">
        <v>393</v>
      </c>
      <c r="D206" s="43" t="s">
        <v>61</v>
      </c>
      <c r="E206" s="43" t="s">
        <v>154</v>
      </c>
      <c r="F206" s="44">
        <v>-1</v>
      </c>
      <c r="G206" s="43" t="s">
        <v>72</v>
      </c>
      <c r="H206" s="43" t="s">
        <v>73</v>
      </c>
      <c r="I206" s="43"/>
      <c r="J206" s="43" t="s">
        <v>656</v>
      </c>
      <c r="K206" s="46" t="s">
        <v>685</v>
      </c>
      <c r="L206" s="46" t="str">
        <f>B206&amp;": "&amp;K206</f>
        <v>Tymus: That's right. A BUNCH. I, ahem, know too.</v>
      </c>
      <c r="M206" s="43"/>
      <c r="N206" s="43"/>
      <c r="O206" s="43" t="s">
        <v>657</v>
      </c>
    </row>
    <row r="207" spans="1:15" s="45" customFormat="1" x14ac:dyDescent="0.3">
      <c r="A207" s="43" t="s">
        <v>512</v>
      </c>
      <c r="B207" s="43" t="s">
        <v>644</v>
      </c>
      <c r="C207" s="43" t="s">
        <v>393</v>
      </c>
      <c r="D207" s="43" t="s">
        <v>61</v>
      </c>
      <c r="E207" s="43" t="s">
        <v>154</v>
      </c>
      <c r="F207" s="44">
        <v>-1</v>
      </c>
      <c r="G207" s="43" t="s">
        <v>72</v>
      </c>
      <c r="H207" s="43" t="s">
        <v>77</v>
      </c>
      <c r="I207" s="43"/>
      <c r="J207" s="43" t="s">
        <v>656</v>
      </c>
      <c r="K207" s="43" t="s">
        <v>658</v>
      </c>
      <c r="L207" s="43" t="s">
        <v>659</v>
      </c>
      <c r="M207" s="43"/>
      <c r="N207" s="43"/>
      <c r="O207" s="43" t="s">
        <v>657</v>
      </c>
    </row>
    <row r="208" spans="1:15" x14ac:dyDescent="0.3">
      <c r="A208" s="5" t="s">
        <v>512</v>
      </c>
      <c r="B208" s="5" t="s">
        <v>660</v>
      </c>
      <c r="C208" s="5" t="s">
        <v>661</v>
      </c>
      <c r="D208" s="5" t="s">
        <v>61</v>
      </c>
      <c r="E208" s="5" t="s">
        <v>154</v>
      </c>
      <c r="F208" s="14">
        <v>-1</v>
      </c>
      <c r="G208" s="5" t="s">
        <v>662</v>
      </c>
      <c r="H208" s="5"/>
      <c r="I208" s="5">
        <v>100</v>
      </c>
      <c r="J208" s="5" t="s">
        <v>362</v>
      </c>
      <c r="K208" s="5" t="s">
        <v>663</v>
      </c>
      <c r="L208" s="5" t="s">
        <v>664</v>
      </c>
      <c r="M208" s="5"/>
      <c r="N208" s="5"/>
      <c r="O208" s="5"/>
    </row>
    <row r="209" spans="1:15" s="45" customFormat="1" x14ac:dyDescent="0.3">
      <c r="A209" s="43" t="s">
        <v>511</v>
      </c>
      <c r="B209" s="43" t="s">
        <v>686</v>
      </c>
      <c r="C209" s="43" t="s">
        <v>687</v>
      </c>
      <c r="D209" s="43" t="s">
        <v>61</v>
      </c>
      <c r="E209" s="43" t="s">
        <v>154</v>
      </c>
      <c r="F209" s="44">
        <v>-1</v>
      </c>
      <c r="G209" s="43" t="s">
        <v>63</v>
      </c>
      <c r="H209" s="43"/>
      <c r="I209" s="43">
        <v>20</v>
      </c>
      <c r="J209" s="43" t="s">
        <v>688</v>
      </c>
      <c r="K209" s="43" t="s">
        <v>689</v>
      </c>
      <c r="L209" s="43" t="s">
        <v>690</v>
      </c>
      <c r="M209" s="43"/>
      <c r="N209" s="43"/>
      <c r="O209" s="43"/>
    </row>
    <row r="210" spans="1:15" s="45" customFormat="1" x14ac:dyDescent="0.3">
      <c r="A210" s="43" t="s">
        <v>511</v>
      </c>
      <c r="B210" s="43" t="s">
        <v>686</v>
      </c>
      <c r="C210" s="43" t="s">
        <v>687</v>
      </c>
      <c r="D210" s="43" t="s">
        <v>61</v>
      </c>
      <c r="E210" s="43" t="s">
        <v>154</v>
      </c>
      <c r="F210" s="44">
        <v>-1</v>
      </c>
      <c r="G210" s="43" t="s">
        <v>63</v>
      </c>
      <c r="H210" s="43"/>
      <c r="I210" s="43">
        <v>20</v>
      </c>
      <c r="J210" s="43" t="s">
        <v>666</v>
      </c>
      <c r="K210" s="43" t="s">
        <v>691</v>
      </c>
      <c r="L210" s="43" t="s">
        <v>692</v>
      </c>
      <c r="M210" s="43"/>
      <c r="N210" s="43"/>
      <c r="O210" s="43"/>
    </row>
    <row r="211" spans="1:15" s="45" customFormat="1" x14ac:dyDescent="0.3">
      <c r="A211" s="43" t="s">
        <v>511</v>
      </c>
      <c r="B211" s="43" t="s">
        <v>686</v>
      </c>
      <c r="C211" s="43" t="s">
        <v>687</v>
      </c>
      <c r="D211" s="43" t="s">
        <v>61</v>
      </c>
      <c r="E211" s="43" t="s">
        <v>154</v>
      </c>
      <c r="F211" s="44">
        <v>-1</v>
      </c>
      <c r="G211" s="43" t="s">
        <v>63</v>
      </c>
      <c r="H211" s="43"/>
      <c r="I211" s="43">
        <v>20</v>
      </c>
      <c r="J211" s="43" t="s">
        <v>667</v>
      </c>
      <c r="K211" s="43" t="s">
        <v>693</v>
      </c>
      <c r="L211" s="43" t="s">
        <v>694</v>
      </c>
      <c r="M211" s="43"/>
      <c r="N211" s="43"/>
      <c r="O211" s="43"/>
    </row>
    <row r="212" spans="1:15" s="45" customFormat="1" x14ac:dyDescent="0.3">
      <c r="A212" s="43" t="s">
        <v>511</v>
      </c>
      <c r="B212" s="43" t="s">
        <v>686</v>
      </c>
      <c r="C212" s="43" t="s">
        <v>687</v>
      </c>
      <c r="D212" s="43" t="s">
        <v>61</v>
      </c>
      <c r="E212" s="43" t="s">
        <v>154</v>
      </c>
      <c r="F212" s="44">
        <v>-1</v>
      </c>
      <c r="G212" s="43" t="s">
        <v>63</v>
      </c>
      <c r="H212" s="43"/>
      <c r="I212" s="43">
        <v>20</v>
      </c>
      <c r="J212" s="43" t="s">
        <v>362</v>
      </c>
      <c r="K212" s="43" t="s">
        <v>695</v>
      </c>
      <c r="L212" s="43" t="s">
        <v>696</v>
      </c>
      <c r="M212" s="43"/>
      <c r="N212" s="43"/>
      <c r="O212" s="43"/>
    </row>
    <row r="213" spans="1:15" s="45" customFormat="1" x14ac:dyDescent="0.3">
      <c r="A213" s="43" t="s">
        <v>511</v>
      </c>
      <c r="B213" s="43" t="s">
        <v>686</v>
      </c>
      <c r="C213" s="43" t="s">
        <v>687</v>
      </c>
      <c r="D213" s="43" t="s">
        <v>61</v>
      </c>
      <c r="E213" s="43" t="s">
        <v>154</v>
      </c>
      <c r="F213" s="44">
        <v>-1</v>
      </c>
      <c r="G213" s="43" t="s">
        <v>63</v>
      </c>
      <c r="H213" s="43"/>
      <c r="I213" s="43">
        <v>20</v>
      </c>
      <c r="J213" s="43" t="s">
        <v>697</v>
      </c>
      <c r="K213" s="43" t="s">
        <v>698</v>
      </c>
      <c r="L213" s="43" t="s">
        <v>699</v>
      </c>
      <c r="M213" s="43"/>
      <c r="N213" s="43"/>
      <c r="O213" s="43" t="s">
        <v>377</v>
      </c>
    </row>
    <row r="214" spans="1:15" s="45" customFormat="1" x14ac:dyDescent="0.3">
      <c r="A214" s="43" t="s">
        <v>511</v>
      </c>
      <c r="B214" s="43" t="s">
        <v>686</v>
      </c>
      <c r="C214" s="43" t="s">
        <v>687</v>
      </c>
      <c r="D214" s="43" t="s">
        <v>61</v>
      </c>
      <c r="E214" s="43" t="s">
        <v>154</v>
      </c>
      <c r="F214" s="44">
        <v>-1</v>
      </c>
      <c r="G214" s="43" t="s">
        <v>72</v>
      </c>
      <c r="H214" s="43" t="s">
        <v>73</v>
      </c>
      <c r="I214" s="43"/>
      <c r="J214" s="43" t="s">
        <v>700</v>
      </c>
      <c r="K214" s="46" t="s">
        <v>746</v>
      </c>
      <c r="L214" s="46" t="str">
        <f t="shared" ref="L214:L215" si="2">B214&amp;": "&amp;K214</f>
        <v>Faultless: Not good. Pride is a grave sin!</v>
      </c>
      <c r="M214" s="43"/>
      <c r="N214" s="43"/>
      <c r="O214" s="43" t="s">
        <v>701</v>
      </c>
    </row>
    <row r="215" spans="1:15" s="45" customFormat="1" x14ac:dyDescent="0.3">
      <c r="A215" s="43" t="s">
        <v>511</v>
      </c>
      <c r="B215" s="43" t="s">
        <v>686</v>
      </c>
      <c r="C215" s="43" t="s">
        <v>687</v>
      </c>
      <c r="D215" s="43" t="s">
        <v>61</v>
      </c>
      <c r="E215" s="43" t="s">
        <v>154</v>
      </c>
      <c r="F215" s="44">
        <v>-1</v>
      </c>
      <c r="G215" s="43" t="s">
        <v>72</v>
      </c>
      <c r="H215" s="43" t="s">
        <v>77</v>
      </c>
      <c r="I215" s="43"/>
      <c r="J215" s="43" t="s">
        <v>700</v>
      </c>
      <c r="K215" s="46" t="s">
        <v>747</v>
      </c>
      <c r="L215" s="46" t="str">
        <f t="shared" si="2"/>
        <v>Faultless: Good. Pride is evil's favorite sin!</v>
      </c>
      <c r="M215" s="43"/>
      <c r="N215" s="43"/>
      <c r="O215" s="43" t="s">
        <v>701</v>
      </c>
    </row>
    <row r="216" spans="1:15" s="45" customFormat="1" x14ac:dyDescent="0.3">
      <c r="A216" s="43" t="s">
        <v>511</v>
      </c>
      <c r="B216" s="43" t="s">
        <v>702</v>
      </c>
      <c r="C216" s="43" t="s">
        <v>687</v>
      </c>
      <c r="D216" s="43" t="s">
        <v>61</v>
      </c>
      <c r="E216" s="43" t="s">
        <v>154</v>
      </c>
      <c r="F216" s="44">
        <v>-1</v>
      </c>
      <c r="G216" s="43" t="s">
        <v>63</v>
      </c>
      <c r="H216" s="43"/>
      <c r="I216" s="43">
        <v>20</v>
      </c>
      <c r="J216" s="43" t="s">
        <v>703</v>
      </c>
      <c r="K216" s="43" t="s">
        <v>704</v>
      </c>
      <c r="L216" s="43" t="s">
        <v>705</v>
      </c>
      <c r="M216" s="43"/>
      <c r="N216" s="43"/>
      <c r="O216" s="43"/>
    </row>
    <row r="217" spans="1:15" s="45" customFormat="1" x14ac:dyDescent="0.3">
      <c r="A217" s="43" t="s">
        <v>511</v>
      </c>
      <c r="B217" s="43" t="s">
        <v>702</v>
      </c>
      <c r="C217" s="43" t="s">
        <v>687</v>
      </c>
      <c r="D217" s="43" t="s">
        <v>61</v>
      </c>
      <c r="E217" s="43" t="s">
        <v>154</v>
      </c>
      <c r="F217" s="44">
        <v>-1</v>
      </c>
      <c r="G217" s="43" t="s">
        <v>63</v>
      </c>
      <c r="H217" s="43"/>
      <c r="I217" s="43">
        <v>20</v>
      </c>
      <c r="J217" s="43" t="s">
        <v>666</v>
      </c>
      <c r="K217" s="43" t="s">
        <v>706</v>
      </c>
      <c r="L217" s="43" t="s">
        <v>707</v>
      </c>
      <c r="M217" s="43"/>
      <c r="N217" s="43"/>
      <c r="O217" s="43"/>
    </row>
    <row r="218" spans="1:15" s="45" customFormat="1" x14ac:dyDescent="0.3">
      <c r="A218" s="43" t="s">
        <v>511</v>
      </c>
      <c r="B218" s="43" t="s">
        <v>702</v>
      </c>
      <c r="C218" s="43" t="s">
        <v>687</v>
      </c>
      <c r="D218" s="43" t="s">
        <v>61</v>
      </c>
      <c r="E218" s="43" t="s">
        <v>154</v>
      </c>
      <c r="F218" s="44">
        <v>-1</v>
      </c>
      <c r="G218" s="43" t="s">
        <v>63</v>
      </c>
      <c r="H218" s="43"/>
      <c r="I218" s="43">
        <v>20</v>
      </c>
      <c r="J218" s="43" t="s">
        <v>761</v>
      </c>
      <c r="K218" s="43" t="s">
        <v>762</v>
      </c>
      <c r="L218" s="46" t="str">
        <f t="shared" ref="L218" si="3">B218&amp;": "&amp;K218</f>
        <v>Heywood: I haunt eternally.</v>
      </c>
      <c r="M218" s="43"/>
      <c r="N218" s="43"/>
      <c r="O218" s="43"/>
    </row>
    <row r="219" spans="1:15" s="45" customFormat="1" x14ac:dyDescent="0.3">
      <c r="A219" s="43" t="s">
        <v>511</v>
      </c>
      <c r="B219" s="43" t="s">
        <v>702</v>
      </c>
      <c r="C219" s="43" t="s">
        <v>687</v>
      </c>
      <c r="D219" s="43" t="s">
        <v>61</v>
      </c>
      <c r="E219" s="43" t="s">
        <v>154</v>
      </c>
      <c r="F219" s="44">
        <v>-1</v>
      </c>
      <c r="G219" s="43" t="s">
        <v>63</v>
      </c>
      <c r="H219" s="43"/>
      <c r="I219" s="43">
        <v>20</v>
      </c>
      <c r="J219" s="43" t="s">
        <v>362</v>
      </c>
      <c r="K219" s="43" t="s">
        <v>695</v>
      </c>
      <c r="L219" s="43" t="s">
        <v>708</v>
      </c>
      <c r="M219" s="43"/>
      <c r="N219" s="43"/>
      <c r="O219" s="43"/>
    </row>
    <row r="220" spans="1:15" s="45" customFormat="1" x14ac:dyDescent="0.3">
      <c r="A220" s="43" t="s">
        <v>511</v>
      </c>
      <c r="B220" s="43" t="s">
        <v>702</v>
      </c>
      <c r="C220" s="43" t="s">
        <v>687</v>
      </c>
      <c r="D220" s="43" t="s">
        <v>61</v>
      </c>
      <c r="E220" s="43" t="s">
        <v>154</v>
      </c>
      <c r="F220" s="44">
        <v>-1</v>
      </c>
      <c r="G220" s="43" t="s">
        <v>63</v>
      </c>
      <c r="H220" s="43"/>
      <c r="I220" s="43">
        <v>20</v>
      </c>
      <c r="J220" s="43" t="s">
        <v>697</v>
      </c>
      <c r="K220" s="43" t="s">
        <v>709</v>
      </c>
      <c r="L220" s="43" t="s">
        <v>710</v>
      </c>
      <c r="M220" s="43"/>
      <c r="N220" s="43"/>
      <c r="O220" s="43" t="s">
        <v>377</v>
      </c>
    </row>
    <row r="221" spans="1:15" s="45" customFormat="1" ht="22.8" customHeight="1" x14ac:dyDescent="0.3">
      <c r="A221" s="43" t="s">
        <v>511</v>
      </c>
      <c r="B221" s="43" t="s">
        <v>702</v>
      </c>
      <c r="C221" s="43" t="s">
        <v>687</v>
      </c>
      <c r="D221" s="43" t="s">
        <v>61</v>
      </c>
      <c r="E221" s="43" t="s">
        <v>154</v>
      </c>
      <c r="F221" s="44">
        <v>-1</v>
      </c>
      <c r="G221" s="43" t="s">
        <v>72</v>
      </c>
      <c r="H221" s="43" t="s">
        <v>73</v>
      </c>
      <c r="I221" s="43"/>
      <c r="J221" s="43" t="s">
        <v>700</v>
      </c>
      <c r="K221" s="43" t="s">
        <v>711</v>
      </c>
      <c r="L221" s="43" t="s">
        <v>712</v>
      </c>
      <c r="M221" s="43"/>
      <c r="N221" s="43"/>
      <c r="O221" s="43" t="s">
        <v>701</v>
      </c>
    </row>
    <row r="222" spans="1:15" s="45" customFormat="1" x14ac:dyDescent="0.3">
      <c r="A222" s="43" t="s">
        <v>511</v>
      </c>
      <c r="B222" s="43" t="s">
        <v>702</v>
      </c>
      <c r="C222" s="43" t="s">
        <v>687</v>
      </c>
      <c r="D222" s="43" t="s">
        <v>61</v>
      </c>
      <c r="E222" s="43" t="s">
        <v>154</v>
      </c>
      <c r="F222" s="44">
        <v>-1</v>
      </c>
      <c r="G222" s="43" t="s">
        <v>72</v>
      </c>
      <c r="H222" s="43" t="s">
        <v>77</v>
      </c>
      <c r="I222" s="43"/>
      <c r="J222" s="43" t="s">
        <v>700</v>
      </c>
      <c r="K222" s="43" t="s">
        <v>713</v>
      </c>
      <c r="L222" s="43" t="s">
        <v>714</v>
      </c>
      <c r="M222" s="43"/>
      <c r="N222" s="43"/>
      <c r="O222" s="43" t="s">
        <v>701</v>
      </c>
    </row>
    <row r="223" spans="1:15" s="45" customFormat="1" x14ac:dyDescent="0.3">
      <c r="A223" s="43" t="s">
        <v>511</v>
      </c>
      <c r="B223" s="43" t="s">
        <v>715</v>
      </c>
      <c r="C223" s="43" t="s">
        <v>111</v>
      </c>
      <c r="D223" s="43" t="s">
        <v>61</v>
      </c>
      <c r="E223" s="43" t="s">
        <v>154</v>
      </c>
      <c r="F223" s="44">
        <v>-1</v>
      </c>
      <c r="G223" s="43" t="s">
        <v>63</v>
      </c>
      <c r="H223" s="43"/>
      <c r="I223" s="43">
        <v>20</v>
      </c>
      <c r="J223" s="43" t="s">
        <v>763</v>
      </c>
      <c r="K223" s="46" t="s">
        <v>764</v>
      </c>
      <c r="L223" s="46" t="str">
        <f t="shared" ref="L223:L224" si="4">B223&amp;": "&amp;K223</f>
        <v>Katrina: I practice humility by meditating here.</v>
      </c>
      <c r="M223" s="43"/>
      <c r="N223" s="43"/>
      <c r="O223" s="43"/>
    </row>
    <row r="224" spans="1:15" s="45" customFormat="1" x14ac:dyDescent="0.3">
      <c r="A224" s="43" t="s">
        <v>511</v>
      </c>
      <c r="B224" s="43" t="s">
        <v>715</v>
      </c>
      <c r="C224" s="43" t="s">
        <v>111</v>
      </c>
      <c r="D224" s="43" t="s">
        <v>61</v>
      </c>
      <c r="E224" s="43" t="s">
        <v>154</v>
      </c>
      <c r="F224" s="44">
        <v>-1</v>
      </c>
      <c r="G224" s="43" t="s">
        <v>63</v>
      </c>
      <c r="H224" s="43"/>
      <c r="I224" s="43">
        <v>20</v>
      </c>
      <c r="J224" s="46" t="s">
        <v>748</v>
      </c>
      <c r="K224" s="43" t="s">
        <v>765</v>
      </c>
      <c r="L224" s="46" t="str">
        <f t="shared" si="4"/>
        <v>Katrina: She looks like a worn-out survivor.</v>
      </c>
      <c r="M224" s="43"/>
      <c r="N224" s="43"/>
      <c r="O224" s="43"/>
    </row>
    <row r="225" spans="1:15" s="45" customFormat="1" x14ac:dyDescent="0.3">
      <c r="A225" s="43" t="s">
        <v>511</v>
      </c>
      <c r="B225" s="43" t="s">
        <v>715</v>
      </c>
      <c r="C225" s="43" t="s">
        <v>111</v>
      </c>
      <c r="D225" s="43" t="s">
        <v>61</v>
      </c>
      <c r="E225" s="43" t="s">
        <v>154</v>
      </c>
      <c r="F225" s="44">
        <v>-1</v>
      </c>
      <c r="G225" s="43" t="s">
        <v>63</v>
      </c>
      <c r="H225" s="43"/>
      <c r="I225" s="43">
        <v>20</v>
      </c>
      <c r="J225" s="43" t="s">
        <v>362</v>
      </c>
      <c r="K225" s="43" t="s">
        <v>716</v>
      </c>
      <c r="L225" s="43" t="s">
        <v>717</v>
      </c>
      <c r="M225" s="43"/>
      <c r="N225" s="43"/>
      <c r="O225" s="43"/>
    </row>
    <row r="226" spans="1:15" s="45" customFormat="1" x14ac:dyDescent="0.3">
      <c r="A226" s="43" t="s">
        <v>511</v>
      </c>
      <c r="B226" s="43" t="s">
        <v>715</v>
      </c>
      <c r="C226" s="43" t="s">
        <v>111</v>
      </c>
      <c r="D226" s="43" t="s">
        <v>61</v>
      </c>
      <c r="E226" s="43" t="s">
        <v>154</v>
      </c>
      <c r="F226" s="44">
        <v>-1</v>
      </c>
      <c r="G226" s="43" t="s">
        <v>63</v>
      </c>
      <c r="H226" s="43"/>
      <c r="I226" s="43">
        <v>20</v>
      </c>
      <c r="J226" s="43" t="s">
        <v>718</v>
      </c>
      <c r="K226" s="43" t="s">
        <v>719</v>
      </c>
      <c r="L226" s="43" t="s">
        <v>720</v>
      </c>
      <c r="M226" s="43"/>
      <c r="N226" s="43"/>
      <c r="O226" s="43"/>
    </row>
    <row r="227" spans="1:15" s="45" customFormat="1" x14ac:dyDescent="0.3">
      <c r="A227" s="43" t="s">
        <v>511</v>
      </c>
      <c r="B227" s="43" t="s">
        <v>715</v>
      </c>
      <c r="C227" s="43" t="s">
        <v>111</v>
      </c>
      <c r="D227" s="43" t="s">
        <v>61</v>
      </c>
      <c r="E227" s="43" t="s">
        <v>154</v>
      </c>
      <c r="F227" s="44">
        <v>-1</v>
      </c>
      <c r="G227" s="43" t="s">
        <v>63</v>
      </c>
      <c r="H227" s="43"/>
      <c r="I227" s="43">
        <v>20</v>
      </c>
      <c r="J227" s="43" t="s">
        <v>703</v>
      </c>
      <c r="K227" s="43" t="s">
        <v>721</v>
      </c>
      <c r="L227" s="43" t="s">
        <v>722</v>
      </c>
      <c r="M227" s="43"/>
      <c r="N227" s="43"/>
      <c r="O227" s="43" t="s">
        <v>377</v>
      </c>
    </row>
    <row r="228" spans="1:15" s="45" customFormat="1" x14ac:dyDescent="0.3">
      <c r="A228" s="43" t="s">
        <v>511</v>
      </c>
      <c r="B228" s="43" t="s">
        <v>715</v>
      </c>
      <c r="C228" s="43" t="s">
        <v>111</v>
      </c>
      <c r="D228" s="43" t="s">
        <v>61</v>
      </c>
      <c r="E228" s="43" t="s">
        <v>154</v>
      </c>
      <c r="F228" s="44">
        <v>-1</v>
      </c>
      <c r="G228" s="43" t="s">
        <v>72</v>
      </c>
      <c r="H228" s="43" t="s">
        <v>73</v>
      </c>
      <c r="I228" s="43"/>
      <c r="J228" s="43" t="s">
        <v>700</v>
      </c>
      <c r="K228" s="46" t="s">
        <v>749</v>
      </c>
      <c r="L228" s="46" t="str">
        <f t="shared" ref="L228:L229" si="5">B228&amp;": "&amp;K228</f>
        <v>Katrina: Undo that or your efforts are meaningless.</v>
      </c>
      <c r="M228" s="43"/>
      <c r="N228" s="43"/>
      <c r="O228" s="43" t="s">
        <v>723</v>
      </c>
    </row>
    <row r="229" spans="1:15" s="45" customFormat="1" x14ac:dyDescent="0.3">
      <c r="A229" s="43" t="s">
        <v>511</v>
      </c>
      <c r="B229" s="43" t="s">
        <v>715</v>
      </c>
      <c r="C229" s="43" t="s">
        <v>111</v>
      </c>
      <c r="D229" s="43" t="s">
        <v>61</v>
      </c>
      <c r="E229" s="43" t="s">
        <v>154</v>
      </c>
      <c r="F229" s="44">
        <v>-1</v>
      </c>
      <c r="G229" s="43" t="s">
        <v>72</v>
      </c>
      <c r="H229" s="43" t="s">
        <v>77</v>
      </c>
      <c r="I229" s="43"/>
      <c r="J229" s="43" t="s">
        <v>700</v>
      </c>
      <c r="K229" s="46" t="s">
        <v>1370</v>
      </c>
      <c r="L229" s="46" t="str">
        <f t="shared" si="5"/>
        <v>Katrina: The rune of Humility is in the Lycaeum.  Ignore temptations.</v>
      </c>
      <c r="M229" s="43"/>
      <c r="N229" s="43"/>
      <c r="O229" s="43" t="s">
        <v>723</v>
      </c>
    </row>
    <row r="230" spans="1:15" x14ac:dyDescent="0.3">
      <c r="A230" s="5" t="s">
        <v>511</v>
      </c>
      <c r="B230" s="5" t="s">
        <v>724</v>
      </c>
      <c r="C230" s="5" t="s">
        <v>725</v>
      </c>
      <c r="D230" s="5" t="s">
        <v>61</v>
      </c>
      <c r="E230" s="5" t="s">
        <v>154</v>
      </c>
      <c r="F230" s="14">
        <v>-1</v>
      </c>
      <c r="G230" s="5" t="s">
        <v>63</v>
      </c>
      <c r="H230" s="5"/>
      <c r="I230" s="5">
        <v>20</v>
      </c>
      <c r="J230" s="5" t="s">
        <v>666</v>
      </c>
      <c r="K230" s="5" t="s">
        <v>726</v>
      </c>
      <c r="L230" s="5" t="s">
        <v>727</v>
      </c>
      <c r="M230" s="5"/>
      <c r="N230" s="5"/>
      <c r="O230" s="5"/>
    </row>
    <row r="231" spans="1:15" x14ac:dyDescent="0.3">
      <c r="A231" s="5" t="s">
        <v>511</v>
      </c>
      <c r="B231" s="5" t="s">
        <v>724</v>
      </c>
      <c r="C231" s="5" t="s">
        <v>725</v>
      </c>
      <c r="D231" s="5" t="s">
        <v>61</v>
      </c>
      <c r="E231" s="5" t="s">
        <v>154</v>
      </c>
      <c r="F231" s="14">
        <v>-1</v>
      </c>
      <c r="G231" s="5" t="s">
        <v>63</v>
      </c>
      <c r="H231" s="5"/>
      <c r="I231" s="5">
        <v>20</v>
      </c>
      <c r="J231" s="5" t="s">
        <v>667</v>
      </c>
      <c r="K231" s="5" t="s">
        <v>728</v>
      </c>
      <c r="L231" s="5" t="s">
        <v>729</v>
      </c>
      <c r="M231" s="5"/>
      <c r="N231" s="5"/>
      <c r="O231" s="5"/>
    </row>
    <row r="232" spans="1:15" x14ac:dyDescent="0.3">
      <c r="A232" s="5" t="s">
        <v>511</v>
      </c>
      <c r="B232" s="5" t="s">
        <v>724</v>
      </c>
      <c r="C232" s="5" t="s">
        <v>725</v>
      </c>
      <c r="D232" s="5" t="s">
        <v>61</v>
      </c>
      <c r="E232" s="5" t="s">
        <v>154</v>
      </c>
      <c r="F232" s="14">
        <v>-1</v>
      </c>
      <c r="G232" s="5" t="s">
        <v>63</v>
      </c>
      <c r="H232" s="5"/>
      <c r="I232" s="5">
        <v>20</v>
      </c>
      <c r="J232" s="5" t="s">
        <v>362</v>
      </c>
      <c r="K232" s="5" t="s">
        <v>730</v>
      </c>
      <c r="L232" s="5" t="s">
        <v>731</v>
      </c>
      <c r="M232" s="5"/>
      <c r="N232" s="5"/>
      <c r="O232" s="5"/>
    </row>
    <row r="233" spans="1:15" x14ac:dyDescent="0.3">
      <c r="A233" s="5" t="s">
        <v>511</v>
      </c>
      <c r="B233" s="5" t="s">
        <v>724</v>
      </c>
      <c r="C233" s="5" t="s">
        <v>725</v>
      </c>
      <c r="D233" s="5" t="s">
        <v>61</v>
      </c>
      <c r="E233" s="5" t="s">
        <v>154</v>
      </c>
      <c r="F233" s="14">
        <v>-1</v>
      </c>
      <c r="G233" s="5" t="s">
        <v>63</v>
      </c>
      <c r="H233" s="5"/>
      <c r="I233" s="5">
        <v>20</v>
      </c>
      <c r="J233" s="5" t="s">
        <v>732</v>
      </c>
      <c r="K233" s="5" t="s">
        <v>733</v>
      </c>
      <c r="L233" s="5" t="s">
        <v>734</v>
      </c>
      <c r="M233" s="5"/>
      <c r="N233" s="5"/>
      <c r="O233" s="5"/>
    </row>
    <row r="234" spans="1:15" x14ac:dyDescent="0.3">
      <c r="A234" s="5" t="s">
        <v>511</v>
      </c>
      <c r="B234" s="5" t="s">
        <v>724</v>
      </c>
      <c r="C234" s="5" t="s">
        <v>725</v>
      </c>
      <c r="D234" s="5" t="s">
        <v>61</v>
      </c>
      <c r="E234" s="5" t="s">
        <v>154</v>
      </c>
      <c r="F234" s="14">
        <v>-1</v>
      </c>
      <c r="G234" s="5" t="s">
        <v>63</v>
      </c>
      <c r="H234" s="5"/>
      <c r="I234" s="5">
        <v>20</v>
      </c>
      <c r="J234" s="5" t="s">
        <v>735</v>
      </c>
      <c r="K234" s="5" t="s">
        <v>736</v>
      </c>
      <c r="L234" s="5" t="s">
        <v>737</v>
      </c>
      <c r="M234" s="5"/>
      <c r="N234" s="5"/>
      <c r="O234" s="5" t="s">
        <v>738</v>
      </c>
    </row>
    <row r="235" spans="1:15" s="45" customFormat="1" x14ac:dyDescent="0.3">
      <c r="A235" s="43" t="s">
        <v>511</v>
      </c>
      <c r="B235" s="43" t="s">
        <v>739</v>
      </c>
      <c r="C235" s="43" t="s">
        <v>740</v>
      </c>
      <c r="D235" s="43" t="s">
        <v>61</v>
      </c>
      <c r="E235" s="43" t="s">
        <v>154</v>
      </c>
      <c r="F235" s="44">
        <v>-1</v>
      </c>
      <c r="G235" s="43" t="s">
        <v>63</v>
      </c>
      <c r="H235" s="43"/>
      <c r="I235" s="43">
        <v>25</v>
      </c>
      <c r="J235" s="43" t="s">
        <v>666</v>
      </c>
      <c r="K235" s="43" t="s">
        <v>741</v>
      </c>
      <c r="L235" s="43" t="s">
        <v>742</v>
      </c>
      <c r="M235" s="43"/>
      <c r="N235" s="43"/>
      <c r="O235" s="43"/>
    </row>
    <row r="236" spans="1:15" s="45" customFormat="1" x14ac:dyDescent="0.3">
      <c r="A236" s="43" t="s">
        <v>511</v>
      </c>
      <c r="B236" s="43" t="s">
        <v>739</v>
      </c>
      <c r="C236" s="43" t="s">
        <v>740</v>
      </c>
      <c r="D236" s="43" t="s">
        <v>61</v>
      </c>
      <c r="E236" s="43" t="s">
        <v>154</v>
      </c>
      <c r="F236" s="44">
        <v>-1</v>
      </c>
      <c r="G236" s="43" t="s">
        <v>63</v>
      </c>
      <c r="H236" s="43"/>
      <c r="I236" s="43">
        <v>25</v>
      </c>
      <c r="J236" s="43" t="s">
        <v>365</v>
      </c>
      <c r="K236" s="46" t="s">
        <v>758</v>
      </c>
      <c r="L236" s="46" t="s">
        <v>757</v>
      </c>
      <c r="M236" s="43"/>
      <c r="N236" s="43"/>
      <c r="O236" s="43"/>
    </row>
    <row r="237" spans="1:15" s="45" customFormat="1" x14ac:dyDescent="0.3">
      <c r="A237" s="43" t="s">
        <v>511</v>
      </c>
      <c r="B237" s="43" t="s">
        <v>739</v>
      </c>
      <c r="C237" s="43" t="s">
        <v>740</v>
      </c>
      <c r="D237" s="43" t="s">
        <v>61</v>
      </c>
      <c r="E237" s="43" t="s">
        <v>154</v>
      </c>
      <c r="F237" s="44">
        <v>-1</v>
      </c>
      <c r="G237" s="43" t="s">
        <v>63</v>
      </c>
      <c r="H237" s="43"/>
      <c r="I237" s="43">
        <v>25</v>
      </c>
      <c r="J237" s="46" t="s">
        <v>755</v>
      </c>
      <c r="K237" s="46" t="s">
        <v>743</v>
      </c>
      <c r="L237" s="46" t="s">
        <v>756</v>
      </c>
      <c r="M237" s="43"/>
      <c r="N237" s="43"/>
      <c r="O237" s="43"/>
    </row>
    <row r="238" spans="1:15" s="45" customFormat="1" x14ac:dyDescent="0.3">
      <c r="A238" s="43" t="s">
        <v>511</v>
      </c>
      <c r="B238" s="43" t="s">
        <v>739</v>
      </c>
      <c r="C238" s="43" t="s">
        <v>740</v>
      </c>
      <c r="D238" s="43" t="s">
        <v>61</v>
      </c>
      <c r="E238" s="43" t="s">
        <v>154</v>
      </c>
      <c r="F238" s="44">
        <v>-1</v>
      </c>
      <c r="G238" s="43" t="s">
        <v>63</v>
      </c>
      <c r="H238" s="43"/>
      <c r="I238" s="43">
        <v>25</v>
      </c>
      <c r="J238" s="46" t="s">
        <v>753</v>
      </c>
      <c r="K238" s="46" t="s">
        <v>754</v>
      </c>
      <c r="L238" s="46" t="s">
        <v>760</v>
      </c>
      <c r="M238" s="43"/>
      <c r="N238" s="43"/>
      <c r="O238" s="43" t="s">
        <v>377</v>
      </c>
    </row>
    <row r="239" spans="1:15" s="45" customFormat="1" x14ac:dyDescent="0.3">
      <c r="A239" s="43" t="s">
        <v>511</v>
      </c>
      <c r="B239" s="43" t="s">
        <v>739</v>
      </c>
      <c r="C239" s="43" t="s">
        <v>740</v>
      </c>
      <c r="D239" s="43" t="s">
        <v>61</v>
      </c>
      <c r="E239" s="43" t="s">
        <v>154</v>
      </c>
      <c r="F239" s="44">
        <v>-1</v>
      </c>
      <c r="G239" s="43" t="s">
        <v>72</v>
      </c>
      <c r="H239" s="43" t="s">
        <v>73</v>
      </c>
      <c r="I239" s="43"/>
      <c r="J239" s="43" t="s">
        <v>700</v>
      </c>
      <c r="K239" s="46" t="s">
        <v>750</v>
      </c>
      <c r="L239" s="46" t="str">
        <f t="shared" ref="L239:L240" si="6">B239&amp;": "&amp;K239</f>
        <v>Virtuebane: Good! Welcome to Hell.</v>
      </c>
      <c r="M239" s="43"/>
      <c r="N239" s="43"/>
      <c r="O239" s="43" t="s">
        <v>745</v>
      </c>
    </row>
    <row r="240" spans="1:15" s="45" customFormat="1" x14ac:dyDescent="0.3">
      <c r="A240" s="43" t="s">
        <v>511</v>
      </c>
      <c r="B240" s="43" t="s">
        <v>739</v>
      </c>
      <c r="C240" s="43" t="s">
        <v>740</v>
      </c>
      <c r="D240" s="43" t="s">
        <v>61</v>
      </c>
      <c r="E240" s="43" t="s">
        <v>154</v>
      </c>
      <c r="F240" s="44">
        <v>-1</v>
      </c>
      <c r="G240" s="43" t="s">
        <v>72</v>
      </c>
      <c r="H240" s="43" t="s">
        <v>77</v>
      </c>
      <c r="I240" s="43"/>
      <c r="J240" s="43" t="s">
        <v>700</v>
      </c>
      <c r="K240" s="46" t="s">
        <v>759</v>
      </c>
      <c r="L240" s="46" t="str">
        <f t="shared" si="6"/>
        <v>Virtuebane: Ah, well.  Sinners are the best winnersss…</v>
      </c>
      <c r="M240" s="43"/>
      <c r="N240" s="43"/>
      <c r="O240" s="43" t="s">
        <v>745</v>
      </c>
    </row>
    <row r="241" spans="1:15" x14ac:dyDescent="0.3">
      <c r="A241" s="5" t="s">
        <v>510</v>
      </c>
      <c r="B241" s="5" t="s">
        <v>770</v>
      </c>
      <c r="C241" s="5" t="s">
        <v>771</v>
      </c>
      <c r="D241" s="5" t="s">
        <v>61</v>
      </c>
      <c r="E241" s="5" t="s">
        <v>154</v>
      </c>
      <c r="F241" s="14">
        <v>-1</v>
      </c>
      <c r="G241" s="5" t="s">
        <v>63</v>
      </c>
      <c r="H241" s="5"/>
      <c r="I241" s="5">
        <v>20</v>
      </c>
      <c r="J241" s="5" t="s">
        <v>666</v>
      </c>
      <c r="K241" s="5" t="s">
        <v>772</v>
      </c>
      <c r="L241" s="5" t="s">
        <v>773</v>
      </c>
      <c r="M241" s="5"/>
      <c r="N241" s="5"/>
      <c r="O241" s="5"/>
    </row>
    <row r="242" spans="1:15" x14ac:dyDescent="0.3">
      <c r="A242" s="5" t="s">
        <v>510</v>
      </c>
      <c r="B242" s="5" t="s">
        <v>770</v>
      </c>
      <c r="C242" s="5" t="s">
        <v>771</v>
      </c>
      <c r="D242" s="5" t="s">
        <v>61</v>
      </c>
      <c r="E242" s="5" t="s">
        <v>154</v>
      </c>
      <c r="F242" s="14">
        <v>-1</v>
      </c>
      <c r="G242" s="5" t="s">
        <v>63</v>
      </c>
      <c r="H242" s="5"/>
      <c r="I242" s="5">
        <v>20</v>
      </c>
      <c r="J242" s="5" t="s">
        <v>667</v>
      </c>
      <c r="K242" s="5" t="s">
        <v>774</v>
      </c>
      <c r="L242" s="5" t="s">
        <v>775</v>
      </c>
      <c r="M242" s="5"/>
      <c r="N242" s="5"/>
      <c r="O242" s="5"/>
    </row>
    <row r="243" spans="1:15" x14ac:dyDescent="0.3">
      <c r="A243" s="5" t="s">
        <v>510</v>
      </c>
      <c r="B243" s="5" t="s">
        <v>770</v>
      </c>
      <c r="C243" s="5" t="s">
        <v>771</v>
      </c>
      <c r="D243" s="5" t="s">
        <v>61</v>
      </c>
      <c r="E243" s="5" t="s">
        <v>154</v>
      </c>
      <c r="F243" s="14">
        <v>-1</v>
      </c>
      <c r="G243" s="5" t="s">
        <v>63</v>
      </c>
      <c r="H243" s="5"/>
      <c r="I243" s="5">
        <v>20</v>
      </c>
      <c r="J243" s="5" t="s">
        <v>362</v>
      </c>
      <c r="K243" s="5" t="s">
        <v>776</v>
      </c>
      <c r="L243" s="5" t="s">
        <v>777</v>
      </c>
      <c r="M243" s="5"/>
      <c r="N243" s="5"/>
      <c r="O243" s="5"/>
    </row>
    <row r="244" spans="1:15" x14ac:dyDescent="0.3">
      <c r="A244" s="5" t="s">
        <v>510</v>
      </c>
      <c r="B244" s="5" t="s">
        <v>770</v>
      </c>
      <c r="C244" s="5" t="s">
        <v>771</v>
      </c>
      <c r="D244" s="5" t="s">
        <v>61</v>
      </c>
      <c r="E244" s="5" t="s">
        <v>154</v>
      </c>
      <c r="F244" s="14">
        <v>-1</v>
      </c>
      <c r="G244" s="5" t="s">
        <v>63</v>
      </c>
      <c r="H244" s="5"/>
      <c r="I244" s="5">
        <v>20</v>
      </c>
      <c r="J244" s="5" t="s">
        <v>778</v>
      </c>
      <c r="K244" s="5" t="s">
        <v>779</v>
      </c>
      <c r="L244" s="5" t="s">
        <v>780</v>
      </c>
      <c r="M244" s="5"/>
      <c r="N244" s="5"/>
      <c r="O244" s="5"/>
    </row>
    <row r="245" spans="1:15" x14ac:dyDescent="0.3">
      <c r="A245" s="5" t="s">
        <v>510</v>
      </c>
      <c r="B245" s="5" t="s">
        <v>770</v>
      </c>
      <c r="C245" s="5" t="s">
        <v>771</v>
      </c>
      <c r="D245" s="5" t="s">
        <v>61</v>
      </c>
      <c r="E245" s="5" t="s">
        <v>154</v>
      </c>
      <c r="F245" s="14">
        <v>-1</v>
      </c>
      <c r="G245" s="5" t="s">
        <v>63</v>
      </c>
      <c r="H245" s="5"/>
      <c r="I245" s="5">
        <v>20</v>
      </c>
      <c r="J245" s="5" t="s">
        <v>781</v>
      </c>
      <c r="K245" s="5" t="s">
        <v>782</v>
      </c>
      <c r="L245" s="5" t="s">
        <v>783</v>
      </c>
      <c r="M245" s="5"/>
      <c r="N245" s="5"/>
      <c r="O245" s="5" t="s">
        <v>377</v>
      </c>
    </row>
    <row r="246" spans="1:15" x14ac:dyDescent="0.3">
      <c r="A246" s="5" t="s">
        <v>510</v>
      </c>
      <c r="B246" s="5" t="s">
        <v>770</v>
      </c>
      <c r="C246" s="5" t="s">
        <v>771</v>
      </c>
      <c r="D246" s="5" t="s">
        <v>61</v>
      </c>
      <c r="E246" s="5" t="s">
        <v>154</v>
      </c>
      <c r="F246" s="14">
        <v>-1</v>
      </c>
      <c r="G246" s="5" t="s">
        <v>72</v>
      </c>
      <c r="H246" s="5" t="s">
        <v>73</v>
      </c>
      <c r="I246" s="5"/>
      <c r="J246" s="5" t="s">
        <v>784</v>
      </c>
      <c r="K246" s="5" t="s">
        <v>785</v>
      </c>
      <c r="L246" s="5" t="s">
        <v>786</v>
      </c>
      <c r="M246" s="5"/>
      <c r="N246" s="5"/>
      <c r="O246" s="5" t="s">
        <v>787</v>
      </c>
    </row>
    <row r="247" spans="1:15" x14ac:dyDescent="0.3">
      <c r="A247" s="5" t="s">
        <v>510</v>
      </c>
      <c r="B247" s="5" t="s">
        <v>770</v>
      </c>
      <c r="C247" s="5" t="s">
        <v>771</v>
      </c>
      <c r="D247" s="5" t="s">
        <v>61</v>
      </c>
      <c r="E247" s="5" t="s">
        <v>154</v>
      </c>
      <c r="F247" s="14">
        <v>-1</v>
      </c>
      <c r="G247" s="5" t="s">
        <v>72</v>
      </c>
      <c r="H247" s="5" t="s">
        <v>77</v>
      </c>
      <c r="I247" s="5"/>
      <c r="J247" s="5" t="s">
        <v>784</v>
      </c>
      <c r="K247" s="5" t="s">
        <v>788</v>
      </c>
      <c r="L247" s="5" t="s">
        <v>789</v>
      </c>
      <c r="M247" s="5"/>
      <c r="N247" s="5"/>
      <c r="O247" s="5" t="s">
        <v>787</v>
      </c>
    </row>
    <row r="248" spans="1:15" x14ac:dyDescent="0.3">
      <c r="A248" s="5" t="s">
        <v>510</v>
      </c>
      <c r="B248" s="5" t="s">
        <v>790</v>
      </c>
      <c r="C248" s="5" t="s">
        <v>630</v>
      </c>
      <c r="D248" s="5" t="s">
        <v>61</v>
      </c>
      <c r="E248" s="5" t="s">
        <v>154</v>
      </c>
      <c r="F248" s="14">
        <v>-1</v>
      </c>
      <c r="G248" s="5" t="s">
        <v>63</v>
      </c>
      <c r="H248" s="5"/>
      <c r="I248" s="5">
        <v>20</v>
      </c>
      <c r="J248" s="5" t="s">
        <v>666</v>
      </c>
      <c r="K248" s="5" t="s">
        <v>791</v>
      </c>
      <c r="L248" s="5" t="s">
        <v>792</v>
      </c>
      <c r="M248" s="5"/>
      <c r="N248" s="5"/>
      <c r="O248" s="5"/>
    </row>
    <row r="249" spans="1:15" x14ac:dyDescent="0.3">
      <c r="A249" s="5" t="s">
        <v>510</v>
      </c>
      <c r="B249" s="5" t="s">
        <v>790</v>
      </c>
      <c r="C249" s="5" t="s">
        <v>630</v>
      </c>
      <c r="D249" s="5" t="s">
        <v>61</v>
      </c>
      <c r="E249" s="5" t="s">
        <v>154</v>
      </c>
      <c r="F249" s="14">
        <v>-1</v>
      </c>
      <c r="G249" s="5" t="s">
        <v>63</v>
      </c>
      <c r="H249" s="5"/>
      <c r="I249" s="5">
        <v>20</v>
      </c>
      <c r="J249" s="5" t="s">
        <v>793</v>
      </c>
      <c r="K249" s="5" t="s">
        <v>794</v>
      </c>
      <c r="L249" s="5" t="s">
        <v>795</v>
      </c>
      <c r="M249" s="5"/>
      <c r="N249" s="5"/>
      <c r="O249" s="5"/>
    </row>
    <row r="250" spans="1:15" x14ac:dyDescent="0.3">
      <c r="A250" s="5" t="s">
        <v>510</v>
      </c>
      <c r="B250" s="5" t="s">
        <v>790</v>
      </c>
      <c r="C250" s="5" t="s">
        <v>630</v>
      </c>
      <c r="D250" s="5" t="s">
        <v>61</v>
      </c>
      <c r="E250" s="5" t="s">
        <v>154</v>
      </c>
      <c r="F250" s="14">
        <v>-1</v>
      </c>
      <c r="G250" s="5" t="s">
        <v>63</v>
      </c>
      <c r="H250" s="5"/>
      <c r="I250" s="5">
        <v>20</v>
      </c>
      <c r="J250" s="5" t="s">
        <v>667</v>
      </c>
      <c r="K250" s="5" t="s">
        <v>796</v>
      </c>
      <c r="L250" s="5" t="s">
        <v>797</v>
      </c>
      <c r="M250" s="5"/>
      <c r="N250" s="5"/>
      <c r="O250" s="5"/>
    </row>
    <row r="251" spans="1:15" x14ac:dyDescent="0.3">
      <c r="A251" s="5" t="s">
        <v>510</v>
      </c>
      <c r="B251" s="5" t="s">
        <v>790</v>
      </c>
      <c r="C251" s="5" t="s">
        <v>630</v>
      </c>
      <c r="D251" s="5" t="s">
        <v>61</v>
      </c>
      <c r="E251" s="5" t="s">
        <v>154</v>
      </c>
      <c r="F251" s="14">
        <v>-1</v>
      </c>
      <c r="G251" s="5" t="s">
        <v>63</v>
      </c>
      <c r="H251" s="5"/>
      <c r="I251" s="5">
        <v>20</v>
      </c>
      <c r="J251" s="5" t="s">
        <v>362</v>
      </c>
      <c r="K251" s="5" t="s">
        <v>798</v>
      </c>
      <c r="L251" s="5" t="s">
        <v>799</v>
      </c>
      <c r="M251" s="5"/>
      <c r="N251" s="5"/>
      <c r="O251" s="5"/>
    </row>
    <row r="252" spans="1:15" x14ac:dyDescent="0.3">
      <c r="A252" s="5" t="s">
        <v>510</v>
      </c>
      <c r="B252" s="5" t="s">
        <v>790</v>
      </c>
      <c r="C252" s="5" t="s">
        <v>630</v>
      </c>
      <c r="D252" s="5" t="s">
        <v>61</v>
      </c>
      <c r="E252" s="5" t="s">
        <v>154</v>
      </c>
      <c r="F252" s="14">
        <v>-1</v>
      </c>
      <c r="G252" s="5" t="s">
        <v>63</v>
      </c>
      <c r="H252" s="5"/>
      <c r="I252" s="5">
        <v>20</v>
      </c>
      <c r="J252" s="5" t="s">
        <v>680</v>
      </c>
      <c r="K252" s="5" t="s">
        <v>800</v>
      </c>
      <c r="L252" s="5" t="s">
        <v>801</v>
      </c>
      <c r="M252" s="5"/>
      <c r="N252" s="5"/>
      <c r="O252" s="5" t="s">
        <v>377</v>
      </c>
    </row>
    <row r="253" spans="1:15" x14ac:dyDescent="0.3">
      <c r="A253" s="5" t="s">
        <v>510</v>
      </c>
      <c r="B253" s="5" t="s">
        <v>790</v>
      </c>
      <c r="C253" s="5" t="s">
        <v>630</v>
      </c>
      <c r="D253" s="5" t="s">
        <v>61</v>
      </c>
      <c r="E253" s="5" t="s">
        <v>154</v>
      </c>
      <c r="F253" s="14">
        <v>-1</v>
      </c>
      <c r="G253" s="5" t="s">
        <v>72</v>
      </c>
      <c r="H253" s="5" t="s">
        <v>73</v>
      </c>
      <c r="I253" s="5"/>
      <c r="J253" s="5" t="s">
        <v>802</v>
      </c>
      <c r="K253" s="5" t="s">
        <v>803</v>
      </c>
      <c r="L253" s="5" t="s">
        <v>804</v>
      </c>
      <c r="M253" s="5"/>
      <c r="N253" s="5"/>
      <c r="O253" s="5" t="s">
        <v>805</v>
      </c>
    </row>
    <row r="254" spans="1:15" x14ac:dyDescent="0.3">
      <c r="A254" s="5" t="s">
        <v>510</v>
      </c>
      <c r="B254" s="5" t="s">
        <v>790</v>
      </c>
      <c r="C254" s="5" t="s">
        <v>630</v>
      </c>
      <c r="D254" s="5" t="s">
        <v>61</v>
      </c>
      <c r="E254" s="5" t="s">
        <v>154</v>
      </c>
      <c r="F254" s="14">
        <v>-1</v>
      </c>
      <c r="G254" s="5" t="s">
        <v>72</v>
      </c>
      <c r="H254" s="5" t="s">
        <v>77</v>
      </c>
      <c r="I254" s="5"/>
      <c r="J254" s="5" t="s">
        <v>802</v>
      </c>
      <c r="K254" s="5" t="s">
        <v>806</v>
      </c>
      <c r="L254" s="5" t="s">
        <v>807</v>
      </c>
      <c r="M254" s="5"/>
      <c r="N254" s="5"/>
      <c r="O254" s="5" t="s">
        <v>805</v>
      </c>
    </row>
    <row r="255" spans="1:15" x14ac:dyDescent="0.3">
      <c r="A255" s="5" t="s">
        <v>510</v>
      </c>
      <c r="B255" s="5" t="s">
        <v>808</v>
      </c>
      <c r="C255" s="5" t="s">
        <v>111</v>
      </c>
      <c r="D255" s="5" t="s">
        <v>61</v>
      </c>
      <c r="E255" s="5" t="s">
        <v>154</v>
      </c>
      <c r="F255" s="14">
        <v>-1</v>
      </c>
      <c r="G255" s="5" t="s">
        <v>63</v>
      </c>
      <c r="H255" s="5"/>
      <c r="I255" s="5">
        <v>20</v>
      </c>
      <c r="J255" s="5" t="s">
        <v>666</v>
      </c>
      <c r="K255" s="5" t="s">
        <v>809</v>
      </c>
      <c r="L255" s="5" t="s">
        <v>810</v>
      </c>
      <c r="M255" s="5"/>
      <c r="N255" s="5"/>
      <c r="O255" s="5"/>
    </row>
    <row r="256" spans="1:15" x14ac:dyDescent="0.3">
      <c r="A256" s="5" t="s">
        <v>510</v>
      </c>
      <c r="B256" s="5" t="s">
        <v>808</v>
      </c>
      <c r="C256" s="5" t="s">
        <v>111</v>
      </c>
      <c r="D256" s="5" t="s">
        <v>61</v>
      </c>
      <c r="E256" s="5" t="s">
        <v>154</v>
      </c>
      <c r="F256" s="14">
        <v>-1</v>
      </c>
      <c r="G256" s="5" t="s">
        <v>63</v>
      </c>
      <c r="H256" s="5"/>
      <c r="I256" s="5">
        <v>20</v>
      </c>
      <c r="J256" s="5" t="s">
        <v>667</v>
      </c>
      <c r="K256" s="5" t="s">
        <v>811</v>
      </c>
      <c r="L256" s="5" t="s">
        <v>812</v>
      </c>
      <c r="M256" s="5"/>
      <c r="N256" s="5"/>
      <c r="O256" s="5"/>
    </row>
    <row r="257" spans="1:15" x14ac:dyDescent="0.3">
      <c r="A257" s="5" t="s">
        <v>510</v>
      </c>
      <c r="B257" s="5" t="s">
        <v>808</v>
      </c>
      <c r="C257" s="5" t="s">
        <v>111</v>
      </c>
      <c r="D257" s="5" t="s">
        <v>61</v>
      </c>
      <c r="E257" s="5" t="s">
        <v>154</v>
      </c>
      <c r="F257" s="14">
        <v>-1</v>
      </c>
      <c r="G257" s="5" t="s">
        <v>63</v>
      </c>
      <c r="H257" s="5"/>
      <c r="I257" s="5">
        <v>20</v>
      </c>
      <c r="J257" s="5" t="s">
        <v>362</v>
      </c>
      <c r="K257" s="5" t="s">
        <v>813</v>
      </c>
      <c r="L257" s="5" t="s">
        <v>814</v>
      </c>
      <c r="M257" s="5"/>
      <c r="N257" s="5"/>
      <c r="O257" s="5"/>
    </row>
    <row r="258" spans="1:15" x14ac:dyDescent="0.3">
      <c r="A258" s="5" t="s">
        <v>510</v>
      </c>
      <c r="B258" s="5" t="s">
        <v>808</v>
      </c>
      <c r="C258" s="5" t="s">
        <v>111</v>
      </c>
      <c r="D258" s="5" t="s">
        <v>61</v>
      </c>
      <c r="E258" s="5" t="s">
        <v>154</v>
      </c>
      <c r="F258" s="14">
        <v>-1</v>
      </c>
      <c r="G258" s="5" t="s">
        <v>63</v>
      </c>
      <c r="H258" s="5"/>
      <c r="I258" s="5">
        <v>20</v>
      </c>
      <c r="J258" s="5" t="s">
        <v>815</v>
      </c>
      <c r="K258" s="5" t="s">
        <v>816</v>
      </c>
      <c r="L258" s="5" t="s">
        <v>817</v>
      </c>
      <c r="M258" s="5"/>
      <c r="N258" s="5"/>
      <c r="O258" s="5"/>
    </row>
    <row r="259" spans="1:15" x14ac:dyDescent="0.3">
      <c r="A259" s="5" t="s">
        <v>510</v>
      </c>
      <c r="B259" s="5" t="s">
        <v>808</v>
      </c>
      <c r="C259" s="5" t="s">
        <v>111</v>
      </c>
      <c r="D259" s="5" t="s">
        <v>61</v>
      </c>
      <c r="E259" s="5" t="s">
        <v>154</v>
      </c>
      <c r="F259" s="14">
        <v>-1</v>
      </c>
      <c r="G259" s="5" t="s">
        <v>63</v>
      </c>
      <c r="H259" s="5"/>
      <c r="I259" s="5">
        <v>20</v>
      </c>
      <c r="J259" s="5" t="s">
        <v>697</v>
      </c>
      <c r="K259" s="5" t="s">
        <v>818</v>
      </c>
      <c r="L259" s="5" t="s">
        <v>819</v>
      </c>
      <c r="M259" s="5"/>
      <c r="N259" s="5"/>
      <c r="O259" s="5" t="s">
        <v>377</v>
      </c>
    </row>
    <row r="260" spans="1:15" x14ac:dyDescent="0.3">
      <c r="A260" s="5" t="s">
        <v>510</v>
      </c>
      <c r="B260" s="5" t="s">
        <v>808</v>
      </c>
      <c r="C260" s="5" t="s">
        <v>111</v>
      </c>
      <c r="D260" s="5" t="s">
        <v>61</v>
      </c>
      <c r="E260" s="5" t="s">
        <v>154</v>
      </c>
      <c r="F260" s="14">
        <v>-1</v>
      </c>
      <c r="G260" s="5" t="s">
        <v>72</v>
      </c>
      <c r="H260" s="5" t="s">
        <v>73</v>
      </c>
      <c r="I260" s="5"/>
      <c r="J260" s="5" t="s">
        <v>820</v>
      </c>
      <c r="K260" s="5" t="s">
        <v>821</v>
      </c>
      <c r="L260" s="5" t="s">
        <v>822</v>
      </c>
      <c r="M260" s="5"/>
      <c r="N260" s="5"/>
      <c r="O260" s="5" t="s">
        <v>701</v>
      </c>
    </row>
    <row r="261" spans="1:15" x14ac:dyDescent="0.3">
      <c r="A261" s="5" t="s">
        <v>510</v>
      </c>
      <c r="B261" s="5" t="s">
        <v>808</v>
      </c>
      <c r="C261" s="5" t="s">
        <v>111</v>
      </c>
      <c r="D261" s="5" t="s">
        <v>61</v>
      </c>
      <c r="E261" s="5" t="s">
        <v>154</v>
      </c>
      <c r="F261" s="14">
        <v>-1</v>
      </c>
      <c r="G261" s="5" t="s">
        <v>72</v>
      </c>
      <c r="H261" s="5" t="s">
        <v>77</v>
      </c>
      <c r="I261" s="5"/>
      <c r="J261" s="5" t="s">
        <v>820</v>
      </c>
      <c r="K261" s="5" t="s">
        <v>823</v>
      </c>
      <c r="L261" s="5" t="s">
        <v>824</v>
      </c>
      <c r="M261" s="5"/>
      <c r="N261" s="5"/>
      <c r="O261" s="5" t="s">
        <v>701</v>
      </c>
    </row>
    <row r="262" spans="1:15" x14ac:dyDescent="0.3">
      <c r="A262" s="5" t="s">
        <v>510</v>
      </c>
      <c r="B262" s="5" t="s">
        <v>825</v>
      </c>
      <c r="C262" s="5" t="s">
        <v>630</v>
      </c>
      <c r="D262" s="5" t="s">
        <v>61</v>
      </c>
      <c r="E262" s="5" t="s">
        <v>154</v>
      </c>
      <c r="F262" s="14">
        <v>-1</v>
      </c>
      <c r="G262" s="5" t="s">
        <v>63</v>
      </c>
      <c r="H262" s="5"/>
      <c r="I262" s="5">
        <v>20</v>
      </c>
      <c r="J262" s="5" t="s">
        <v>680</v>
      </c>
      <c r="K262" s="5" t="s">
        <v>826</v>
      </c>
      <c r="L262" s="5" t="s">
        <v>827</v>
      </c>
      <c r="M262" s="5"/>
      <c r="N262" s="5"/>
      <c r="O262" s="5"/>
    </row>
    <row r="263" spans="1:15" x14ac:dyDescent="0.3">
      <c r="A263" s="5" t="s">
        <v>510</v>
      </c>
      <c r="B263" s="5" t="s">
        <v>825</v>
      </c>
      <c r="C263" s="5" t="s">
        <v>630</v>
      </c>
      <c r="D263" s="5" t="s">
        <v>61</v>
      </c>
      <c r="E263" s="5" t="s">
        <v>154</v>
      </c>
      <c r="F263" s="14">
        <v>-1</v>
      </c>
      <c r="G263" s="5" t="s">
        <v>63</v>
      </c>
      <c r="H263" s="5"/>
      <c r="I263" s="5">
        <v>20</v>
      </c>
      <c r="J263" s="5" t="s">
        <v>666</v>
      </c>
      <c r="K263" s="5" t="s">
        <v>828</v>
      </c>
      <c r="L263" s="5" t="s">
        <v>829</v>
      </c>
      <c r="M263" s="5"/>
      <c r="N263" s="5"/>
      <c r="O263" s="5"/>
    </row>
    <row r="264" spans="1:15" x14ac:dyDescent="0.3">
      <c r="A264" s="5" t="s">
        <v>510</v>
      </c>
      <c r="B264" s="5" t="s">
        <v>825</v>
      </c>
      <c r="C264" s="5" t="s">
        <v>630</v>
      </c>
      <c r="D264" s="5" t="s">
        <v>61</v>
      </c>
      <c r="E264" s="5" t="s">
        <v>154</v>
      </c>
      <c r="F264" s="14">
        <v>-1</v>
      </c>
      <c r="G264" s="5" t="s">
        <v>63</v>
      </c>
      <c r="H264" s="5"/>
      <c r="I264" s="5">
        <v>20</v>
      </c>
      <c r="J264" s="5" t="s">
        <v>667</v>
      </c>
      <c r="K264" s="5" t="s">
        <v>830</v>
      </c>
      <c r="L264" s="5" t="s">
        <v>831</v>
      </c>
      <c r="M264" s="5"/>
      <c r="N264" s="5"/>
      <c r="O264" s="5"/>
    </row>
    <row r="265" spans="1:15" x14ac:dyDescent="0.3">
      <c r="A265" s="5" t="s">
        <v>510</v>
      </c>
      <c r="B265" s="5" t="s">
        <v>825</v>
      </c>
      <c r="C265" s="5" t="s">
        <v>630</v>
      </c>
      <c r="D265" s="5" t="s">
        <v>61</v>
      </c>
      <c r="E265" s="5" t="s">
        <v>154</v>
      </c>
      <c r="F265" s="14">
        <v>-1</v>
      </c>
      <c r="G265" s="5" t="s">
        <v>63</v>
      </c>
      <c r="H265" s="5"/>
      <c r="I265" s="5">
        <v>20</v>
      </c>
      <c r="J265" s="5" t="s">
        <v>362</v>
      </c>
      <c r="K265" s="5" t="s">
        <v>832</v>
      </c>
      <c r="L265" s="5" t="s">
        <v>833</v>
      </c>
      <c r="M265" s="5"/>
      <c r="N265" s="5"/>
      <c r="O265" s="5"/>
    </row>
    <row r="266" spans="1:15" x14ac:dyDescent="0.3">
      <c r="A266" s="5" t="s">
        <v>510</v>
      </c>
      <c r="B266" s="5" t="s">
        <v>825</v>
      </c>
      <c r="C266" s="5" t="s">
        <v>630</v>
      </c>
      <c r="D266" s="5" t="s">
        <v>61</v>
      </c>
      <c r="E266" s="5" t="s">
        <v>154</v>
      </c>
      <c r="F266" s="14">
        <v>-1</v>
      </c>
      <c r="G266" s="5" t="s">
        <v>63</v>
      </c>
      <c r="H266" s="5"/>
      <c r="I266" s="5">
        <v>20</v>
      </c>
      <c r="J266" s="5" t="s">
        <v>834</v>
      </c>
      <c r="K266" s="5" t="s">
        <v>835</v>
      </c>
      <c r="L266" s="5" t="s">
        <v>836</v>
      </c>
      <c r="M266" s="5"/>
      <c r="N266" s="5"/>
      <c r="O266" s="5" t="s">
        <v>377</v>
      </c>
    </row>
    <row r="267" spans="1:15" x14ac:dyDescent="0.3">
      <c r="A267" s="5" t="s">
        <v>510</v>
      </c>
      <c r="B267" s="5" t="s">
        <v>825</v>
      </c>
      <c r="C267" s="5" t="s">
        <v>630</v>
      </c>
      <c r="D267" s="5" t="s">
        <v>61</v>
      </c>
      <c r="E267" s="5" t="s">
        <v>154</v>
      </c>
      <c r="F267" s="14">
        <v>-1</v>
      </c>
      <c r="G267" s="5" t="s">
        <v>72</v>
      </c>
      <c r="H267" s="5" t="s">
        <v>73</v>
      </c>
      <c r="I267" s="5"/>
      <c r="J267" s="5" t="s">
        <v>837</v>
      </c>
      <c r="K267" s="5" t="s">
        <v>838</v>
      </c>
      <c r="L267" s="5" t="s">
        <v>839</v>
      </c>
      <c r="M267" s="5"/>
      <c r="N267" s="5"/>
      <c r="O267" s="5" t="s">
        <v>840</v>
      </c>
    </row>
    <row r="268" spans="1:15" x14ac:dyDescent="0.3">
      <c r="A268" s="5" t="s">
        <v>510</v>
      </c>
      <c r="B268" s="5" t="s">
        <v>825</v>
      </c>
      <c r="C268" s="5" t="s">
        <v>630</v>
      </c>
      <c r="D268" s="5" t="s">
        <v>61</v>
      </c>
      <c r="E268" s="5" t="s">
        <v>154</v>
      </c>
      <c r="F268" s="14">
        <v>-1</v>
      </c>
      <c r="G268" s="5" t="s">
        <v>72</v>
      </c>
      <c r="H268" s="5" t="s">
        <v>77</v>
      </c>
      <c r="I268" s="5"/>
      <c r="J268" s="5" t="s">
        <v>837</v>
      </c>
      <c r="K268" s="5" t="s">
        <v>841</v>
      </c>
      <c r="L268" s="5" t="s">
        <v>842</v>
      </c>
      <c r="M268" s="5"/>
      <c r="N268" s="5"/>
      <c r="O268" s="5" t="s">
        <v>840</v>
      </c>
    </row>
    <row r="269" spans="1:15" x14ac:dyDescent="0.3">
      <c r="A269" s="5" t="s">
        <v>510</v>
      </c>
      <c r="B269" s="5" t="s">
        <v>843</v>
      </c>
      <c r="C269" s="5" t="s">
        <v>844</v>
      </c>
      <c r="D269" s="5" t="s">
        <v>61</v>
      </c>
      <c r="E269" s="5" t="s">
        <v>154</v>
      </c>
      <c r="F269" s="14">
        <v>-1</v>
      </c>
      <c r="G269" s="5" t="s">
        <v>63</v>
      </c>
      <c r="H269" s="5"/>
      <c r="I269" s="5">
        <v>20</v>
      </c>
      <c r="J269" s="5" t="s">
        <v>666</v>
      </c>
      <c r="K269" s="5" t="s">
        <v>845</v>
      </c>
      <c r="L269" s="5" t="s">
        <v>846</v>
      </c>
      <c r="M269" s="5"/>
      <c r="N269" s="5"/>
      <c r="O269" s="5"/>
    </row>
    <row r="270" spans="1:15" x14ac:dyDescent="0.3">
      <c r="A270" s="5" t="s">
        <v>510</v>
      </c>
      <c r="B270" s="5" t="s">
        <v>843</v>
      </c>
      <c r="C270" s="5" t="s">
        <v>844</v>
      </c>
      <c r="D270" s="5" t="s">
        <v>61</v>
      </c>
      <c r="E270" s="5" t="s">
        <v>154</v>
      </c>
      <c r="F270" s="14">
        <v>-1</v>
      </c>
      <c r="G270" s="5" t="s">
        <v>63</v>
      </c>
      <c r="H270" s="5"/>
      <c r="I270" s="5">
        <v>20</v>
      </c>
      <c r="J270" s="5" t="s">
        <v>667</v>
      </c>
      <c r="K270" s="5" t="s">
        <v>847</v>
      </c>
      <c r="L270" s="5" t="s">
        <v>848</v>
      </c>
      <c r="M270" s="5"/>
      <c r="N270" s="5"/>
      <c r="O270" s="5"/>
    </row>
    <row r="271" spans="1:15" x14ac:dyDescent="0.3">
      <c r="A271" s="5" t="s">
        <v>510</v>
      </c>
      <c r="B271" s="5" t="s">
        <v>843</v>
      </c>
      <c r="C271" s="5" t="s">
        <v>844</v>
      </c>
      <c r="D271" s="5" t="s">
        <v>61</v>
      </c>
      <c r="E271" s="5" t="s">
        <v>154</v>
      </c>
      <c r="F271" s="14">
        <v>-1</v>
      </c>
      <c r="G271" s="5" t="s">
        <v>63</v>
      </c>
      <c r="H271" s="5"/>
      <c r="I271" s="5">
        <v>20</v>
      </c>
      <c r="J271" s="5" t="s">
        <v>362</v>
      </c>
      <c r="K271" s="5" t="s">
        <v>849</v>
      </c>
      <c r="L271" s="5" t="s">
        <v>850</v>
      </c>
      <c r="M271" s="5"/>
      <c r="N271" s="5"/>
      <c r="O271" s="5"/>
    </row>
    <row r="272" spans="1:15" x14ac:dyDescent="0.3">
      <c r="A272" s="5" t="s">
        <v>510</v>
      </c>
      <c r="B272" s="5" t="s">
        <v>843</v>
      </c>
      <c r="C272" s="5" t="s">
        <v>844</v>
      </c>
      <c r="D272" s="5" t="s">
        <v>61</v>
      </c>
      <c r="E272" s="5" t="s">
        <v>154</v>
      </c>
      <c r="F272" s="14">
        <v>-1</v>
      </c>
      <c r="G272" s="5" t="s">
        <v>63</v>
      </c>
      <c r="H272" s="5"/>
      <c r="I272" s="5">
        <v>20</v>
      </c>
      <c r="J272" s="5" t="s">
        <v>851</v>
      </c>
      <c r="K272" s="5" t="s">
        <v>852</v>
      </c>
      <c r="L272" s="5" t="s">
        <v>853</v>
      </c>
      <c r="M272" s="5"/>
      <c r="N272" s="5"/>
      <c r="O272" s="5"/>
    </row>
    <row r="273" spans="1:15" x14ac:dyDescent="0.3">
      <c r="A273" s="5" t="s">
        <v>510</v>
      </c>
      <c r="B273" s="5" t="s">
        <v>843</v>
      </c>
      <c r="C273" s="5" t="s">
        <v>844</v>
      </c>
      <c r="D273" s="5" t="s">
        <v>61</v>
      </c>
      <c r="E273" s="5" t="s">
        <v>154</v>
      </c>
      <c r="F273" s="14">
        <v>-1</v>
      </c>
      <c r="G273" s="5" t="s">
        <v>63</v>
      </c>
      <c r="H273" s="5"/>
      <c r="I273" s="5">
        <v>20</v>
      </c>
      <c r="J273" s="5" t="s">
        <v>854</v>
      </c>
      <c r="K273" s="5" t="s">
        <v>855</v>
      </c>
      <c r="L273" s="5" t="s">
        <v>856</v>
      </c>
      <c r="M273" s="5"/>
      <c r="N273" s="5"/>
      <c r="O273" s="5" t="s">
        <v>377</v>
      </c>
    </row>
    <row r="274" spans="1:15" x14ac:dyDescent="0.3">
      <c r="A274" s="5" t="s">
        <v>510</v>
      </c>
      <c r="B274" s="5" t="s">
        <v>843</v>
      </c>
      <c r="C274" s="5" t="s">
        <v>844</v>
      </c>
      <c r="D274" s="5" t="s">
        <v>61</v>
      </c>
      <c r="E274" s="5" t="s">
        <v>154</v>
      </c>
      <c r="F274" s="14">
        <v>-1</v>
      </c>
      <c r="G274" s="5" t="s">
        <v>72</v>
      </c>
      <c r="H274" s="5" t="s">
        <v>73</v>
      </c>
      <c r="I274" s="5"/>
      <c r="J274" s="5" t="s">
        <v>857</v>
      </c>
      <c r="K274" s="5" t="s">
        <v>858</v>
      </c>
      <c r="L274" s="5" t="s">
        <v>859</v>
      </c>
      <c r="M274" s="5"/>
      <c r="N274" s="5"/>
      <c r="O274" s="5" t="s">
        <v>860</v>
      </c>
    </row>
    <row r="275" spans="1:15" x14ac:dyDescent="0.3">
      <c r="A275" s="5" t="s">
        <v>510</v>
      </c>
      <c r="B275" s="5" t="s">
        <v>843</v>
      </c>
      <c r="C275" s="5" t="s">
        <v>844</v>
      </c>
      <c r="D275" s="5" t="s">
        <v>61</v>
      </c>
      <c r="E275" s="5" t="s">
        <v>154</v>
      </c>
      <c r="F275" s="14">
        <v>-1</v>
      </c>
      <c r="G275" s="5" t="s">
        <v>72</v>
      </c>
      <c r="H275" s="5" t="s">
        <v>77</v>
      </c>
      <c r="I275" s="5"/>
      <c r="J275" s="5" t="s">
        <v>857</v>
      </c>
      <c r="K275" s="5" t="s">
        <v>566</v>
      </c>
      <c r="L275" s="5" t="s">
        <v>861</v>
      </c>
      <c r="M275" s="5"/>
      <c r="N275" s="5"/>
      <c r="O275" s="5" t="s">
        <v>862</v>
      </c>
    </row>
    <row r="276" spans="1:15" x14ac:dyDescent="0.3">
      <c r="A276" s="5" t="s">
        <v>510</v>
      </c>
      <c r="B276" s="5" t="s">
        <v>863</v>
      </c>
      <c r="C276" s="5" t="s">
        <v>771</v>
      </c>
      <c r="D276" s="5" t="s">
        <v>61</v>
      </c>
      <c r="E276" s="5" t="s">
        <v>154</v>
      </c>
      <c r="F276" s="14">
        <v>-1</v>
      </c>
      <c r="G276" s="5" t="s">
        <v>63</v>
      </c>
      <c r="H276" s="5"/>
      <c r="I276" s="5">
        <v>20</v>
      </c>
      <c r="J276" s="5" t="s">
        <v>864</v>
      </c>
      <c r="K276" s="5" t="s">
        <v>865</v>
      </c>
      <c r="L276" s="5" t="s">
        <v>866</v>
      </c>
      <c r="M276" s="5"/>
      <c r="N276" s="5"/>
      <c r="O276" s="5"/>
    </row>
    <row r="277" spans="1:15" x14ac:dyDescent="0.3">
      <c r="A277" s="5" t="s">
        <v>510</v>
      </c>
      <c r="B277" s="5" t="s">
        <v>863</v>
      </c>
      <c r="C277" s="5" t="s">
        <v>771</v>
      </c>
      <c r="D277" s="5" t="s">
        <v>61</v>
      </c>
      <c r="E277" s="5" t="s">
        <v>154</v>
      </c>
      <c r="F277" s="14">
        <v>-1</v>
      </c>
      <c r="G277" s="5" t="s">
        <v>63</v>
      </c>
      <c r="H277" s="5"/>
      <c r="I277" s="5">
        <v>20</v>
      </c>
      <c r="J277" s="5" t="s">
        <v>666</v>
      </c>
      <c r="K277" s="5" t="s">
        <v>515</v>
      </c>
      <c r="L277" s="5" t="s">
        <v>867</v>
      </c>
      <c r="M277" s="5"/>
      <c r="N277" s="5"/>
      <c r="O277" s="5"/>
    </row>
    <row r="278" spans="1:15" x14ac:dyDescent="0.3">
      <c r="A278" s="5" t="s">
        <v>510</v>
      </c>
      <c r="B278" s="5" t="s">
        <v>863</v>
      </c>
      <c r="C278" s="5" t="s">
        <v>771</v>
      </c>
      <c r="D278" s="5" t="s">
        <v>61</v>
      </c>
      <c r="E278" s="5" t="s">
        <v>154</v>
      </c>
      <c r="F278" s="14">
        <v>-1</v>
      </c>
      <c r="G278" s="5" t="s">
        <v>63</v>
      </c>
      <c r="H278" s="5"/>
      <c r="I278" s="5">
        <v>20</v>
      </c>
      <c r="J278" s="5" t="s">
        <v>667</v>
      </c>
      <c r="K278" s="5" t="s">
        <v>868</v>
      </c>
      <c r="L278" s="5" t="s">
        <v>869</v>
      </c>
      <c r="M278" s="5"/>
      <c r="N278" s="5"/>
      <c r="O278" s="5"/>
    </row>
    <row r="279" spans="1:15" x14ac:dyDescent="0.3">
      <c r="A279" s="5" t="s">
        <v>510</v>
      </c>
      <c r="B279" s="5" t="s">
        <v>863</v>
      </c>
      <c r="C279" s="5" t="s">
        <v>771</v>
      </c>
      <c r="D279" s="5" t="s">
        <v>61</v>
      </c>
      <c r="E279" s="5" t="s">
        <v>154</v>
      </c>
      <c r="F279" s="14">
        <v>-1</v>
      </c>
      <c r="G279" s="5" t="s">
        <v>63</v>
      </c>
      <c r="H279" s="5"/>
      <c r="I279" s="5">
        <v>20</v>
      </c>
      <c r="J279" s="5" t="s">
        <v>362</v>
      </c>
      <c r="K279" s="5" t="s">
        <v>870</v>
      </c>
      <c r="L279" s="5" t="s">
        <v>871</v>
      </c>
      <c r="M279" s="5"/>
      <c r="N279" s="5"/>
      <c r="O279" s="5"/>
    </row>
    <row r="280" spans="1:15" x14ac:dyDescent="0.3">
      <c r="A280" s="5" t="s">
        <v>510</v>
      </c>
      <c r="B280" s="5" t="s">
        <v>863</v>
      </c>
      <c r="C280" s="5" t="s">
        <v>771</v>
      </c>
      <c r="D280" s="5" t="s">
        <v>61</v>
      </c>
      <c r="E280" s="5" t="s">
        <v>154</v>
      </c>
      <c r="F280" s="14">
        <v>-1</v>
      </c>
      <c r="G280" s="5" t="s">
        <v>63</v>
      </c>
      <c r="H280" s="5"/>
      <c r="I280" s="5">
        <v>20</v>
      </c>
      <c r="J280" s="5" t="s">
        <v>872</v>
      </c>
      <c r="K280" s="5" t="s">
        <v>873</v>
      </c>
      <c r="L280" s="5" t="s">
        <v>874</v>
      </c>
      <c r="M280" s="5"/>
      <c r="N280" s="5"/>
      <c r="O280" s="5" t="s">
        <v>377</v>
      </c>
    </row>
    <row r="281" spans="1:15" x14ac:dyDescent="0.3">
      <c r="A281" s="5" t="s">
        <v>510</v>
      </c>
      <c r="B281" s="5" t="s">
        <v>863</v>
      </c>
      <c r="C281" s="5" t="s">
        <v>771</v>
      </c>
      <c r="D281" s="5" t="s">
        <v>61</v>
      </c>
      <c r="E281" s="5" t="s">
        <v>154</v>
      </c>
      <c r="F281" s="14">
        <v>-1</v>
      </c>
      <c r="G281" s="5" t="s">
        <v>72</v>
      </c>
      <c r="H281" s="5" t="s">
        <v>73</v>
      </c>
      <c r="I281" s="5"/>
      <c r="J281" s="5" t="s">
        <v>875</v>
      </c>
      <c r="K281" s="5" t="s">
        <v>876</v>
      </c>
      <c r="L281" s="5" t="s">
        <v>877</v>
      </c>
      <c r="M281" s="5"/>
      <c r="N281" s="5"/>
      <c r="O281" s="5" t="s">
        <v>878</v>
      </c>
    </row>
    <row r="282" spans="1:15" x14ac:dyDescent="0.3">
      <c r="A282" s="5" t="s">
        <v>510</v>
      </c>
      <c r="B282" s="5" t="s">
        <v>863</v>
      </c>
      <c r="C282" s="5" t="s">
        <v>771</v>
      </c>
      <c r="D282" s="5" t="s">
        <v>61</v>
      </c>
      <c r="E282" s="5" t="s">
        <v>154</v>
      </c>
      <c r="F282" s="14">
        <v>-1</v>
      </c>
      <c r="G282" s="5" t="s">
        <v>72</v>
      </c>
      <c r="H282" s="5" t="s">
        <v>77</v>
      </c>
      <c r="I282" s="5"/>
      <c r="J282" s="5" t="s">
        <v>875</v>
      </c>
      <c r="K282" s="5" t="s">
        <v>879</v>
      </c>
      <c r="L282" s="5" t="s">
        <v>880</v>
      </c>
      <c r="M282" s="5"/>
      <c r="N282" s="5"/>
      <c r="O282" s="5" t="s">
        <v>878</v>
      </c>
    </row>
    <row r="283" spans="1:15" x14ac:dyDescent="0.3">
      <c r="A283" s="5" t="s">
        <v>510</v>
      </c>
      <c r="B283" s="5" t="s">
        <v>881</v>
      </c>
      <c r="C283" s="5" t="s">
        <v>771</v>
      </c>
      <c r="D283" s="5" t="s">
        <v>61</v>
      </c>
      <c r="E283" s="5" t="s">
        <v>154</v>
      </c>
      <c r="F283" s="14">
        <v>-1</v>
      </c>
      <c r="G283" s="5" t="s">
        <v>63</v>
      </c>
      <c r="H283" s="5"/>
      <c r="I283" s="5">
        <v>20</v>
      </c>
      <c r="J283" s="5" t="s">
        <v>666</v>
      </c>
      <c r="K283" s="5" t="s">
        <v>691</v>
      </c>
      <c r="L283" s="5" t="s">
        <v>882</v>
      </c>
      <c r="M283" s="5"/>
      <c r="N283" s="5"/>
      <c r="O283" s="5"/>
    </row>
    <row r="284" spans="1:15" x14ac:dyDescent="0.3">
      <c r="A284" s="5" t="s">
        <v>510</v>
      </c>
      <c r="B284" s="5" t="s">
        <v>881</v>
      </c>
      <c r="C284" s="5" t="s">
        <v>771</v>
      </c>
      <c r="D284" s="5" t="s">
        <v>61</v>
      </c>
      <c r="E284" s="5" t="s">
        <v>154</v>
      </c>
      <c r="F284" s="14">
        <v>-1</v>
      </c>
      <c r="G284" s="5" t="s">
        <v>63</v>
      </c>
      <c r="H284" s="5"/>
      <c r="I284" s="5">
        <v>20</v>
      </c>
      <c r="J284" s="5" t="s">
        <v>667</v>
      </c>
      <c r="K284" s="5" t="s">
        <v>883</v>
      </c>
      <c r="L284" s="5" t="s">
        <v>884</v>
      </c>
      <c r="M284" s="5"/>
      <c r="N284" s="5"/>
      <c r="O284" s="5"/>
    </row>
    <row r="285" spans="1:15" x14ac:dyDescent="0.3">
      <c r="A285" s="5" t="s">
        <v>510</v>
      </c>
      <c r="B285" s="5" t="s">
        <v>881</v>
      </c>
      <c r="C285" s="5" t="s">
        <v>771</v>
      </c>
      <c r="D285" s="5" t="s">
        <v>61</v>
      </c>
      <c r="E285" s="5" t="s">
        <v>154</v>
      </c>
      <c r="F285" s="14">
        <v>-1</v>
      </c>
      <c r="G285" s="5" t="s">
        <v>63</v>
      </c>
      <c r="H285" s="5"/>
      <c r="I285" s="5">
        <v>20</v>
      </c>
      <c r="J285" s="5" t="s">
        <v>362</v>
      </c>
      <c r="K285" s="5" t="s">
        <v>885</v>
      </c>
      <c r="L285" s="5" t="s">
        <v>886</v>
      </c>
      <c r="M285" s="5"/>
      <c r="N285" s="5"/>
      <c r="O285" s="5"/>
    </row>
    <row r="286" spans="1:15" x14ac:dyDescent="0.3">
      <c r="A286" s="5" t="s">
        <v>510</v>
      </c>
      <c r="B286" s="5" t="s">
        <v>881</v>
      </c>
      <c r="C286" s="5" t="s">
        <v>771</v>
      </c>
      <c r="D286" s="5" t="s">
        <v>61</v>
      </c>
      <c r="E286" s="5" t="s">
        <v>154</v>
      </c>
      <c r="F286" s="14">
        <v>-1</v>
      </c>
      <c r="G286" s="5" t="s">
        <v>63</v>
      </c>
      <c r="H286" s="5"/>
      <c r="I286" s="5">
        <v>20</v>
      </c>
      <c r="J286" s="5" t="s">
        <v>887</v>
      </c>
      <c r="K286" s="5" t="s">
        <v>888</v>
      </c>
      <c r="L286" s="5" t="s">
        <v>889</v>
      </c>
      <c r="M286" s="5"/>
      <c r="N286" s="5"/>
      <c r="O286" s="5"/>
    </row>
    <row r="287" spans="1:15" x14ac:dyDescent="0.3">
      <c r="A287" s="5" t="s">
        <v>510</v>
      </c>
      <c r="B287" s="5" t="s">
        <v>881</v>
      </c>
      <c r="C287" s="5" t="s">
        <v>771</v>
      </c>
      <c r="D287" s="5" t="s">
        <v>61</v>
      </c>
      <c r="E287" s="5" t="s">
        <v>154</v>
      </c>
      <c r="F287" s="14">
        <v>-1</v>
      </c>
      <c r="G287" s="5" t="s">
        <v>63</v>
      </c>
      <c r="H287" s="5"/>
      <c r="I287" s="5">
        <v>20</v>
      </c>
      <c r="J287" s="5" t="s">
        <v>697</v>
      </c>
      <c r="K287" s="5" t="s">
        <v>890</v>
      </c>
      <c r="L287" s="5" t="s">
        <v>891</v>
      </c>
      <c r="M287" s="5"/>
      <c r="N287" s="5"/>
      <c r="O287" s="5" t="s">
        <v>377</v>
      </c>
    </row>
    <row r="288" spans="1:15" x14ac:dyDescent="0.3">
      <c r="A288" s="5" t="s">
        <v>510</v>
      </c>
      <c r="B288" s="5" t="s">
        <v>881</v>
      </c>
      <c r="C288" s="5" t="s">
        <v>771</v>
      </c>
      <c r="D288" s="5" t="s">
        <v>61</v>
      </c>
      <c r="E288" s="5" t="s">
        <v>154</v>
      </c>
      <c r="F288" s="14">
        <v>-1</v>
      </c>
      <c r="G288" s="5" t="s">
        <v>72</v>
      </c>
      <c r="H288" s="5" t="s">
        <v>73</v>
      </c>
      <c r="I288" s="5"/>
      <c r="J288" s="5" t="s">
        <v>892</v>
      </c>
      <c r="K288" s="5" t="s">
        <v>744</v>
      </c>
      <c r="L288" s="5" t="s">
        <v>893</v>
      </c>
      <c r="M288" s="5"/>
      <c r="N288" s="5"/>
      <c r="O288" s="5" t="s">
        <v>701</v>
      </c>
    </row>
    <row r="289" spans="1:15" x14ac:dyDescent="0.3">
      <c r="A289" s="5" t="s">
        <v>510</v>
      </c>
      <c r="B289" s="5" t="s">
        <v>881</v>
      </c>
      <c r="C289" s="5" t="s">
        <v>771</v>
      </c>
      <c r="D289" s="5" t="s">
        <v>61</v>
      </c>
      <c r="E289" s="5" t="s">
        <v>154</v>
      </c>
      <c r="F289" s="14">
        <v>-1</v>
      </c>
      <c r="G289" s="5" t="s">
        <v>72</v>
      </c>
      <c r="H289" s="5" t="s">
        <v>77</v>
      </c>
      <c r="I289" s="5"/>
      <c r="J289" s="5" t="s">
        <v>892</v>
      </c>
      <c r="K289" s="5" t="s">
        <v>894</v>
      </c>
      <c r="L289" s="5" t="s">
        <v>895</v>
      </c>
      <c r="M289" s="5"/>
      <c r="N289" s="5"/>
      <c r="O289" s="5" t="s">
        <v>701</v>
      </c>
    </row>
    <row r="290" spans="1:15" x14ac:dyDescent="0.3">
      <c r="A290" s="5" t="s">
        <v>510</v>
      </c>
      <c r="B290" s="5" t="s">
        <v>896</v>
      </c>
      <c r="C290" s="5" t="s">
        <v>897</v>
      </c>
      <c r="D290" s="5" t="s">
        <v>61</v>
      </c>
      <c r="E290" s="5" t="s">
        <v>154</v>
      </c>
      <c r="F290" s="14">
        <v>-1</v>
      </c>
      <c r="G290" s="5" t="s">
        <v>63</v>
      </c>
      <c r="H290" s="5"/>
      <c r="I290" s="5">
        <v>20</v>
      </c>
      <c r="J290" s="5" t="s">
        <v>666</v>
      </c>
      <c r="K290" s="5" t="s">
        <v>898</v>
      </c>
      <c r="L290" s="5" t="s">
        <v>899</v>
      </c>
      <c r="M290" s="5"/>
      <c r="N290" s="5"/>
      <c r="O290" s="5"/>
    </row>
    <row r="291" spans="1:15" x14ac:dyDescent="0.3">
      <c r="A291" s="5" t="s">
        <v>510</v>
      </c>
      <c r="B291" s="5" t="s">
        <v>896</v>
      </c>
      <c r="C291" s="5" t="s">
        <v>897</v>
      </c>
      <c r="D291" s="5" t="s">
        <v>61</v>
      </c>
      <c r="E291" s="5" t="s">
        <v>154</v>
      </c>
      <c r="F291" s="14">
        <v>-1</v>
      </c>
      <c r="G291" s="5" t="s">
        <v>63</v>
      </c>
      <c r="H291" s="5"/>
      <c r="I291" s="5">
        <v>20</v>
      </c>
      <c r="J291" s="5" t="s">
        <v>667</v>
      </c>
      <c r="K291" s="5" t="s">
        <v>900</v>
      </c>
      <c r="L291" s="5" t="s">
        <v>901</v>
      </c>
      <c r="M291" s="5"/>
      <c r="N291" s="5"/>
      <c r="O291" s="5"/>
    </row>
    <row r="292" spans="1:15" x14ac:dyDescent="0.3">
      <c r="A292" s="5" t="s">
        <v>510</v>
      </c>
      <c r="B292" s="5" t="s">
        <v>896</v>
      </c>
      <c r="C292" s="5" t="s">
        <v>897</v>
      </c>
      <c r="D292" s="5" t="s">
        <v>61</v>
      </c>
      <c r="E292" s="5" t="s">
        <v>154</v>
      </c>
      <c r="F292" s="14">
        <v>-1</v>
      </c>
      <c r="G292" s="5" t="s">
        <v>63</v>
      </c>
      <c r="H292" s="5"/>
      <c r="I292" s="5">
        <v>20</v>
      </c>
      <c r="J292" s="5" t="s">
        <v>362</v>
      </c>
      <c r="K292" s="5" t="s">
        <v>902</v>
      </c>
      <c r="L292" s="5" t="s">
        <v>903</v>
      </c>
      <c r="M292" s="5"/>
      <c r="N292" s="5"/>
      <c r="O292" s="5"/>
    </row>
    <row r="293" spans="1:15" x14ac:dyDescent="0.3">
      <c r="A293" s="5" t="s">
        <v>510</v>
      </c>
      <c r="B293" s="5" t="s">
        <v>896</v>
      </c>
      <c r="C293" s="5" t="s">
        <v>897</v>
      </c>
      <c r="D293" s="5" t="s">
        <v>61</v>
      </c>
      <c r="E293" s="5" t="s">
        <v>154</v>
      </c>
      <c r="F293" s="14">
        <v>-1</v>
      </c>
      <c r="G293" s="5" t="s">
        <v>63</v>
      </c>
      <c r="H293" s="5"/>
      <c r="I293" s="5">
        <v>20</v>
      </c>
      <c r="J293" s="5" t="s">
        <v>904</v>
      </c>
      <c r="K293" s="5" t="s">
        <v>905</v>
      </c>
      <c r="L293" s="5" t="s">
        <v>906</v>
      </c>
      <c r="M293" s="5"/>
      <c r="N293" s="5"/>
      <c r="O293" s="5"/>
    </row>
    <row r="294" spans="1:15" x14ac:dyDescent="0.3">
      <c r="A294" s="5" t="s">
        <v>510</v>
      </c>
      <c r="B294" s="5" t="s">
        <v>896</v>
      </c>
      <c r="C294" s="5" t="s">
        <v>897</v>
      </c>
      <c r="D294" s="5" t="s">
        <v>61</v>
      </c>
      <c r="E294" s="5" t="s">
        <v>154</v>
      </c>
      <c r="F294" s="14">
        <v>-1</v>
      </c>
      <c r="G294" s="5" t="s">
        <v>63</v>
      </c>
      <c r="H294" s="5"/>
      <c r="I294" s="5">
        <v>20</v>
      </c>
      <c r="J294" s="5" t="s">
        <v>732</v>
      </c>
      <c r="K294" s="5" t="s">
        <v>907</v>
      </c>
      <c r="L294" s="5" t="s">
        <v>908</v>
      </c>
      <c r="M294" s="5"/>
      <c r="N294" s="5"/>
      <c r="O294" s="5" t="s">
        <v>377</v>
      </c>
    </row>
    <row r="295" spans="1:15" x14ac:dyDescent="0.3">
      <c r="A295" s="5" t="s">
        <v>510</v>
      </c>
      <c r="B295" s="5" t="s">
        <v>896</v>
      </c>
      <c r="C295" s="5" t="s">
        <v>897</v>
      </c>
      <c r="D295" s="5" t="s">
        <v>61</v>
      </c>
      <c r="E295" s="5" t="s">
        <v>154</v>
      </c>
      <c r="F295" s="14">
        <v>-1</v>
      </c>
      <c r="G295" s="5" t="s">
        <v>72</v>
      </c>
      <c r="H295" s="5" t="s">
        <v>73</v>
      </c>
      <c r="I295" s="5"/>
      <c r="J295" s="5" t="s">
        <v>909</v>
      </c>
      <c r="K295" s="5" t="s">
        <v>910</v>
      </c>
      <c r="L295" s="5" t="s">
        <v>911</v>
      </c>
      <c r="M295" s="5"/>
      <c r="N295" s="5"/>
      <c r="O295" s="5" t="s">
        <v>912</v>
      </c>
    </row>
    <row r="296" spans="1:15" x14ac:dyDescent="0.3">
      <c r="A296" s="5" t="s">
        <v>510</v>
      </c>
      <c r="B296" s="5" t="s">
        <v>896</v>
      </c>
      <c r="C296" s="5" t="s">
        <v>897</v>
      </c>
      <c r="D296" s="5" t="s">
        <v>61</v>
      </c>
      <c r="E296" s="5" t="s">
        <v>154</v>
      </c>
      <c r="F296" s="14">
        <v>-1</v>
      </c>
      <c r="G296" s="5" t="s">
        <v>72</v>
      </c>
      <c r="H296" s="5" t="s">
        <v>77</v>
      </c>
      <c r="I296" s="5"/>
      <c r="J296" s="5" t="s">
        <v>909</v>
      </c>
      <c r="K296" s="5" t="s">
        <v>913</v>
      </c>
      <c r="L296" s="5" t="s">
        <v>914</v>
      </c>
      <c r="M296" s="5"/>
      <c r="N296" s="5"/>
      <c r="O296" s="5" t="s">
        <v>912</v>
      </c>
    </row>
    <row r="297" spans="1:15" x14ac:dyDescent="0.3">
      <c r="A297" s="5" t="s">
        <v>510</v>
      </c>
      <c r="B297" s="5" t="s">
        <v>915</v>
      </c>
      <c r="C297" s="5" t="s">
        <v>771</v>
      </c>
      <c r="D297" s="5" t="s">
        <v>61</v>
      </c>
      <c r="E297" s="5" t="s">
        <v>154</v>
      </c>
      <c r="F297" s="14">
        <v>-1</v>
      </c>
      <c r="G297" s="5" t="s">
        <v>63</v>
      </c>
      <c r="H297" s="5"/>
      <c r="I297" s="5">
        <v>20</v>
      </c>
      <c r="J297" s="5" t="s">
        <v>666</v>
      </c>
      <c r="K297" s="5" t="s">
        <v>916</v>
      </c>
      <c r="L297" s="5" t="s">
        <v>917</v>
      </c>
      <c r="M297" s="5"/>
      <c r="N297" s="5"/>
      <c r="O297" s="5"/>
    </row>
    <row r="298" spans="1:15" x14ac:dyDescent="0.3">
      <c r="A298" s="5" t="s">
        <v>510</v>
      </c>
      <c r="B298" s="5" t="s">
        <v>915</v>
      </c>
      <c r="C298" s="5" t="s">
        <v>771</v>
      </c>
      <c r="D298" s="5" t="s">
        <v>61</v>
      </c>
      <c r="E298" s="5" t="s">
        <v>154</v>
      </c>
      <c r="F298" s="14">
        <v>-1</v>
      </c>
      <c r="G298" s="5" t="s">
        <v>63</v>
      </c>
      <c r="H298" s="5"/>
      <c r="I298" s="5">
        <v>20</v>
      </c>
      <c r="J298" s="5" t="s">
        <v>667</v>
      </c>
      <c r="K298" s="5" t="s">
        <v>918</v>
      </c>
      <c r="L298" s="5" t="s">
        <v>919</v>
      </c>
      <c r="M298" s="5"/>
      <c r="N298" s="5"/>
      <c r="O298" s="5"/>
    </row>
    <row r="299" spans="1:15" x14ac:dyDescent="0.3">
      <c r="A299" s="5" t="s">
        <v>510</v>
      </c>
      <c r="B299" s="5" t="s">
        <v>915</v>
      </c>
      <c r="C299" s="5" t="s">
        <v>771</v>
      </c>
      <c r="D299" s="5" t="s">
        <v>61</v>
      </c>
      <c r="E299" s="5" t="s">
        <v>154</v>
      </c>
      <c r="F299" s="14">
        <v>-1</v>
      </c>
      <c r="G299" s="5" t="s">
        <v>63</v>
      </c>
      <c r="H299" s="5"/>
      <c r="I299" s="5">
        <v>20</v>
      </c>
      <c r="J299" s="5" t="s">
        <v>362</v>
      </c>
      <c r="K299" s="5" t="s">
        <v>920</v>
      </c>
      <c r="L299" s="5" t="s">
        <v>921</v>
      </c>
      <c r="M299" s="5"/>
      <c r="N299" s="5"/>
      <c r="O299" s="5"/>
    </row>
    <row r="300" spans="1:15" x14ac:dyDescent="0.3">
      <c r="A300" s="5" t="s">
        <v>510</v>
      </c>
      <c r="B300" s="5" t="s">
        <v>915</v>
      </c>
      <c r="C300" s="5" t="s">
        <v>771</v>
      </c>
      <c r="D300" s="5" t="s">
        <v>61</v>
      </c>
      <c r="E300" s="5" t="s">
        <v>154</v>
      </c>
      <c r="F300" s="14">
        <v>-1</v>
      </c>
      <c r="G300" s="5" t="s">
        <v>63</v>
      </c>
      <c r="H300" s="5"/>
      <c r="I300" s="5">
        <v>20</v>
      </c>
      <c r="J300" s="5" t="s">
        <v>922</v>
      </c>
      <c r="K300" s="5" t="s">
        <v>923</v>
      </c>
      <c r="L300" s="5" t="s">
        <v>924</v>
      </c>
      <c r="M300" s="5"/>
      <c r="N300" s="5"/>
      <c r="O300" s="5"/>
    </row>
    <row r="301" spans="1:15" x14ac:dyDescent="0.3">
      <c r="A301" s="5" t="s">
        <v>510</v>
      </c>
      <c r="B301" s="5" t="s">
        <v>915</v>
      </c>
      <c r="C301" s="5" t="s">
        <v>771</v>
      </c>
      <c r="D301" s="5" t="s">
        <v>61</v>
      </c>
      <c r="E301" s="5" t="s">
        <v>154</v>
      </c>
      <c r="F301" s="14">
        <v>-1</v>
      </c>
      <c r="G301" s="5" t="s">
        <v>63</v>
      </c>
      <c r="H301" s="5"/>
      <c r="I301" s="5">
        <v>20</v>
      </c>
      <c r="J301" s="5" t="s">
        <v>732</v>
      </c>
      <c r="K301" s="5" t="s">
        <v>925</v>
      </c>
      <c r="L301" s="5" t="s">
        <v>926</v>
      </c>
      <c r="M301" s="5"/>
      <c r="N301" s="5"/>
      <c r="O301" s="5" t="s">
        <v>377</v>
      </c>
    </row>
    <row r="302" spans="1:15" x14ac:dyDescent="0.3">
      <c r="A302" s="5" t="s">
        <v>510</v>
      </c>
      <c r="B302" s="5" t="s">
        <v>915</v>
      </c>
      <c r="C302" s="5" t="s">
        <v>771</v>
      </c>
      <c r="D302" s="5" t="s">
        <v>61</v>
      </c>
      <c r="E302" s="5" t="s">
        <v>154</v>
      </c>
      <c r="F302" s="14">
        <v>-1</v>
      </c>
      <c r="G302" s="5" t="s">
        <v>72</v>
      </c>
      <c r="H302" s="5" t="s">
        <v>73</v>
      </c>
      <c r="I302" s="5"/>
      <c r="J302" s="5" t="s">
        <v>927</v>
      </c>
      <c r="K302" s="5" t="s">
        <v>928</v>
      </c>
      <c r="L302" s="5" t="s">
        <v>929</v>
      </c>
      <c r="M302" s="5"/>
      <c r="N302" s="5"/>
      <c r="O302" s="5" t="s">
        <v>912</v>
      </c>
    </row>
    <row r="303" spans="1:15" x14ac:dyDescent="0.3">
      <c r="A303" s="5" t="s">
        <v>510</v>
      </c>
      <c r="B303" s="5" t="s">
        <v>915</v>
      </c>
      <c r="C303" s="5" t="s">
        <v>771</v>
      </c>
      <c r="D303" s="5" t="s">
        <v>61</v>
      </c>
      <c r="E303" s="5" t="s">
        <v>154</v>
      </c>
      <c r="F303" s="14">
        <v>-1</v>
      </c>
      <c r="G303" s="5" t="s">
        <v>72</v>
      </c>
      <c r="H303" s="5" t="s">
        <v>77</v>
      </c>
      <c r="I303" s="5"/>
      <c r="J303" s="5" t="s">
        <v>927</v>
      </c>
      <c r="K303" s="5" t="s">
        <v>930</v>
      </c>
      <c r="L303" s="5" t="s">
        <v>931</v>
      </c>
      <c r="M303" s="5"/>
      <c r="N303" s="5"/>
      <c r="O303" s="5" t="s">
        <v>912</v>
      </c>
    </row>
    <row r="304" spans="1:15" x14ac:dyDescent="0.3">
      <c r="A304" s="5" t="s">
        <v>510</v>
      </c>
      <c r="B304" s="5" t="s">
        <v>932</v>
      </c>
      <c r="C304" s="5" t="s">
        <v>771</v>
      </c>
      <c r="D304" s="5" t="s">
        <v>61</v>
      </c>
      <c r="E304" s="5" t="s">
        <v>154</v>
      </c>
      <c r="F304" s="14">
        <v>-1</v>
      </c>
      <c r="G304" s="5" t="s">
        <v>63</v>
      </c>
      <c r="H304" s="5"/>
      <c r="I304" s="5">
        <v>20</v>
      </c>
      <c r="J304" s="5" t="s">
        <v>666</v>
      </c>
      <c r="K304" s="5" t="s">
        <v>933</v>
      </c>
      <c r="L304" s="5" t="s">
        <v>934</v>
      </c>
      <c r="M304" s="5"/>
      <c r="N304" s="5"/>
      <c r="O304" s="5"/>
    </row>
    <row r="305" spans="1:15" x14ac:dyDescent="0.3">
      <c r="A305" s="5" t="s">
        <v>510</v>
      </c>
      <c r="B305" s="5" t="s">
        <v>932</v>
      </c>
      <c r="C305" s="5" t="s">
        <v>771</v>
      </c>
      <c r="D305" s="5" t="s">
        <v>61</v>
      </c>
      <c r="E305" s="5" t="s">
        <v>154</v>
      </c>
      <c r="F305" s="14">
        <v>-1</v>
      </c>
      <c r="G305" s="5" t="s">
        <v>63</v>
      </c>
      <c r="H305" s="5"/>
      <c r="I305" s="5">
        <v>20</v>
      </c>
      <c r="J305" s="5" t="s">
        <v>365</v>
      </c>
      <c r="K305" s="5" t="s">
        <v>935</v>
      </c>
      <c r="L305" s="5" t="s">
        <v>936</v>
      </c>
      <c r="M305" s="5"/>
      <c r="N305" s="5"/>
      <c r="O305" s="5"/>
    </row>
    <row r="306" spans="1:15" x14ac:dyDescent="0.3">
      <c r="A306" s="5" t="s">
        <v>510</v>
      </c>
      <c r="B306" s="5" t="s">
        <v>932</v>
      </c>
      <c r="C306" s="5" t="s">
        <v>771</v>
      </c>
      <c r="D306" s="5" t="s">
        <v>61</v>
      </c>
      <c r="E306" s="5" t="s">
        <v>154</v>
      </c>
      <c r="F306" s="14">
        <v>-1</v>
      </c>
      <c r="G306" s="5" t="s">
        <v>63</v>
      </c>
      <c r="H306" s="5"/>
      <c r="I306" s="5">
        <v>20</v>
      </c>
      <c r="J306" s="5" t="s">
        <v>362</v>
      </c>
      <c r="K306" s="5" t="s">
        <v>937</v>
      </c>
      <c r="L306" s="5" t="s">
        <v>938</v>
      </c>
      <c r="M306" s="5"/>
      <c r="N306" s="5"/>
      <c r="O306" s="5"/>
    </row>
    <row r="307" spans="1:15" x14ac:dyDescent="0.3">
      <c r="A307" s="5" t="s">
        <v>510</v>
      </c>
      <c r="B307" s="5" t="s">
        <v>932</v>
      </c>
      <c r="C307" s="5" t="s">
        <v>771</v>
      </c>
      <c r="D307" s="5" t="s">
        <v>61</v>
      </c>
      <c r="E307" s="5" t="s">
        <v>154</v>
      </c>
      <c r="F307" s="14">
        <v>-1</v>
      </c>
      <c r="G307" s="5" t="s">
        <v>63</v>
      </c>
      <c r="H307" s="5"/>
      <c r="I307" s="5">
        <v>20</v>
      </c>
      <c r="J307" s="5" t="s">
        <v>864</v>
      </c>
      <c r="K307" s="5" t="s">
        <v>939</v>
      </c>
      <c r="L307" s="5" t="s">
        <v>940</v>
      </c>
      <c r="M307" s="5"/>
      <c r="N307" s="5"/>
      <c r="O307" s="5"/>
    </row>
    <row r="308" spans="1:15" x14ac:dyDescent="0.3">
      <c r="A308" s="5" t="s">
        <v>510</v>
      </c>
      <c r="B308" s="5" t="s">
        <v>932</v>
      </c>
      <c r="C308" s="5" t="s">
        <v>771</v>
      </c>
      <c r="D308" s="5" t="s">
        <v>61</v>
      </c>
      <c r="E308" s="5" t="s">
        <v>154</v>
      </c>
      <c r="F308" s="14">
        <v>-1</v>
      </c>
      <c r="G308" s="5" t="s">
        <v>63</v>
      </c>
      <c r="H308" s="5"/>
      <c r="I308" s="5">
        <v>20</v>
      </c>
      <c r="J308" s="5" t="s">
        <v>941</v>
      </c>
      <c r="K308" s="5" t="s">
        <v>942</v>
      </c>
      <c r="L308" s="5" t="s">
        <v>943</v>
      </c>
      <c r="M308" s="5"/>
      <c r="N308" s="5"/>
      <c r="O308" s="5" t="s">
        <v>377</v>
      </c>
    </row>
    <row r="309" spans="1:15" x14ac:dyDescent="0.3">
      <c r="A309" s="5" t="s">
        <v>510</v>
      </c>
      <c r="B309" s="5" t="s">
        <v>932</v>
      </c>
      <c r="C309" s="5" t="s">
        <v>771</v>
      </c>
      <c r="D309" s="5" t="s">
        <v>61</v>
      </c>
      <c r="E309" s="5" t="s">
        <v>154</v>
      </c>
      <c r="F309" s="14">
        <v>-1</v>
      </c>
      <c r="G309" s="5" t="s">
        <v>72</v>
      </c>
      <c r="H309" s="5" t="s">
        <v>73</v>
      </c>
      <c r="I309" s="5"/>
      <c r="J309" s="5" t="s">
        <v>944</v>
      </c>
      <c r="K309" s="5" t="s">
        <v>945</v>
      </c>
      <c r="L309" s="5" t="s">
        <v>946</v>
      </c>
      <c r="M309" s="5"/>
      <c r="N309" s="5"/>
      <c r="O309" s="5" t="s">
        <v>947</v>
      </c>
    </row>
    <row r="310" spans="1:15" x14ac:dyDescent="0.3">
      <c r="A310" s="5" t="s">
        <v>510</v>
      </c>
      <c r="B310" s="5" t="s">
        <v>932</v>
      </c>
      <c r="C310" s="5" t="s">
        <v>771</v>
      </c>
      <c r="D310" s="5" t="s">
        <v>61</v>
      </c>
      <c r="E310" s="5" t="s">
        <v>154</v>
      </c>
      <c r="F310" s="14">
        <v>-1</v>
      </c>
      <c r="G310" s="5" t="s">
        <v>72</v>
      </c>
      <c r="H310" s="5" t="s">
        <v>77</v>
      </c>
      <c r="I310" s="5"/>
      <c r="J310" s="5" t="s">
        <v>944</v>
      </c>
      <c r="K310" s="5" t="s">
        <v>948</v>
      </c>
      <c r="L310" s="5" t="s">
        <v>949</v>
      </c>
      <c r="M310" s="5"/>
      <c r="N310" s="5"/>
      <c r="O310" s="5" t="s">
        <v>947</v>
      </c>
    </row>
    <row r="311" spans="1:15" x14ac:dyDescent="0.3">
      <c r="A311" s="5" t="s">
        <v>510</v>
      </c>
      <c r="B311" s="5" t="s">
        <v>950</v>
      </c>
      <c r="C311" s="5" t="s">
        <v>951</v>
      </c>
      <c r="D311" s="5" t="s">
        <v>61</v>
      </c>
      <c r="E311" s="5" t="s">
        <v>154</v>
      </c>
      <c r="F311" s="14">
        <v>-1</v>
      </c>
      <c r="G311" s="5" t="s">
        <v>63</v>
      </c>
      <c r="H311" s="5"/>
      <c r="I311" s="5">
        <v>25</v>
      </c>
      <c r="J311" s="5" t="s">
        <v>666</v>
      </c>
      <c r="K311" s="5" t="s">
        <v>952</v>
      </c>
      <c r="L311" s="5" t="s">
        <v>953</v>
      </c>
      <c r="M311" s="5"/>
      <c r="N311" s="5"/>
      <c r="O311" s="5"/>
    </row>
    <row r="312" spans="1:15" x14ac:dyDescent="0.3">
      <c r="A312" s="5" t="s">
        <v>510</v>
      </c>
      <c r="B312" s="5" t="s">
        <v>950</v>
      </c>
      <c r="C312" s="5" t="s">
        <v>951</v>
      </c>
      <c r="D312" s="5" t="s">
        <v>61</v>
      </c>
      <c r="E312" s="5" t="s">
        <v>154</v>
      </c>
      <c r="F312" s="14">
        <v>-1</v>
      </c>
      <c r="G312" s="5" t="s">
        <v>63</v>
      </c>
      <c r="H312" s="5"/>
      <c r="I312" s="5">
        <v>25</v>
      </c>
      <c r="J312" s="5" t="s">
        <v>667</v>
      </c>
      <c r="K312" s="5" t="s">
        <v>954</v>
      </c>
      <c r="L312" s="5" t="s">
        <v>955</v>
      </c>
      <c r="M312" s="5"/>
      <c r="N312" s="5"/>
      <c r="O312" s="5"/>
    </row>
    <row r="313" spans="1:15" x14ac:dyDescent="0.3">
      <c r="A313" s="5" t="s">
        <v>510</v>
      </c>
      <c r="B313" s="5" t="s">
        <v>950</v>
      </c>
      <c r="C313" s="5" t="s">
        <v>951</v>
      </c>
      <c r="D313" s="5" t="s">
        <v>61</v>
      </c>
      <c r="E313" s="5" t="s">
        <v>154</v>
      </c>
      <c r="F313" s="14">
        <v>-1</v>
      </c>
      <c r="G313" s="5" t="s">
        <v>63</v>
      </c>
      <c r="H313" s="5"/>
      <c r="I313" s="5">
        <v>25</v>
      </c>
      <c r="J313" s="5" t="s">
        <v>362</v>
      </c>
      <c r="K313" s="5" t="s">
        <v>956</v>
      </c>
      <c r="L313" s="5" t="s">
        <v>957</v>
      </c>
      <c r="M313" s="5"/>
      <c r="N313" s="5"/>
      <c r="O313" s="5"/>
    </row>
    <row r="314" spans="1:15" x14ac:dyDescent="0.3">
      <c r="A314" s="5" t="s">
        <v>510</v>
      </c>
      <c r="B314" s="5" t="s">
        <v>950</v>
      </c>
      <c r="C314" s="5" t="s">
        <v>951</v>
      </c>
      <c r="D314" s="5" t="s">
        <v>61</v>
      </c>
      <c r="E314" s="5" t="s">
        <v>154</v>
      </c>
      <c r="F314" s="14">
        <v>-1</v>
      </c>
      <c r="G314" s="5" t="s">
        <v>63</v>
      </c>
      <c r="H314" s="5"/>
      <c r="I314" s="5">
        <v>25</v>
      </c>
      <c r="J314" s="5" t="s">
        <v>697</v>
      </c>
      <c r="K314" s="5" t="s">
        <v>958</v>
      </c>
      <c r="L314" s="5" t="s">
        <v>959</v>
      </c>
      <c r="M314" s="5"/>
      <c r="N314" s="5"/>
      <c r="O314" s="5" t="s">
        <v>738</v>
      </c>
    </row>
    <row r="315" spans="1:15" x14ac:dyDescent="0.3">
      <c r="A315" s="5" t="s">
        <v>510</v>
      </c>
      <c r="B315" s="5" t="s">
        <v>960</v>
      </c>
      <c r="C315" s="5" t="s">
        <v>961</v>
      </c>
      <c r="D315" s="5" t="s">
        <v>61</v>
      </c>
      <c r="E315" s="5" t="s">
        <v>154</v>
      </c>
      <c r="F315" s="14">
        <v>-1</v>
      </c>
      <c r="G315" s="5" t="s">
        <v>63</v>
      </c>
      <c r="H315" s="5"/>
      <c r="I315" s="5">
        <v>20</v>
      </c>
      <c r="J315" s="5" t="s">
        <v>666</v>
      </c>
      <c r="K315" s="5" t="s">
        <v>962</v>
      </c>
      <c r="L315" s="5" t="s">
        <v>963</v>
      </c>
      <c r="M315" s="5"/>
      <c r="N315" s="5"/>
      <c r="O315" s="5"/>
    </row>
    <row r="316" spans="1:15" x14ac:dyDescent="0.3">
      <c r="A316" s="5" t="s">
        <v>510</v>
      </c>
      <c r="B316" s="5" t="s">
        <v>960</v>
      </c>
      <c r="C316" s="5" t="s">
        <v>961</v>
      </c>
      <c r="D316" s="5" t="s">
        <v>61</v>
      </c>
      <c r="E316" s="5" t="s">
        <v>154</v>
      </c>
      <c r="F316" s="14">
        <v>-1</v>
      </c>
      <c r="G316" s="5" t="s">
        <v>63</v>
      </c>
      <c r="H316" s="5"/>
      <c r="I316" s="5">
        <v>20</v>
      </c>
      <c r="J316" s="5" t="s">
        <v>667</v>
      </c>
      <c r="K316" s="5" t="s">
        <v>964</v>
      </c>
      <c r="L316" s="5" t="s">
        <v>965</v>
      </c>
      <c r="M316" s="5"/>
      <c r="N316" s="5"/>
      <c r="O316" s="5"/>
    </row>
    <row r="317" spans="1:15" x14ac:dyDescent="0.3">
      <c r="A317" s="5" t="s">
        <v>510</v>
      </c>
      <c r="B317" s="5" t="s">
        <v>960</v>
      </c>
      <c r="C317" s="5" t="s">
        <v>961</v>
      </c>
      <c r="D317" s="5" t="s">
        <v>61</v>
      </c>
      <c r="E317" s="5" t="s">
        <v>154</v>
      </c>
      <c r="F317" s="14">
        <v>-1</v>
      </c>
      <c r="G317" s="5" t="s">
        <v>63</v>
      </c>
      <c r="H317" s="5"/>
      <c r="I317" s="5">
        <v>20</v>
      </c>
      <c r="J317" s="5" t="s">
        <v>362</v>
      </c>
      <c r="K317" s="5" t="s">
        <v>966</v>
      </c>
      <c r="L317" s="5" t="s">
        <v>967</v>
      </c>
      <c r="M317" s="5"/>
      <c r="N317" s="5"/>
      <c r="O317" s="5"/>
    </row>
    <row r="318" spans="1:15" x14ac:dyDescent="0.3">
      <c r="A318" s="5" t="s">
        <v>510</v>
      </c>
      <c r="B318" s="5" t="s">
        <v>960</v>
      </c>
      <c r="C318" s="5" t="s">
        <v>961</v>
      </c>
      <c r="D318" s="5" t="s">
        <v>61</v>
      </c>
      <c r="E318" s="5" t="s">
        <v>154</v>
      </c>
      <c r="F318" s="14">
        <v>-1</v>
      </c>
      <c r="G318" s="5" t="s">
        <v>63</v>
      </c>
      <c r="H318" s="5"/>
      <c r="I318" s="5">
        <v>20</v>
      </c>
      <c r="J318" s="5" t="s">
        <v>968</v>
      </c>
      <c r="K318" s="5" t="s">
        <v>969</v>
      </c>
      <c r="L318" s="5" t="s">
        <v>970</v>
      </c>
      <c r="M318" s="5"/>
      <c r="N318" s="5"/>
      <c r="O318" s="5"/>
    </row>
    <row r="319" spans="1:15" x14ac:dyDescent="0.3">
      <c r="A319" s="5" t="s">
        <v>510</v>
      </c>
      <c r="B319" s="5" t="s">
        <v>960</v>
      </c>
      <c r="C319" s="5" t="s">
        <v>961</v>
      </c>
      <c r="D319" s="5" t="s">
        <v>61</v>
      </c>
      <c r="E319" s="5" t="s">
        <v>154</v>
      </c>
      <c r="F319" s="14">
        <v>-1</v>
      </c>
      <c r="G319" s="5" t="s">
        <v>63</v>
      </c>
      <c r="H319" s="5"/>
      <c r="I319" s="5">
        <v>20</v>
      </c>
      <c r="J319" s="5" t="s">
        <v>971</v>
      </c>
      <c r="K319" s="5" t="s">
        <v>972</v>
      </c>
      <c r="L319" s="5" t="s">
        <v>973</v>
      </c>
      <c r="M319" s="5"/>
      <c r="N319" s="5"/>
      <c r="O319" s="5" t="s">
        <v>377</v>
      </c>
    </row>
    <row r="320" spans="1:15" x14ac:dyDescent="0.3">
      <c r="A320" s="5" t="s">
        <v>510</v>
      </c>
      <c r="B320" s="5" t="s">
        <v>960</v>
      </c>
      <c r="C320" s="5" t="s">
        <v>961</v>
      </c>
      <c r="D320" s="5" t="s">
        <v>61</v>
      </c>
      <c r="E320" s="5" t="s">
        <v>154</v>
      </c>
      <c r="F320" s="14">
        <v>-1</v>
      </c>
      <c r="G320" s="5" t="s">
        <v>72</v>
      </c>
      <c r="H320" s="5" t="s">
        <v>73</v>
      </c>
      <c r="I320" s="5"/>
      <c r="J320" s="5" t="s">
        <v>974</v>
      </c>
      <c r="K320" s="5" t="s">
        <v>975</v>
      </c>
      <c r="L320" s="5" t="s">
        <v>976</v>
      </c>
      <c r="M320" s="5"/>
      <c r="N320" s="5"/>
      <c r="O320" s="5" t="s">
        <v>977</v>
      </c>
    </row>
    <row r="321" spans="1:15" x14ac:dyDescent="0.3">
      <c r="A321" s="5" t="s">
        <v>510</v>
      </c>
      <c r="B321" s="5" t="s">
        <v>960</v>
      </c>
      <c r="C321" s="5" t="s">
        <v>961</v>
      </c>
      <c r="D321" s="5" t="s">
        <v>61</v>
      </c>
      <c r="E321" s="5" t="s">
        <v>154</v>
      </c>
      <c r="F321" s="14">
        <v>-1</v>
      </c>
      <c r="G321" s="5" t="s">
        <v>72</v>
      </c>
      <c r="H321" s="5" t="s">
        <v>77</v>
      </c>
      <c r="I321" s="5"/>
      <c r="J321" s="5" t="s">
        <v>974</v>
      </c>
      <c r="K321" s="5" t="s">
        <v>978</v>
      </c>
      <c r="L321" s="5" t="s">
        <v>979</v>
      </c>
      <c r="M321" s="5"/>
      <c r="N321" s="5"/>
      <c r="O321" s="5" t="s">
        <v>977</v>
      </c>
    </row>
    <row r="322" spans="1:15" x14ac:dyDescent="0.3">
      <c r="A322" s="5" t="s">
        <v>248</v>
      </c>
      <c r="B322" s="5" t="s">
        <v>982</v>
      </c>
      <c r="C322" s="5" t="s">
        <v>630</v>
      </c>
      <c r="D322" s="5" t="s">
        <v>61</v>
      </c>
      <c r="E322" s="5" t="s">
        <v>154</v>
      </c>
      <c r="F322" s="14">
        <v>-1</v>
      </c>
      <c r="G322" s="5" t="s">
        <v>63</v>
      </c>
      <c r="H322" s="5"/>
      <c r="I322" s="5">
        <v>20</v>
      </c>
      <c r="J322" s="5" t="s">
        <v>666</v>
      </c>
      <c r="K322" s="5" t="s">
        <v>983</v>
      </c>
      <c r="L322" s="5" t="s">
        <v>984</v>
      </c>
      <c r="M322" s="5"/>
      <c r="N322" s="5"/>
      <c r="O322" s="5"/>
    </row>
    <row r="323" spans="1:15" x14ac:dyDescent="0.3">
      <c r="A323" s="5" t="s">
        <v>248</v>
      </c>
      <c r="B323" s="5" t="s">
        <v>982</v>
      </c>
      <c r="C323" s="5" t="s">
        <v>630</v>
      </c>
      <c r="D323" s="5" t="s">
        <v>61</v>
      </c>
      <c r="E323" s="5" t="s">
        <v>154</v>
      </c>
      <c r="F323" s="14">
        <v>-1</v>
      </c>
      <c r="G323" s="5" t="s">
        <v>63</v>
      </c>
      <c r="H323" s="5"/>
      <c r="I323" s="5">
        <v>20</v>
      </c>
      <c r="J323" s="5" t="s">
        <v>667</v>
      </c>
      <c r="K323" s="5" t="s">
        <v>985</v>
      </c>
      <c r="L323" s="5" t="s">
        <v>986</v>
      </c>
      <c r="M323" s="5"/>
      <c r="N323" s="5"/>
      <c r="O323" s="5"/>
    </row>
    <row r="324" spans="1:15" x14ac:dyDescent="0.3">
      <c r="A324" s="5" t="s">
        <v>248</v>
      </c>
      <c r="B324" s="5" t="s">
        <v>982</v>
      </c>
      <c r="C324" s="5" t="s">
        <v>630</v>
      </c>
      <c r="D324" s="5" t="s">
        <v>61</v>
      </c>
      <c r="E324" s="5" t="s">
        <v>154</v>
      </c>
      <c r="F324" s="14">
        <v>-1</v>
      </c>
      <c r="G324" s="5" t="s">
        <v>63</v>
      </c>
      <c r="H324" s="5"/>
      <c r="I324" s="5">
        <v>20</v>
      </c>
      <c r="J324" s="5" t="s">
        <v>362</v>
      </c>
      <c r="K324" s="5" t="s">
        <v>987</v>
      </c>
      <c r="L324" s="5" t="s">
        <v>988</v>
      </c>
      <c r="M324" s="5"/>
      <c r="N324" s="5"/>
      <c r="O324" s="5"/>
    </row>
    <row r="325" spans="1:15" x14ac:dyDescent="0.3">
      <c r="A325" s="5" t="s">
        <v>248</v>
      </c>
      <c r="B325" s="5" t="s">
        <v>982</v>
      </c>
      <c r="C325" s="5" t="s">
        <v>630</v>
      </c>
      <c r="D325" s="5" t="s">
        <v>61</v>
      </c>
      <c r="E325" s="5" t="s">
        <v>154</v>
      </c>
      <c r="F325" s="14">
        <v>-1</v>
      </c>
      <c r="G325" s="5" t="s">
        <v>63</v>
      </c>
      <c r="H325" s="5"/>
      <c r="I325" s="5">
        <v>20</v>
      </c>
      <c r="J325" s="5" t="s">
        <v>697</v>
      </c>
      <c r="K325" s="5" t="s">
        <v>989</v>
      </c>
      <c r="L325" s="5" t="s">
        <v>990</v>
      </c>
      <c r="M325" s="5"/>
      <c r="N325" s="5"/>
      <c r="O325" s="5"/>
    </row>
    <row r="326" spans="1:15" x14ac:dyDescent="0.3">
      <c r="A326" s="5" t="s">
        <v>248</v>
      </c>
      <c r="B326" s="5" t="s">
        <v>982</v>
      </c>
      <c r="C326" s="5" t="s">
        <v>630</v>
      </c>
      <c r="D326" s="5" t="s">
        <v>61</v>
      </c>
      <c r="E326" s="5" t="s">
        <v>154</v>
      </c>
      <c r="F326" s="14">
        <v>-1</v>
      </c>
      <c r="G326" s="5" t="s">
        <v>63</v>
      </c>
      <c r="H326" s="5"/>
      <c r="I326" s="5">
        <v>20</v>
      </c>
      <c r="J326" s="5" t="s">
        <v>681</v>
      </c>
      <c r="K326" s="5" t="s">
        <v>991</v>
      </c>
      <c r="L326" s="5" t="s">
        <v>992</v>
      </c>
      <c r="M326" s="5"/>
      <c r="N326" s="5"/>
      <c r="O326" s="5" t="s">
        <v>377</v>
      </c>
    </row>
    <row r="327" spans="1:15" x14ac:dyDescent="0.3">
      <c r="A327" s="5" t="s">
        <v>248</v>
      </c>
      <c r="B327" s="5" t="s">
        <v>982</v>
      </c>
      <c r="C327" s="5" t="s">
        <v>630</v>
      </c>
      <c r="D327" s="5" t="s">
        <v>61</v>
      </c>
      <c r="E327" s="5" t="s">
        <v>154</v>
      </c>
      <c r="F327" s="14">
        <v>-1</v>
      </c>
      <c r="G327" s="5" t="s">
        <v>72</v>
      </c>
      <c r="H327" s="5" t="s">
        <v>73</v>
      </c>
      <c r="I327" s="5"/>
      <c r="J327" s="5" t="s">
        <v>993</v>
      </c>
      <c r="K327" s="5" t="s">
        <v>994</v>
      </c>
      <c r="L327" s="5" t="s">
        <v>995</v>
      </c>
      <c r="M327" s="5"/>
      <c r="N327" s="5"/>
      <c r="O327" s="5" t="s">
        <v>682</v>
      </c>
    </row>
    <row r="328" spans="1:15" x14ac:dyDescent="0.3">
      <c r="A328" s="5" t="s">
        <v>248</v>
      </c>
      <c r="B328" s="5" t="s">
        <v>982</v>
      </c>
      <c r="C328" s="5" t="s">
        <v>630</v>
      </c>
      <c r="D328" s="5" t="s">
        <v>61</v>
      </c>
      <c r="E328" s="5" t="s">
        <v>154</v>
      </c>
      <c r="F328" s="14">
        <v>-1</v>
      </c>
      <c r="G328" s="5" t="s">
        <v>72</v>
      </c>
      <c r="H328" s="5" t="s">
        <v>77</v>
      </c>
      <c r="I328" s="5"/>
      <c r="J328" s="5" t="s">
        <v>993</v>
      </c>
      <c r="K328" s="5" t="s">
        <v>996</v>
      </c>
      <c r="L328" s="5" t="s">
        <v>997</v>
      </c>
      <c r="M328" s="5"/>
      <c r="N328" s="5"/>
      <c r="O328" s="5" t="s">
        <v>682</v>
      </c>
    </row>
    <row r="329" spans="1:15" x14ac:dyDescent="0.3">
      <c r="A329" s="5" t="s">
        <v>248</v>
      </c>
      <c r="B329" s="5" t="s">
        <v>998</v>
      </c>
      <c r="C329" s="5" t="s">
        <v>999</v>
      </c>
      <c r="D329" s="5" t="s">
        <v>61</v>
      </c>
      <c r="E329" s="5" t="s">
        <v>154</v>
      </c>
      <c r="F329" s="14">
        <v>-1</v>
      </c>
      <c r="G329" s="5" t="s">
        <v>63</v>
      </c>
      <c r="H329" s="5"/>
      <c r="I329" s="5">
        <v>25</v>
      </c>
      <c r="J329" s="5" t="s">
        <v>666</v>
      </c>
      <c r="K329" s="5" t="s">
        <v>772</v>
      </c>
      <c r="L329" s="5" t="s">
        <v>1000</v>
      </c>
      <c r="M329" s="5"/>
      <c r="N329" s="5"/>
      <c r="O329" s="5"/>
    </row>
    <row r="330" spans="1:15" x14ac:dyDescent="0.3">
      <c r="A330" s="5" t="s">
        <v>248</v>
      </c>
      <c r="B330" s="5" t="s">
        <v>998</v>
      </c>
      <c r="C330" s="5" t="s">
        <v>999</v>
      </c>
      <c r="D330" s="5" t="s">
        <v>61</v>
      </c>
      <c r="E330" s="5" t="s">
        <v>154</v>
      </c>
      <c r="F330" s="14">
        <v>-1</v>
      </c>
      <c r="G330" s="5" t="s">
        <v>63</v>
      </c>
      <c r="H330" s="5"/>
      <c r="I330" s="5">
        <v>25</v>
      </c>
      <c r="J330" s="5" t="s">
        <v>667</v>
      </c>
      <c r="K330" s="5" t="s">
        <v>1001</v>
      </c>
      <c r="L330" s="5" t="s">
        <v>1002</v>
      </c>
      <c r="M330" s="5"/>
      <c r="N330" s="5"/>
      <c r="O330" s="5"/>
    </row>
    <row r="331" spans="1:15" x14ac:dyDescent="0.3">
      <c r="A331" s="5" t="s">
        <v>248</v>
      </c>
      <c r="B331" s="5" t="s">
        <v>998</v>
      </c>
      <c r="C331" s="5" t="s">
        <v>999</v>
      </c>
      <c r="D331" s="5" t="s">
        <v>61</v>
      </c>
      <c r="E331" s="5" t="s">
        <v>154</v>
      </c>
      <c r="F331" s="14">
        <v>-1</v>
      </c>
      <c r="G331" s="5" t="s">
        <v>63</v>
      </c>
      <c r="H331" s="5"/>
      <c r="I331" s="5">
        <v>25</v>
      </c>
      <c r="J331" s="5" t="s">
        <v>362</v>
      </c>
      <c r="K331" s="5" t="s">
        <v>1003</v>
      </c>
      <c r="L331" s="5" t="s">
        <v>1004</v>
      </c>
      <c r="M331" s="5"/>
      <c r="N331" s="5"/>
      <c r="O331" s="5"/>
    </row>
    <row r="332" spans="1:15" x14ac:dyDescent="0.3">
      <c r="A332" s="5" t="s">
        <v>248</v>
      </c>
      <c r="B332" s="5" t="s">
        <v>998</v>
      </c>
      <c r="C332" s="5" t="s">
        <v>999</v>
      </c>
      <c r="D332" s="5" t="s">
        <v>61</v>
      </c>
      <c r="E332" s="5" t="s">
        <v>154</v>
      </c>
      <c r="F332" s="14">
        <v>-1</v>
      </c>
      <c r="G332" s="5" t="s">
        <v>63</v>
      </c>
      <c r="H332" s="5"/>
      <c r="I332" s="5">
        <v>25</v>
      </c>
      <c r="J332" s="5" t="s">
        <v>697</v>
      </c>
      <c r="K332" s="5" t="s">
        <v>1005</v>
      </c>
      <c r="L332" s="5" t="s">
        <v>1006</v>
      </c>
      <c r="M332" s="5"/>
      <c r="N332" s="5"/>
      <c r="O332" s="5" t="s">
        <v>1007</v>
      </c>
    </row>
    <row r="333" spans="1:15" x14ac:dyDescent="0.3">
      <c r="A333" s="5" t="s">
        <v>248</v>
      </c>
      <c r="B333" s="5" t="s">
        <v>1008</v>
      </c>
      <c r="C333" s="5" t="s">
        <v>1009</v>
      </c>
      <c r="D333" s="5" t="s">
        <v>61</v>
      </c>
      <c r="E333" s="5" t="s">
        <v>154</v>
      </c>
      <c r="F333" s="14">
        <v>-1</v>
      </c>
      <c r="G333" s="5" t="s">
        <v>63</v>
      </c>
      <c r="H333" s="5"/>
      <c r="I333" s="5">
        <v>20</v>
      </c>
      <c r="J333" s="5" t="s">
        <v>666</v>
      </c>
      <c r="K333" s="5" t="s">
        <v>1010</v>
      </c>
      <c r="L333" s="5" t="s">
        <v>1011</v>
      </c>
      <c r="M333" s="5"/>
      <c r="N333" s="5"/>
      <c r="O333" s="5"/>
    </row>
    <row r="334" spans="1:15" x14ac:dyDescent="0.3">
      <c r="A334" s="5" t="s">
        <v>248</v>
      </c>
      <c r="B334" s="5" t="s">
        <v>1008</v>
      </c>
      <c r="C334" s="5" t="s">
        <v>1009</v>
      </c>
      <c r="D334" s="5" t="s">
        <v>61</v>
      </c>
      <c r="E334" s="5" t="s">
        <v>154</v>
      </c>
      <c r="F334" s="14">
        <v>-1</v>
      </c>
      <c r="G334" s="5" t="s">
        <v>63</v>
      </c>
      <c r="H334" s="5"/>
      <c r="I334" s="5">
        <v>20</v>
      </c>
      <c r="J334" s="5" t="s">
        <v>667</v>
      </c>
      <c r="K334" s="5" t="s">
        <v>1012</v>
      </c>
      <c r="L334" s="5" t="s">
        <v>1013</v>
      </c>
      <c r="M334" s="5"/>
      <c r="N334" s="5"/>
      <c r="O334" s="5"/>
    </row>
    <row r="335" spans="1:15" x14ac:dyDescent="0.3">
      <c r="A335" s="5" t="s">
        <v>248</v>
      </c>
      <c r="B335" s="5" t="s">
        <v>1008</v>
      </c>
      <c r="C335" s="5" t="s">
        <v>1009</v>
      </c>
      <c r="D335" s="5" t="s">
        <v>61</v>
      </c>
      <c r="E335" s="5" t="s">
        <v>154</v>
      </c>
      <c r="F335" s="14">
        <v>-1</v>
      </c>
      <c r="G335" s="5" t="s">
        <v>63</v>
      </c>
      <c r="H335" s="5"/>
      <c r="I335" s="5">
        <v>20</v>
      </c>
      <c r="J335" s="5" t="s">
        <v>362</v>
      </c>
      <c r="K335" s="5" t="s">
        <v>1014</v>
      </c>
      <c r="L335" s="5" t="s">
        <v>1015</v>
      </c>
      <c r="M335" s="5"/>
      <c r="N335" s="5"/>
      <c r="O335" s="5"/>
    </row>
    <row r="336" spans="1:15" x14ac:dyDescent="0.3">
      <c r="A336" s="5" t="s">
        <v>248</v>
      </c>
      <c r="B336" s="5" t="s">
        <v>1008</v>
      </c>
      <c r="C336" s="5" t="s">
        <v>1009</v>
      </c>
      <c r="D336" s="5" t="s">
        <v>61</v>
      </c>
      <c r="E336" s="5" t="s">
        <v>154</v>
      </c>
      <c r="F336" s="14">
        <v>-1</v>
      </c>
      <c r="G336" s="5" t="s">
        <v>63</v>
      </c>
      <c r="H336" s="5"/>
      <c r="I336" s="5">
        <v>20</v>
      </c>
      <c r="J336" s="5" t="s">
        <v>1016</v>
      </c>
      <c r="K336" s="5" t="s">
        <v>1017</v>
      </c>
      <c r="L336" s="5" t="s">
        <v>1018</v>
      </c>
      <c r="M336" s="5"/>
      <c r="N336" s="5"/>
      <c r="O336" s="5"/>
    </row>
    <row r="337" spans="1:15" x14ac:dyDescent="0.3">
      <c r="A337" s="5" t="s">
        <v>248</v>
      </c>
      <c r="B337" s="5" t="s">
        <v>1008</v>
      </c>
      <c r="C337" s="5" t="s">
        <v>1009</v>
      </c>
      <c r="D337" s="5" t="s">
        <v>61</v>
      </c>
      <c r="E337" s="5" t="s">
        <v>154</v>
      </c>
      <c r="F337" s="14">
        <v>-1</v>
      </c>
      <c r="G337" s="5" t="s">
        <v>63</v>
      </c>
      <c r="H337" s="5"/>
      <c r="I337" s="5">
        <v>20</v>
      </c>
      <c r="J337" s="5" t="s">
        <v>1019</v>
      </c>
      <c r="K337" s="5" t="s">
        <v>1020</v>
      </c>
      <c r="L337" s="5" t="s">
        <v>1021</v>
      </c>
      <c r="M337" s="5"/>
      <c r="N337" s="5"/>
      <c r="O337" s="5" t="s">
        <v>377</v>
      </c>
    </row>
    <row r="338" spans="1:15" x14ac:dyDescent="0.3">
      <c r="A338" s="5" t="s">
        <v>248</v>
      </c>
      <c r="B338" s="5" t="s">
        <v>1008</v>
      </c>
      <c r="C338" s="5" t="s">
        <v>1009</v>
      </c>
      <c r="D338" s="5" t="s">
        <v>61</v>
      </c>
      <c r="E338" s="5" t="s">
        <v>154</v>
      </c>
      <c r="F338" s="14">
        <v>-1</v>
      </c>
      <c r="G338" s="5" t="s">
        <v>72</v>
      </c>
      <c r="H338" s="5" t="s">
        <v>73</v>
      </c>
      <c r="I338" s="5"/>
      <c r="J338" s="5" t="s">
        <v>1022</v>
      </c>
      <c r="K338" s="5" t="s">
        <v>1023</v>
      </c>
      <c r="L338" s="5" t="s">
        <v>1024</v>
      </c>
      <c r="M338" s="5"/>
      <c r="N338" s="5"/>
      <c r="O338" s="5" t="s">
        <v>1025</v>
      </c>
    </row>
    <row r="339" spans="1:15" x14ac:dyDescent="0.3">
      <c r="A339" s="5" t="s">
        <v>248</v>
      </c>
      <c r="B339" s="5" t="s">
        <v>1008</v>
      </c>
      <c r="C339" s="5" t="s">
        <v>1009</v>
      </c>
      <c r="D339" s="5" t="s">
        <v>61</v>
      </c>
      <c r="E339" s="5" t="s">
        <v>154</v>
      </c>
      <c r="F339" s="14">
        <v>-1</v>
      </c>
      <c r="G339" s="5" t="s">
        <v>72</v>
      </c>
      <c r="H339" s="5" t="s">
        <v>77</v>
      </c>
      <c r="I339" s="5"/>
      <c r="J339" s="5" t="s">
        <v>1022</v>
      </c>
      <c r="K339" s="5" t="s">
        <v>1026</v>
      </c>
      <c r="L339" s="5" t="s">
        <v>1027</v>
      </c>
      <c r="M339" s="5"/>
      <c r="N339" s="5"/>
      <c r="O339" s="5" t="s">
        <v>1025</v>
      </c>
    </row>
    <row r="340" spans="1:15" x14ac:dyDescent="0.3">
      <c r="A340" s="5" t="s">
        <v>248</v>
      </c>
      <c r="B340" s="5" t="s">
        <v>1028</v>
      </c>
      <c r="C340" s="5" t="s">
        <v>630</v>
      </c>
      <c r="D340" s="5" t="s">
        <v>61</v>
      </c>
      <c r="E340" s="5" t="s">
        <v>154</v>
      </c>
      <c r="F340" s="14">
        <v>-1</v>
      </c>
      <c r="G340" s="5" t="s">
        <v>63</v>
      </c>
      <c r="H340" s="5"/>
      <c r="I340" s="5">
        <v>20</v>
      </c>
      <c r="J340" s="5" t="s">
        <v>1029</v>
      </c>
      <c r="K340" s="5" t="s">
        <v>1030</v>
      </c>
      <c r="L340" s="5" t="s">
        <v>1031</v>
      </c>
      <c r="M340" s="5"/>
      <c r="N340" s="5"/>
      <c r="O340" s="5"/>
    </row>
    <row r="341" spans="1:15" x14ac:dyDescent="0.3">
      <c r="A341" s="5" t="s">
        <v>248</v>
      </c>
      <c r="B341" s="5" t="s">
        <v>1028</v>
      </c>
      <c r="C341" s="5" t="s">
        <v>630</v>
      </c>
      <c r="D341" s="5" t="s">
        <v>61</v>
      </c>
      <c r="E341" s="5" t="s">
        <v>154</v>
      </c>
      <c r="F341" s="14">
        <v>-1</v>
      </c>
      <c r="G341" s="5" t="s">
        <v>63</v>
      </c>
      <c r="H341" s="5"/>
      <c r="I341" s="5">
        <v>20</v>
      </c>
      <c r="J341" s="5" t="s">
        <v>666</v>
      </c>
      <c r="K341" s="5" t="s">
        <v>1032</v>
      </c>
      <c r="L341" s="5" t="s">
        <v>1033</v>
      </c>
      <c r="M341" s="5"/>
      <c r="N341" s="5"/>
      <c r="O341" s="5"/>
    </row>
    <row r="342" spans="1:15" x14ac:dyDescent="0.3">
      <c r="A342" s="5" t="s">
        <v>248</v>
      </c>
      <c r="B342" s="5" t="s">
        <v>1028</v>
      </c>
      <c r="C342" s="5" t="s">
        <v>630</v>
      </c>
      <c r="D342" s="5" t="s">
        <v>61</v>
      </c>
      <c r="E342" s="5" t="s">
        <v>154</v>
      </c>
      <c r="F342" s="14">
        <v>-1</v>
      </c>
      <c r="G342" s="5" t="s">
        <v>63</v>
      </c>
      <c r="H342" s="5"/>
      <c r="I342" s="5">
        <v>20</v>
      </c>
      <c r="J342" s="5" t="s">
        <v>667</v>
      </c>
      <c r="K342" s="5" t="s">
        <v>1034</v>
      </c>
      <c r="L342" s="5" t="s">
        <v>1035</v>
      </c>
      <c r="M342" s="5"/>
      <c r="N342" s="5"/>
      <c r="O342" s="5"/>
    </row>
    <row r="343" spans="1:15" x14ac:dyDescent="0.3">
      <c r="A343" s="5" t="s">
        <v>248</v>
      </c>
      <c r="B343" s="5" t="s">
        <v>1028</v>
      </c>
      <c r="C343" s="5" t="s">
        <v>630</v>
      </c>
      <c r="D343" s="5" t="s">
        <v>61</v>
      </c>
      <c r="E343" s="5" t="s">
        <v>154</v>
      </c>
      <c r="F343" s="14">
        <v>-1</v>
      </c>
      <c r="G343" s="5" t="s">
        <v>63</v>
      </c>
      <c r="H343" s="5"/>
      <c r="I343" s="5">
        <v>20</v>
      </c>
      <c r="J343" s="5" t="s">
        <v>362</v>
      </c>
      <c r="K343" s="5" t="s">
        <v>1036</v>
      </c>
      <c r="L343" s="5" t="s">
        <v>1037</v>
      </c>
      <c r="M343" s="5"/>
      <c r="N343" s="5"/>
      <c r="O343" s="5"/>
    </row>
    <row r="344" spans="1:15" x14ac:dyDescent="0.3">
      <c r="A344" s="5" t="s">
        <v>248</v>
      </c>
      <c r="B344" s="5" t="s">
        <v>1028</v>
      </c>
      <c r="C344" s="5" t="s">
        <v>630</v>
      </c>
      <c r="D344" s="5" t="s">
        <v>61</v>
      </c>
      <c r="E344" s="5" t="s">
        <v>154</v>
      </c>
      <c r="F344" s="14">
        <v>-1</v>
      </c>
      <c r="G344" s="5" t="s">
        <v>63</v>
      </c>
      <c r="H344" s="5"/>
      <c r="I344" s="5">
        <v>20</v>
      </c>
      <c r="J344" s="5" t="s">
        <v>1038</v>
      </c>
      <c r="K344" s="5" t="s">
        <v>1039</v>
      </c>
      <c r="L344" s="5" t="s">
        <v>1040</v>
      </c>
      <c r="M344" s="5"/>
      <c r="N344" s="5"/>
      <c r="O344" s="5" t="s">
        <v>377</v>
      </c>
    </row>
    <row r="345" spans="1:15" x14ac:dyDescent="0.3">
      <c r="A345" s="5" t="s">
        <v>248</v>
      </c>
      <c r="B345" s="5" t="s">
        <v>1028</v>
      </c>
      <c r="C345" s="5" t="s">
        <v>630</v>
      </c>
      <c r="D345" s="5" t="s">
        <v>61</v>
      </c>
      <c r="E345" s="5" t="s">
        <v>154</v>
      </c>
      <c r="F345" s="14">
        <v>-1</v>
      </c>
      <c r="G345" s="5" t="s">
        <v>72</v>
      </c>
      <c r="H345" s="5" t="s">
        <v>73</v>
      </c>
      <c r="I345" s="5"/>
      <c r="J345" s="5" t="s">
        <v>1041</v>
      </c>
      <c r="K345" s="5" t="s">
        <v>1042</v>
      </c>
      <c r="L345" s="5" t="s">
        <v>1043</v>
      </c>
      <c r="M345" s="5"/>
      <c r="N345" s="5"/>
      <c r="O345" s="5" t="s">
        <v>1044</v>
      </c>
    </row>
    <row r="346" spans="1:15" x14ac:dyDescent="0.3">
      <c r="A346" s="5" t="s">
        <v>248</v>
      </c>
      <c r="B346" s="5" t="s">
        <v>1028</v>
      </c>
      <c r="C346" s="5" t="s">
        <v>630</v>
      </c>
      <c r="D346" s="5" t="s">
        <v>61</v>
      </c>
      <c r="E346" s="5" t="s">
        <v>154</v>
      </c>
      <c r="F346" s="14">
        <v>-1</v>
      </c>
      <c r="G346" s="5" t="s">
        <v>72</v>
      </c>
      <c r="H346" s="5" t="s">
        <v>77</v>
      </c>
      <c r="I346" s="5"/>
      <c r="J346" s="5" t="s">
        <v>1041</v>
      </c>
      <c r="K346" s="5" t="s">
        <v>1045</v>
      </c>
      <c r="L346" s="5" t="s">
        <v>1046</v>
      </c>
      <c r="M346" s="5"/>
      <c r="N346" s="5"/>
      <c r="O346" s="5" t="s">
        <v>1044</v>
      </c>
    </row>
    <row r="347" spans="1:15" x14ac:dyDescent="0.3">
      <c r="A347" s="5" t="s">
        <v>248</v>
      </c>
      <c r="B347" s="5" t="s">
        <v>1047</v>
      </c>
      <c r="C347" s="5" t="s">
        <v>393</v>
      </c>
      <c r="D347" s="5" t="s">
        <v>61</v>
      </c>
      <c r="E347" s="5" t="s">
        <v>154</v>
      </c>
      <c r="F347" s="14">
        <v>-1</v>
      </c>
      <c r="G347" s="5" t="s">
        <v>63</v>
      </c>
      <c r="H347" s="5"/>
      <c r="I347" s="5">
        <v>20</v>
      </c>
      <c r="J347" s="5" t="s">
        <v>666</v>
      </c>
      <c r="K347" s="5" t="s">
        <v>1048</v>
      </c>
      <c r="L347" s="5" t="s">
        <v>1049</v>
      </c>
      <c r="M347" s="5"/>
      <c r="N347" s="5"/>
      <c r="O347" s="5"/>
    </row>
    <row r="348" spans="1:15" x14ac:dyDescent="0.3">
      <c r="A348" s="5" t="s">
        <v>248</v>
      </c>
      <c r="B348" s="5" t="s">
        <v>1047</v>
      </c>
      <c r="C348" s="5" t="s">
        <v>393</v>
      </c>
      <c r="D348" s="5" t="s">
        <v>61</v>
      </c>
      <c r="E348" s="5" t="s">
        <v>154</v>
      </c>
      <c r="F348" s="14">
        <v>-1</v>
      </c>
      <c r="G348" s="5" t="s">
        <v>63</v>
      </c>
      <c r="H348" s="5"/>
      <c r="I348" s="5">
        <v>20</v>
      </c>
      <c r="J348" s="5" t="s">
        <v>667</v>
      </c>
      <c r="K348" s="5" t="s">
        <v>1050</v>
      </c>
      <c r="L348" s="5" t="s">
        <v>1051</v>
      </c>
      <c r="M348" s="5"/>
      <c r="N348" s="5"/>
      <c r="O348" s="5"/>
    </row>
    <row r="349" spans="1:15" x14ac:dyDescent="0.3">
      <c r="A349" s="5" t="s">
        <v>248</v>
      </c>
      <c r="B349" s="5" t="s">
        <v>1047</v>
      </c>
      <c r="C349" s="5" t="s">
        <v>393</v>
      </c>
      <c r="D349" s="5" t="s">
        <v>61</v>
      </c>
      <c r="E349" s="5" t="s">
        <v>154</v>
      </c>
      <c r="F349" s="14">
        <v>-1</v>
      </c>
      <c r="G349" s="5" t="s">
        <v>63</v>
      </c>
      <c r="H349" s="5"/>
      <c r="I349" s="5">
        <v>20</v>
      </c>
      <c r="J349" s="5" t="s">
        <v>362</v>
      </c>
      <c r="K349" s="5" t="s">
        <v>1052</v>
      </c>
      <c r="L349" s="5" t="s">
        <v>1053</v>
      </c>
      <c r="M349" s="5"/>
      <c r="N349" s="5"/>
      <c r="O349" s="5"/>
    </row>
    <row r="350" spans="1:15" x14ac:dyDescent="0.3">
      <c r="A350" s="5" t="s">
        <v>248</v>
      </c>
      <c r="B350" s="5" t="s">
        <v>1047</v>
      </c>
      <c r="C350" s="5" t="s">
        <v>393</v>
      </c>
      <c r="D350" s="5" t="s">
        <v>61</v>
      </c>
      <c r="E350" s="5" t="s">
        <v>154</v>
      </c>
      <c r="F350" s="14">
        <v>-1</v>
      </c>
      <c r="G350" s="5" t="s">
        <v>63</v>
      </c>
      <c r="H350" s="5"/>
      <c r="I350" s="5">
        <v>20</v>
      </c>
      <c r="J350" s="5" t="s">
        <v>1054</v>
      </c>
      <c r="K350" s="5" t="s">
        <v>1055</v>
      </c>
      <c r="L350" s="5" t="s">
        <v>1056</v>
      </c>
      <c r="M350" s="5"/>
      <c r="N350" s="5"/>
      <c r="O350" s="5"/>
    </row>
    <row r="351" spans="1:15" x14ac:dyDescent="0.3">
      <c r="A351" s="5" t="s">
        <v>248</v>
      </c>
      <c r="B351" s="5" t="s">
        <v>1047</v>
      </c>
      <c r="C351" s="5" t="s">
        <v>393</v>
      </c>
      <c r="D351" s="5" t="s">
        <v>61</v>
      </c>
      <c r="E351" s="5" t="s">
        <v>154</v>
      </c>
      <c r="F351" s="14">
        <v>-1</v>
      </c>
      <c r="G351" s="5" t="s">
        <v>63</v>
      </c>
      <c r="H351" s="5"/>
      <c r="I351" s="5">
        <v>20</v>
      </c>
      <c r="J351" s="5" t="s">
        <v>1057</v>
      </c>
      <c r="K351" s="5" t="s">
        <v>1058</v>
      </c>
      <c r="L351" s="5" t="s">
        <v>1059</v>
      </c>
      <c r="M351" s="5"/>
      <c r="N351" s="5"/>
      <c r="O351" s="5" t="s">
        <v>377</v>
      </c>
    </row>
    <row r="352" spans="1:15" x14ac:dyDescent="0.3">
      <c r="A352" s="5" t="s">
        <v>248</v>
      </c>
      <c r="B352" s="5" t="s">
        <v>1047</v>
      </c>
      <c r="C352" s="5" t="s">
        <v>393</v>
      </c>
      <c r="D352" s="5" t="s">
        <v>61</v>
      </c>
      <c r="E352" s="5" t="s">
        <v>154</v>
      </c>
      <c r="F352" s="14">
        <v>-1</v>
      </c>
      <c r="G352" s="5" t="s">
        <v>72</v>
      </c>
      <c r="H352" s="5" t="s">
        <v>73</v>
      </c>
      <c r="I352" s="5"/>
      <c r="J352" s="5" t="s">
        <v>1060</v>
      </c>
      <c r="K352" s="5" t="s">
        <v>1061</v>
      </c>
      <c r="L352" s="5" t="s">
        <v>1062</v>
      </c>
      <c r="M352" s="5"/>
      <c r="N352" s="5"/>
      <c r="O352" s="5" t="s">
        <v>1063</v>
      </c>
    </row>
    <row r="353" spans="1:15" x14ac:dyDescent="0.3">
      <c r="A353" s="5" t="s">
        <v>248</v>
      </c>
      <c r="B353" s="5" t="s">
        <v>1047</v>
      </c>
      <c r="C353" s="5" t="s">
        <v>393</v>
      </c>
      <c r="D353" s="5" t="s">
        <v>61</v>
      </c>
      <c r="E353" s="5" t="s">
        <v>154</v>
      </c>
      <c r="F353" s="14">
        <v>-1</v>
      </c>
      <c r="G353" s="5" t="s">
        <v>72</v>
      </c>
      <c r="H353" s="5" t="s">
        <v>77</v>
      </c>
      <c r="I353" s="5"/>
      <c r="J353" s="5" t="s">
        <v>1060</v>
      </c>
      <c r="K353" s="5" t="s">
        <v>1064</v>
      </c>
      <c r="L353" s="5" t="s">
        <v>1065</v>
      </c>
      <c r="M353" s="5"/>
      <c r="N353" s="5"/>
      <c r="O353" s="5" t="s">
        <v>1063</v>
      </c>
    </row>
    <row r="354" spans="1:15" x14ac:dyDescent="0.3">
      <c r="A354" s="5" t="s">
        <v>248</v>
      </c>
      <c r="B354" s="5" t="s">
        <v>1066</v>
      </c>
      <c r="C354" s="5" t="s">
        <v>1067</v>
      </c>
      <c r="D354" s="5" t="s">
        <v>61</v>
      </c>
      <c r="E354" s="5" t="s">
        <v>154</v>
      </c>
      <c r="F354" s="14">
        <v>-1</v>
      </c>
      <c r="G354" s="5" t="s">
        <v>63</v>
      </c>
      <c r="H354" s="5"/>
      <c r="I354" s="5">
        <v>20</v>
      </c>
      <c r="J354" s="5" t="s">
        <v>666</v>
      </c>
      <c r="K354" s="5" t="s">
        <v>1068</v>
      </c>
      <c r="L354" s="5" t="s">
        <v>1069</v>
      </c>
      <c r="M354" s="5"/>
      <c r="N354" s="5"/>
      <c r="O354" s="5"/>
    </row>
    <row r="355" spans="1:15" x14ac:dyDescent="0.3">
      <c r="A355" s="5" t="s">
        <v>248</v>
      </c>
      <c r="B355" s="5" t="s">
        <v>1066</v>
      </c>
      <c r="C355" s="5" t="s">
        <v>1067</v>
      </c>
      <c r="D355" s="5" t="s">
        <v>61</v>
      </c>
      <c r="E355" s="5" t="s">
        <v>154</v>
      </c>
      <c r="F355" s="14">
        <v>-1</v>
      </c>
      <c r="G355" s="5" t="s">
        <v>63</v>
      </c>
      <c r="H355" s="5"/>
      <c r="I355" s="5">
        <v>20</v>
      </c>
      <c r="J355" s="5" t="s">
        <v>667</v>
      </c>
      <c r="K355" s="5" t="s">
        <v>1070</v>
      </c>
      <c r="L355" s="5" t="s">
        <v>1071</v>
      </c>
      <c r="M355" s="5"/>
      <c r="N355" s="5"/>
      <c r="O355" s="5"/>
    </row>
    <row r="356" spans="1:15" x14ac:dyDescent="0.3">
      <c r="A356" s="5" t="s">
        <v>248</v>
      </c>
      <c r="B356" s="5" t="s">
        <v>1066</v>
      </c>
      <c r="C356" s="5" t="s">
        <v>1067</v>
      </c>
      <c r="D356" s="5" t="s">
        <v>61</v>
      </c>
      <c r="E356" s="5" t="s">
        <v>154</v>
      </c>
      <c r="F356" s="14">
        <v>-1</v>
      </c>
      <c r="G356" s="5" t="s">
        <v>63</v>
      </c>
      <c r="H356" s="5"/>
      <c r="I356" s="5">
        <v>20</v>
      </c>
      <c r="J356" s="5" t="s">
        <v>362</v>
      </c>
      <c r="K356" s="5" t="s">
        <v>1072</v>
      </c>
      <c r="L356" s="5" t="s">
        <v>1073</v>
      </c>
      <c r="M356" s="5"/>
      <c r="N356" s="5"/>
      <c r="O356" s="5"/>
    </row>
    <row r="357" spans="1:15" x14ac:dyDescent="0.3">
      <c r="A357" s="5" t="s">
        <v>248</v>
      </c>
      <c r="B357" s="5" t="s">
        <v>1066</v>
      </c>
      <c r="C357" s="5" t="s">
        <v>1067</v>
      </c>
      <c r="D357" s="5" t="s">
        <v>61</v>
      </c>
      <c r="E357" s="5" t="s">
        <v>154</v>
      </c>
      <c r="F357" s="14">
        <v>-1</v>
      </c>
      <c r="G357" s="5" t="s">
        <v>63</v>
      </c>
      <c r="H357" s="5"/>
      <c r="I357" s="5">
        <v>20</v>
      </c>
      <c r="J357" s="5" t="s">
        <v>1074</v>
      </c>
      <c r="K357" s="5" t="s">
        <v>1075</v>
      </c>
      <c r="L357" s="5" t="s">
        <v>1076</v>
      </c>
      <c r="M357" s="5"/>
      <c r="N357" s="5"/>
      <c r="O357" s="5"/>
    </row>
    <row r="358" spans="1:15" x14ac:dyDescent="0.3">
      <c r="A358" s="5" t="s">
        <v>248</v>
      </c>
      <c r="B358" s="5" t="s">
        <v>1066</v>
      </c>
      <c r="C358" s="5" t="s">
        <v>1067</v>
      </c>
      <c r="D358" s="5" t="s">
        <v>61</v>
      </c>
      <c r="E358" s="5" t="s">
        <v>154</v>
      </c>
      <c r="F358" s="14">
        <v>-1</v>
      </c>
      <c r="G358" s="5" t="s">
        <v>63</v>
      </c>
      <c r="H358" s="5"/>
      <c r="I358" s="5">
        <v>20</v>
      </c>
      <c r="J358" s="5" t="s">
        <v>604</v>
      </c>
      <c r="K358" s="5" t="s">
        <v>1077</v>
      </c>
      <c r="L358" s="5" t="s">
        <v>1078</v>
      </c>
      <c r="M358" s="5"/>
      <c r="N358" s="5"/>
      <c r="O358" s="5" t="s">
        <v>377</v>
      </c>
    </row>
    <row r="359" spans="1:15" x14ac:dyDescent="0.3">
      <c r="A359" s="5" t="s">
        <v>248</v>
      </c>
      <c r="B359" s="5" t="s">
        <v>1066</v>
      </c>
      <c r="C359" s="5" t="s">
        <v>1067</v>
      </c>
      <c r="D359" s="5" t="s">
        <v>61</v>
      </c>
      <c r="E359" s="5" t="s">
        <v>154</v>
      </c>
      <c r="F359" s="14">
        <v>-1</v>
      </c>
      <c r="G359" s="5" t="s">
        <v>72</v>
      </c>
      <c r="H359" s="5" t="s">
        <v>73</v>
      </c>
      <c r="I359" s="5"/>
      <c r="J359" s="5" t="s">
        <v>1079</v>
      </c>
      <c r="K359" s="5" t="s">
        <v>1080</v>
      </c>
      <c r="L359" s="5" t="s">
        <v>1081</v>
      </c>
      <c r="M359" s="5"/>
      <c r="N359" s="5"/>
      <c r="O359" s="5" t="s">
        <v>610</v>
      </c>
    </row>
    <row r="360" spans="1:15" x14ac:dyDescent="0.3">
      <c r="A360" s="5" t="s">
        <v>248</v>
      </c>
      <c r="B360" s="5" t="s">
        <v>1066</v>
      </c>
      <c r="C360" s="5" t="s">
        <v>1067</v>
      </c>
      <c r="D360" s="5" t="s">
        <v>61</v>
      </c>
      <c r="E360" s="5" t="s">
        <v>154</v>
      </c>
      <c r="F360" s="14">
        <v>-1</v>
      </c>
      <c r="G360" s="5" t="s">
        <v>72</v>
      </c>
      <c r="H360" s="5" t="s">
        <v>77</v>
      </c>
      <c r="I360" s="5"/>
      <c r="J360" s="5" t="s">
        <v>1079</v>
      </c>
      <c r="K360" s="5" t="s">
        <v>1082</v>
      </c>
      <c r="L360" s="5" t="s">
        <v>1083</v>
      </c>
      <c r="M360" s="5"/>
      <c r="N360" s="5"/>
      <c r="O360" s="5" t="s">
        <v>610</v>
      </c>
    </row>
    <row r="361" spans="1:15" x14ac:dyDescent="0.3">
      <c r="A361" s="5" t="s">
        <v>248</v>
      </c>
      <c r="B361" s="5" t="s">
        <v>1084</v>
      </c>
      <c r="C361" s="5" t="s">
        <v>897</v>
      </c>
      <c r="D361" s="5" t="s">
        <v>61</v>
      </c>
      <c r="E361" s="5" t="s">
        <v>154</v>
      </c>
      <c r="F361" s="14">
        <v>-1</v>
      </c>
      <c r="G361" s="5" t="s">
        <v>63</v>
      </c>
      <c r="H361" s="5"/>
      <c r="I361" s="5">
        <v>20</v>
      </c>
      <c r="J361" s="5" t="s">
        <v>666</v>
      </c>
      <c r="K361" s="5" t="s">
        <v>1085</v>
      </c>
      <c r="L361" s="5" t="s">
        <v>1086</v>
      </c>
      <c r="M361" s="5"/>
      <c r="N361" s="5"/>
      <c r="O361" s="5"/>
    </row>
    <row r="362" spans="1:15" x14ac:dyDescent="0.3">
      <c r="A362" s="5" t="s">
        <v>248</v>
      </c>
      <c r="B362" s="5" t="s">
        <v>1084</v>
      </c>
      <c r="C362" s="5" t="s">
        <v>897</v>
      </c>
      <c r="D362" s="5" t="s">
        <v>61</v>
      </c>
      <c r="E362" s="5" t="s">
        <v>154</v>
      </c>
      <c r="F362" s="14">
        <v>-1</v>
      </c>
      <c r="G362" s="5" t="s">
        <v>63</v>
      </c>
      <c r="H362" s="5"/>
      <c r="I362" s="5">
        <v>20</v>
      </c>
      <c r="J362" s="5" t="s">
        <v>667</v>
      </c>
      <c r="K362" s="5" t="s">
        <v>1087</v>
      </c>
      <c r="L362" s="5" t="s">
        <v>1088</v>
      </c>
      <c r="M362" s="5"/>
      <c r="N362" s="5"/>
      <c r="O362" s="5"/>
    </row>
    <row r="363" spans="1:15" x14ac:dyDescent="0.3">
      <c r="A363" s="5" t="s">
        <v>248</v>
      </c>
      <c r="B363" s="5" t="s">
        <v>1084</v>
      </c>
      <c r="C363" s="5" t="s">
        <v>897</v>
      </c>
      <c r="D363" s="5" t="s">
        <v>61</v>
      </c>
      <c r="E363" s="5" t="s">
        <v>154</v>
      </c>
      <c r="F363" s="14">
        <v>-1</v>
      </c>
      <c r="G363" s="5" t="s">
        <v>63</v>
      </c>
      <c r="H363" s="5"/>
      <c r="I363" s="5">
        <v>20</v>
      </c>
      <c r="J363" s="5" t="s">
        <v>362</v>
      </c>
      <c r="K363" s="5" t="s">
        <v>1089</v>
      </c>
      <c r="L363" s="5" t="s">
        <v>1090</v>
      </c>
      <c r="M363" s="5"/>
      <c r="N363" s="5"/>
      <c r="O363" s="5"/>
    </row>
    <row r="364" spans="1:15" x14ac:dyDescent="0.3">
      <c r="A364" s="5" t="s">
        <v>248</v>
      </c>
      <c r="B364" s="5" t="s">
        <v>1084</v>
      </c>
      <c r="C364" s="5" t="s">
        <v>897</v>
      </c>
      <c r="D364" s="5" t="s">
        <v>61</v>
      </c>
      <c r="E364" s="5" t="s">
        <v>154</v>
      </c>
      <c r="F364" s="14">
        <v>-1</v>
      </c>
      <c r="G364" s="5" t="s">
        <v>63</v>
      </c>
      <c r="H364" s="5"/>
      <c r="I364" s="5">
        <v>20</v>
      </c>
      <c r="J364" s="5" t="s">
        <v>1091</v>
      </c>
      <c r="K364" s="5" t="s">
        <v>1092</v>
      </c>
      <c r="L364" s="5" t="s">
        <v>1093</v>
      </c>
      <c r="M364" s="5"/>
      <c r="N364" s="5"/>
      <c r="O364" s="5"/>
    </row>
    <row r="365" spans="1:15" x14ac:dyDescent="0.3">
      <c r="A365" s="5" t="s">
        <v>248</v>
      </c>
      <c r="B365" s="5" t="s">
        <v>1084</v>
      </c>
      <c r="C365" s="5" t="s">
        <v>897</v>
      </c>
      <c r="D365" s="5" t="s">
        <v>61</v>
      </c>
      <c r="E365" s="5" t="s">
        <v>154</v>
      </c>
      <c r="F365" s="14">
        <v>-1</v>
      </c>
      <c r="G365" s="5" t="s">
        <v>63</v>
      </c>
      <c r="H365" s="5"/>
      <c r="I365" s="5">
        <v>20</v>
      </c>
      <c r="J365" s="5" t="s">
        <v>1094</v>
      </c>
      <c r="K365" s="5" t="s">
        <v>1095</v>
      </c>
      <c r="L365" s="5" t="s">
        <v>1096</v>
      </c>
      <c r="M365" s="5"/>
      <c r="N365" s="5"/>
      <c r="O365" s="5" t="s">
        <v>377</v>
      </c>
    </row>
    <row r="366" spans="1:15" x14ac:dyDescent="0.3">
      <c r="A366" s="5" t="s">
        <v>248</v>
      </c>
      <c r="B366" s="5" t="s">
        <v>1084</v>
      </c>
      <c r="C366" s="5" t="s">
        <v>897</v>
      </c>
      <c r="D366" s="5" t="s">
        <v>61</v>
      </c>
      <c r="E366" s="5" t="s">
        <v>154</v>
      </c>
      <c r="F366" s="14">
        <v>-1</v>
      </c>
      <c r="G366" s="5" t="s">
        <v>72</v>
      </c>
      <c r="H366" s="5" t="s">
        <v>73</v>
      </c>
      <c r="I366" s="5"/>
      <c r="J366" s="5" t="s">
        <v>1097</v>
      </c>
      <c r="K366" s="5" t="s">
        <v>1098</v>
      </c>
      <c r="L366" s="5" t="s">
        <v>1099</v>
      </c>
      <c r="M366" s="5"/>
      <c r="N366" s="5"/>
      <c r="O366" s="5" t="s">
        <v>1100</v>
      </c>
    </row>
    <row r="367" spans="1:15" x14ac:dyDescent="0.3">
      <c r="A367" s="5" t="s">
        <v>248</v>
      </c>
      <c r="B367" s="5" t="s">
        <v>1084</v>
      </c>
      <c r="C367" s="5" t="s">
        <v>897</v>
      </c>
      <c r="D367" s="5" t="s">
        <v>61</v>
      </c>
      <c r="E367" s="5" t="s">
        <v>154</v>
      </c>
      <c r="F367" s="14">
        <v>-1</v>
      </c>
      <c r="G367" s="5" t="s">
        <v>72</v>
      </c>
      <c r="H367" s="5" t="s">
        <v>77</v>
      </c>
      <c r="I367" s="5"/>
      <c r="J367" s="5" t="s">
        <v>1097</v>
      </c>
      <c r="K367" s="5" t="s">
        <v>1101</v>
      </c>
      <c r="L367" s="5" t="s">
        <v>1102</v>
      </c>
      <c r="M367" s="5"/>
      <c r="N367" s="5"/>
      <c r="O367" s="5" t="s">
        <v>1100</v>
      </c>
    </row>
    <row r="368" spans="1:15" x14ac:dyDescent="0.3">
      <c r="A368" s="5" t="s">
        <v>248</v>
      </c>
      <c r="B368" s="5" t="s">
        <v>1103</v>
      </c>
      <c r="C368" s="5" t="s">
        <v>897</v>
      </c>
      <c r="D368" s="5" t="s">
        <v>61</v>
      </c>
      <c r="E368" s="5" t="s">
        <v>154</v>
      </c>
      <c r="F368" s="14">
        <v>-1</v>
      </c>
      <c r="G368" s="5" t="s">
        <v>63</v>
      </c>
      <c r="H368" s="5"/>
      <c r="I368" s="5">
        <v>20</v>
      </c>
      <c r="J368" s="5" t="s">
        <v>666</v>
      </c>
      <c r="K368" s="5" t="s">
        <v>569</v>
      </c>
      <c r="L368" s="5" t="s">
        <v>1104</v>
      </c>
      <c r="M368" s="5"/>
      <c r="N368" s="5"/>
      <c r="O368" s="5"/>
    </row>
    <row r="369" spans="1:15" x14ac:dyDescent="0.3">
      <c r="A369" s="5" t="s">
        <v>248</v>
      </c>
      <c r="B369" s="5" t="s">
        <v>1103</v>
      </c>
      <c r="C369" s="5" t="s">
        <v>897</v>
      </c>
      <c r="D369" s="5" t="s">
        <v>61</v>
      </c>
      <c r="E369" s="5" t="s">
        <v>154</v>
      </c>
      <c r="F369" s="14">
        <v>-1</v>
      </c>
      <c r="G369" s="5" t="s">
        <v>63</v>
      </c>
      <c r="H369" s="5"/>
      <c r="I369" s="5">
        <v>20</v>
      </c>
      <c r="J369" s="5" t="s">
        <v>667</v>
      </c>
      <c r="K369" s="5" t="s">
        <v>1105</v>
      </c>
      <c r="L369" s="5" t="s">
        <v>1106</v>
      </c>
      <c r="M369" s="5"/>
      <c r="N369" s="5"/>
      <c r="O369" s="5"/>
    </row>
    <row r="370" spans="1:15" x14ac:dyDescent="0.3">
      <c r="A370" s="5" t="s">
        <v>248</v>
      </c>
      <c r="B370" s="5" t="s">
        <v>1103</v>
      </c>
      <c r="C370" s="5" t="s">
        <v>897</v>
      </c>
      <c r="D370" s="5" t="s">
        <v>61</v>
      </c>
      <c r="E370" s="5" t="s">
        <v>154</v>
      </c>
      <c r="F370" s="14">
        <v>-1</v>
      </c>
      <c r="G370" s="5" t="s">
        <v>63</v>
      </c>
      <c r="H370" s="5"/>
      <c r="I370" s="5">
        <v>20</v>
      </c>
      <c r="J370" s="5" t="s">
        <v>362</v>
      </c>
      <c r="K370" s="5" t="s">
        <v>1107</v>
      </c>
      <c r="L370" s="5" t="s">
        <v>1108</v>
      </c>
      <c r="M370" s="5"/>
      <c r="N370" s="5"/>
      <c r="O370" s="5"/>
    </row>
    <row r="371" spans="1:15" x14ac:dyDescent="0.3">
      <c r="A371" s="5" t="s">
        <v>248</v>
      </c>
      <c r="B371" s="5" t="s">
        <v>1103</v>
      </c>
      <c r="C371" s="5" t="s">
        <v>897</v>
      </c>
      <c r="D371" s="5" t="s">
        <v>61</v>
      </c>
      <c r="E371" s="5" t="s">
        <v>154</v>
      </c>
      <c r="F371" s="14">
        <v>-1</v>
      </c>
      <c r="G371" s="5" t="s">
        <v>63</v>
      </c>
      <c r="H371" s="5"/>
      <c r="I371" s="5">
        <v>20</v>
      </c>
      <c r="J371" s="5" t="s">
        <v>1091</v>
      </c>
      <c r="K371" s="5" t="s">
        <v>1109</v>
      </c>
      <c r="L371" s="5" t="s">
        <v>1110</v>
      </c>
      <c r="M371" s="5"/>
      <c r="N371" s="5"/>
      <c r="O371" s="5"/>
    </row>
    <row r="372" spans="1:15" x14ac:dyDescent="0.3">
      <c r="A372" s="5" t="s">
        <v>248</v>
      </c>
      <c r="B372" s="5" t="s">
        <v>1103</v>
      </c>
      <c r="C372" s="5" t="s">
        <v>897</v>
      </c>
      <c r="D372" s="5" t="s">
        <v>61</v>
      </c>
      <c r="E372" s="5" t="s">
        <v>154</v>
      </c>
      <c r="F372" s="14">
        <v>-1</v>
      </c>
      <c r="G372" s="5" t="s">
        <v>63</v>
      </c>
      <c r="H372" s="5"/>
      <c r="I372" s="5">
        <v>20</v>
      </c>
      <c r="J372" s="5" t="s">
        <v>1111</v>
      </c>
      <c r="K372" s="5" t="s">
        <v>1112</v>
      </c>
      <c r="L372" s="5" t="s">
        <v>1113</v>
      </c>
      <c r="M372" s="5"/>
      <c r="N372" s="5"/>
      <c r="O372" s="5" t="s">
        <v>377</v>
      </c>
    </row>
    <row r="373" spans="1:15" x14ac:dyDescent="0.3">
      <c r="A373" s="5" t="s">
        <v>248</v>
      </c>
      <c r="B373" s="5" t="s">
        <v>1103</v>
      </c>
      <c r="C373" s="5" t="s">
        <v>897</v>
      </c>
      <c r="D373" s="5" t="s">
        <v>61</v>
      </c>
      <c r="E373" s="5" t="s">
        <v>154</v>
      </c>
      <c r="F373" s="14">
        <v>-1</v>
      </c>
      <c r="G373" s="5" t="s">
        <v>72</v>
      </c>
      <c r="H373" s="5" t="s">
        <v>73</v>
      </c>
      <c r="I373" s="5"/>
      <c r="J373" s="5" t="s">
        <v>1114</v>
      </c>
      <c r="K373" s="5" t="s">
        <v>1115</v>
      </c>
      <c r="L373" s="5" t="s">
        <v>1116</v>
      </c>
      <c r="M373" s="5"/>
      <c r="N373" s="5"/>
      <c r="O373" s="5" t="s">
        <v>1117</v>
      </c>
    </row>
    <row r="374" spans="1:15" x14ac:dyDescent="0.3">
      <c r="A374" s="5" t="s">
        <v>248</v>
      </c>
      <c r="B374" s="5" t="s">
        <v>1103</v>
      </c>
      <c r="C374" s="5" t="s">
        <v>897</v>
      </c>
      <c r="D374" s="5" t="s">
        <v>61</v>
      </c>
      <c r="E374" s="5" t="s">
        <v>154</v>
      </c>
      <c r="F374" s="14">
        <v>-1</v>
      </c>
      <c r="G374" s="5" t="s">
        <v>72</v>
      </c>
      <c r="H374" s="5" t="s">
        <v>77</v>
      </c>
      <c r="I374" s="5"/>
      <c r="J374" s="5" t="s">
        <v>1114</v>
      </c>
      <c r="K374" s="5" t="s">
        <v>628</v>
      </c>
      <c r="L374" s="5" t="s">
        <v>1118</v>
      </c>
      <c r="M374" s="5"/>
      <c r="N374" s="5"/>
      <c r="O374" s="5" t="s">
        <v>1117</v>
      </c>
    </row>
    <row r="375" spans="1:15" x14ac:dyDescent="0.3">
      <c r="A375" s="5" t="s">
        <v>509</v>
      </c>
      <c r="B375" s="5" t="s">
        <v>630</v>
      </c>
      <c r="C375" s="5" t="s">
        <v>1119</v>
      </c>
      <c r="D375" s="5" t="s">
        <v>61</v>
      </c>
      <c r="E375" s="5" t="s">
        <v>154</v>
      </c>
      <c r="F375" s="14">
        <v>-1</v>
      </c>
      <c r="G375" s="5" t="s">
        <v>63</v>
      </c>
      <c r="H375" s="5"/>
      <c r="I375" s="5">
        <v>20</v>
      </c>
      <c r="J375" s="5" t="s">
        <v>666</v>
      </c>
      <c r="K375" s="5" t="s">
        <v>1120</v>
      </c>
      <c r="L375" s="5" t="s">
        <v>1121</v>
      </c>
      <c r="M375" s="5"/>
      <c r="N375" s="5"/>
      <c r="O375" s="5"/>
    </row>
    <row r="376" spans="1:15" x14ac:dyDescent="0.3">
      <c r="A376" s="5" t="s">
        <v>509</v>
      </c>
      <c r="B376" s="5" t="s">
        <v>630</v>
      </c>
      <c r="C376" s="5" t="s">
        <v>1119</v>
      </c>
      <c r="D376" s="5" t="s">
        <v>61</v>
      </c>
      <c r="E376" s="5" t="s">
        <v>154</v>
      </c>
      <c r="F376" s="14">
        <v>-1</v>
      </c>
      <c r="G376" s="5" t="s">
        <v>63</v>
      </c>
      <c r="H376" s="5"/>
      <c r="I376" s="5">
        <v>20</v>
      </c>
      <c r="J376" s="5" t="s">
        <v>667</v>
      </c>
      <c r="K376" s="5" t="s">
        <v>1122</v>
      </c>
      <c r="L376" s="5" t="s">
        <v>1123</v>
      </c>
      <c r="M376" s="5"/>
      <c r="N376" s="5"/>
      <c r="O376" s="5"/>
    </row>
    <row r="377" spans="1:15" x14ac:dyDescent="0.3">
      <c r="A377" s="5" t="s">
        <v>509</v>
      </c>
      <c r="B377" s="5" t="s">
        <v>630</v>
      </c>
      <c r="C377" s="5" t="s">
        <v>1119</v>
      </c>
      <c r="D377" s="5" t="s">
        <v>61</v>
      </c>
      <c r="E377" s="5" t="s">
        <v>154</v>
      </c>
      <c r="F377" s="14">
        <v>-1</v>
      </c>
      <c r="G377" s="5" t="s">
        <v>63</v>
      </c>
      <c r="H377" s="5"/>
      <c r="I377" s="5">
        <v>20</v>
      </c>
      <c r="J377" s="5" t="s">
        <v>362</v>
      </c>
      <c r="K377" s="5" t="s">
        <v>1124</v>
      </c>
      <c r="L377" s="5" t="s">
        <v>1125</v>
      </c>
      <c r="M377" s="5"/>
      <c r="N377" s="5"/>
      <c r="O377" s="5"/>
    </row>
    <row r="378" spans="1:15" x14ac:dyDescent="0.3">
      <c r="A378" s="5" t="s">
        <v>509</v>
      </c>
      <c r="B378" s="5" t="s">
        <v>630</v>
      </c>
      <c r="C378" s="5" t="s">
        <v>1119</v>
      </c>
      <c r="D378" s="5" t="s">
        <v>61</v>
      </c>
      <c r="E378" s="5" t="s">
        <v>154</v>
      </c>
      <c r="F378" s="14">
        <v>-1</v>
      </c>
      <c r="G378" s="5" t="s">
        <v>63</v>
      </c>
      <c r="H378" s="5"/>
      <c r="I378" s="5">
        <v>20</v>
      </c>
      <c r="J378" s="5" t="s">
        <v>1126</v>
      </c>
      <c r="K378" s="5" t="s">
        <v>1127</v>
      </c>
      <c r="L378" s="5" t="s">
        <v>1128</v>
      </c>
      <c r="M378" s="5"/>
      <c r="N378" s="5"/>
      <c r="O378" s="5" t="s">
        <v>1129</v>
      </c>
    </row>
    <row r="379" spans="1:15" x14ac:dyDescent="0.3">
      <c r="A379" s="5" t="s">
        <v>509</v>
      </c>
      <c r="B379" s="5" t="s">
        <v>630</v>
      </c>
      <c r="C379" s="5" t="s">
        <v>1119</v>
      </c>
      <c r="D379" s="5" t="s">
        <v>61</v>
      </c>
      <c r="E379" s="5" t="s">
        <v>154</v>
      </c>
      <c r="F379" s="14">
        <v>-1</v>
      </c>
      <c r="G379" s="5" t="s">
        <v>63</v>
      </c>
      <c r="H379" s="5"/>
      <c r="I379" s="5">
        <v>20</v>
      </c>
      <c r="J379" s="5" t="s">
        <v>1130</v>
      </c>
      <c r="K379" s="5" t="s">
        <v>1131</v>
      </c>
      <c r="L379" s="5" t="s">
        <v>1132</v>
      </c>
      <c r="M379" s="5"/>
      <c r="N379" s="5"/>
      <c r="O379" s="5" t="s">
        <v>377</v>
      </c>
    </row>
    <row r="380" spans="1:15" x14ac:dyDescent="0.3">
      <c r="A380" s="5" t="s">
        <v>509</v>
      </c>
      <c r="B380" s="5" t="s">
        <v>630</v>
      </c>
      <c r="C380" s="5" t="s">
        <v>1119</v>
      </c>
      <c r="D380" s="5" t="s">
        <v>61</v>
      </c>
      <c r="E380" s="5" t="s">
        <v>154</v>
      </c>
      <c r="F380" s="14">
        <v>-1</v>
      </c>
      <c r="G380" s="5" t="s">
        <v>72</v>
      </c>
      <c r="H380" s="5" t="s">
        <v>73</v>
      </c>
      <c r="I380" s="5"/>
      <c r="J380" s="5" t="s">
        <v>1133</v>
      </c>
      <c r="K380" s="5" t="s">
        <v>1134</v>
      </c>
      <c r="L380" s="5" t="s">
        <v>1135</v>
      </c>
      <c r="M380" s="5"/>
      <c r="N380" s="5"/>
      <c r="O380" s="5" t="s">
        <v>1136</v>
      </c>
    </row>
    <row r="381" spans="1:15" x14ac:dyDescent="0.3">
      <c r="A381" s="5" t="s">
        <v>509</v>
      </c>
      <c r="B381" s="5" t="s">
        <v>630</v>
      </c>
      <c r="C381" s="5" t="s">
        <v>1119</v>
      </c>
      <c r="D381" s="5" t="s">
        <v>61</v>
      </c>
      <c r="E381" s="5" t="s">
        <v>154</v>
      </c>
      <c r="F381" s="14">
        <v>-1</v>
      </c>
      <c r="G381" s="5" t="s">
        <v>72</v>
      </c>
      <c r="H381" s="5" t="s">
        <v>77</v>
      </c>
      <c r="I381" s="5"/>
      <c r="J381" s="5" t="s">
        <v>1133</v>
      </c>
      <c r="K381" s="5" t="s">
        <v>1137</v>
      </c>
      <c r="L381" s="5" t="s">
        <v>1138</v>
      </c>
      <c r="M381" s="5"/>
      <c r="N381" s="5"/>
      <c r="O381" s="5" t="s">
        <v>1136</v>
      </c>
    </row>
    <row r="382" spans="1:15" x14ac:dyDescent="0.3">
      <c r="A382" s="5" t="s">
        <v>509</v>
      </c>
      <c r="B382" s="5" t="s">
        <v>1139</v>
      </c>
      <c r="C382" s="5" t="s">
        <v>550</v>
      </c>
      <c r="D382" s="5" t="s">
        <v>61</v>
      </c>
      <c r="E382" s="5" t="s">
        <v>154</v>
      </c>
      <c r="F382" s="14">
        <v>-1</v>
      </c>
      <c r="G382" s="5" t="s">
        <v>63</v>
      </c>
      <c r="H382" s="5"/>
      <c r="I382" s="5">
        <v>20</v>
      </c>
      <c r="J382" s="5" t="s">
        <v>666</v>
      </c>
      <c r="K382" s="5" t="s">
        <v>515</v>
      </c>
      <c r="L382" s="5" t="s">
        <v>1140</v>
      </c>
      <c r="M382" s="5"/>
      <c r="N382" s="5"/>
      <c r="O382" s="5"/>
    </row>
    <row r="383" spans="1:15" x14ac:dyDescent="0.3">
      <c r="A383" s="5" t="s">
        <v>509</v>
      </c>
      <c r="B383" s="5" t="s">
        <v>1139</v>
      </c>
      <c r="C383" s="5" t="s">
        <v>550</v>
      </c>
      <c r="D383" s="5" t="s">
        <v>61</v>
      </c>
      <c r="E383" s="5" t="s">
        <v>154</v>
      </c>
      <c r="F383" s="14">
        <v>-1</v>
      </c>
      <c r="G383" s="5" t="s">
        <v>63</v>
      </c>
      <c r="H383" s="5"/>
      <c r="I383" s="5">
        <v>20</v>
      </c>
      <c r="J383" s="5" t="s">
        <v>667</v>
      </c>
      <c r="K383" s="5" t="s">
        <v>1141</v>
      </c>
      <c r="L383" s="5" t="s">
        <v>1142</v>
      </c>
      <c r="M383" s="5"/>
      <c r="N383" s="5"/>
      <c r="O383" s="5"/>
    </row>
    <row r="384" spans="1:15" x14ac:dyDescent="0.3">
      <c r="A384" s="5" t="s">
        <v>509</v>
      </c>
      <c r="B384" s="5" t="s">
        <v>1139</v>
      </c>
      <c r="C384" s="5" t="s">
        <v>550</v>
      </c>
      <c r="D384" s="5" t="s">
        <v>61</v>
      </c>
      <c r="E384" s="5" t="s">
        <v>154</v>
      </c>
      <c r="F384" s="14">
        <v>-1</v>
      </c>
      <c r="G384" s="5" t="s">
        <v>63</v>
      </c>
      <c r="H384" s="5"/>
      <c r="I384" s="5">
        <v>20</v>
      </c>
      <c r="J384" s="5" t="s">
        <v>362</v>
      </c>
      <c r="K384" s="5" t="s">
        <v>1143</v>
      </c>
      <c r="L384" s="5" t="s">
        <v>1144</v>
      </c>
      <c r="M384" s="5"/>
      <c r="N384" s="5"/>
      <c r="O384" s="5"/>
    </row>
    <row r="385" spans="1:15" x14ac:dyDescent="0.3">
      <c r="A385" t="s">
        <v>509</v>
      </c>
      <c r="B385" t="s">
        <v>1139</v>
      </c>
      <c r="C385" t="s">
        <v>550</v>
      </c>
      <c r="D385" t="s">
        <v>61</v>
      </c>
      <c r="E385" t="s">
        <v>154</v>
      </c>
      <c r="F385" s="16">
        <v>-1</v>
      </c>
      <c r="G385" t="s">
        <v>63</v>
      </c>
      <c r="I385">
        <v>20</v>
      </c>
      <c r="J385" t="s">
        <v>1145</v>
      </c>
      <c r="K385" t="s">
        <v>1146</v>
      </c>
      <c r="L385" t="s">
        <v>1147</v>
      </c>
    </row>
    <row r="386" spans="1:15" x14ac:dyDescent="0.3">
      <c r="A386" t="s">
        <v>509</v>
      </c>
      <c r="B386" t="s">
        <v>1139</v>
      </c>
      <c r="C386" t="s">
        <v>550</v>
      </c>
      <c r="D386" t="s">
        <v>61</v>
      </c>
      <c r="E386" t="s">
        <v>154</v>
      </c>
      <c r="F386" s="16">
        <v>-1</v>
      </c>
      <c r="G386" t="s">
        <v>63</v>
      </c>
      <c r="I386">
        <v>20</v>
      </c>
      <c r="J386" t="s">
        <v>1148</v>
      </c>
      <c r="K386" t="s">
        <v>1149</v>
      </c>
      <c r="L386" t="s">
        <v>1150</v>
      </c>
      <c r="O386" t="s">
        <v>377</v>
      </c>
    </row>
    <row r="387" spans="1:15" x14ac:dyDescent="0.3">
      <c r="A387" t="s">
        <v>509</v>
      </c>
      <c r="B387" t="s">
        <v>1139</v>
      </c>
      <c r="C387" t="s">
        <v>550</v>
      </c>
      <c r="D387" t="s">
        <v>61</v>
      </c>
      <c r="E387" t="s">
        <v>154</v>
      </c>
      <c r="F387" s="16">
        <v>-1</v>
      </c>
      <c r="G387" t="s">
        <v>72</v>
      </c>
      <c r="H387" t="s">
        <v>73</v>
      </c>
      <c r="J387" t="s">
        <v>1151</v>
      </c>
      <c r="K387" t="s">
        <v>1152</v>
      </c>
      <c r="L387" t="s">
        <v>1153</v>
      </c>
      <c r="O387" t="s">
        <v>1154</v>
      </c>
    </row>
    <row r="388" spans="1:15" x14ac:dyDescent="0.3">
      <c r="A388" t="s">
        <v>509</v>
      </c>
      <c r="B388" t="s">
        <v>1139</v>
      </c>
      <c r="C388" t="s">
        <v>550</v>
      </c>
      <c r="D388" t="s">
        <v>61</v>
      </c>
      <c r="E388" t="s">
        <v>154</v>
      </c>
      <c r="F388" s="16">
        <v>-1</v>
      </c>
      <c r="G388" t="s">
        <v>72</v>
      </c>
      <c r="H388" t="s">
        <v>77</v>
      </c>
      <c r="J388" t="s">
        <v>1151</v>
      </c>
      <c r="K388" t="s">
        <v>1155</v>
      </c>
      <c r="L388" t="s">
        <v>1156</v>
      </c>
      <c r="O388" t="s">
        <v>1154</v>
      </c>
    </row>
    <row r="389" spans="1:15" x14ac:dyDescent="0.3">
      <c r="A389" t="s">
        <v>509</v>
      </c>
      <c r="B389" t="s">
        <v>1157</v>
      </c>
      <c r="C389" t="s">
        <v>1158</v>
      </c>
      <c r="D389" t="s">
        <v>61</v>
      </c>
      <c r="E389" t="s">
        <v>154</v>
      </c>
      <c r="F389" s="16">
        <v>-1</v>
      </c>
      <c r="G389" t="s">
        <v>63</v>
      </c>
      <c r="I389">
        <v>20</v>
      </c>
      <c r="J389" t="s">
        <v>666</v>
      </c>
      <c r="K389" t="s">
        <v>1159</v>
      </c>
      <c r="L389" t="s">
        <v>1160</v>
      </c>
    </row>
    <row r="390" spans="1:15" x14ac:dyDescent="0.3">
      <c r="A390" t="s">
        <v>509</v>
      </c>
      <c r="B390" t="s">
        <v>1157</v>
      </c>
      <c r="C390" t="s">
        <v>1158</v>
      </c>
      <c r="D390" t="s">
        <v>61</v>
      </c>
      <c r="E390" t="s">
        <v>154</v>
      </c>
      <c r="F390" s="16">
        <v>-1</v>
      </c>
      <c r="G390" t="s">
        <v>63</v>
      </c>
      <c r="I390">
        <v>20</v>
      </c>
      <c r="J390" t="s">
        <v>667</v>
      </c>
      <c r="K390" t="s">
        <v>1161</v>
      </c>
      <c r="L390" t="s">
        <v>1162</v>
      </c>
    </row>
    <row r="391" spans="1:15" x14ac:dyDescent="0.3">
      <c r="A391" t="s">
        <v>509</v>
      </c>
      <c r="B391" t="s">
        <v>1157</v>
      </c>
      <c r="C391" t="s">
        <v>1158</v>
      </c>
      <c r="D391" t="s">
        <v>61</v>
      </c>
      <c r="E391" t="s">
        <v>154</v>
      </c>
      <c r="F391" s="16">
        <v>-1</v>
      </c>
      <c r="G391" t="s">
        <v>63</v>
      </c>
      <c r="I391">
        <v>20</v>
      </c>
      <c r="J391" t="s">
        <v>362</v>
      </c>
      <c r="K391" t="s">
        <v>1163</v>
      </c>
      <c r="L391" t="s">
        <v>1164</v>
      </c>
    </row>
    <row r="392" spans="1:15" x14ac:dyDescent="0.3">
      <c r="A392" t="s">
        <v>509</v>
      </c>
      <c r="B392" t="s">
        <v>1157</v>
      </c>
      <c r="C392" t="s">
        <v>1158</v>
      </c>
      <c r="D392" t="s">
        <v>61</v>
      </c>
      <c r="E392" t="s">
        <v>154</v>
      </c>
      <c r="F392" s="16">
        <v>-1</v>
      </c>
      <c r="G392" t="s">
        <v>63</v>
      </c>
      <c r="I392">
        <v>20</v>
      </c>
      <c r="J392" t="s">
        <v>1165</v>
      </c>
      <c r="K392" t="s">
        <v>1166</v>
      </c>
      <c r="L392" t="s">
        <v>1167</v>
      </c>
    </row>
    <row r="393" spans="1:15" x14ac:dyDescent="0.3">
      <c r="A393" t="s">
        <v>509</v>
      </c>
      <c r="B393" t="s">
        <v>1157</v>
      </c>
      <c r="C393" t="s">
        <v>1158</v>
      </c>
      <c r="D393" t="s">
        <v>61</v>
      </c>
      <c r="E393" t="s">
        <v>154</v>
      </c>
      <c r="F393" s="16">
        <v>-1</v>
      </c>
      <c r="G393" t="s">
        <v>63</v>
      </c>
      <c r="I393">
        <v>20</v>
      </c>
      <c r="J393" t="s">
        <v>1168</v>
      </c>
      <c r="K393" t="s">
        <v>1169</v>
      </c>
      <c r="L393" t="s">
        <v>1170</v>
      </c>
      <c r="O393" t="s">
        <v>377</v>
      </c>
    </row>
    <row r="394" spans="1:15" x14ac:dyDescent="0.3">
      <c r="A394" t="s">
        <v>509</v>
      </c>
      <c r="B394" t="s">
        <v>1157</v>
      </c>
      <c r="C394" t="s">
        <v>1158</v>
      </c>
      <c r="D394" t="s">
        <v>61</v>
      </c>
      <c r="E394" t="s">
        <v>154</v>
      </c>
      <c r="F394" s="16">
        <v>-1</v>
      </c>
      <c r="G394" t="s">
        <v>72</v>
      </c>
      <c r="H394" t="s">
        <v>73</v>
      </c>
      <c r="J394" t="s">
        <v>1171</v>
      </c>
      <c r="K394" t="s">
        <v>1172</v>
      </c>
      <c r="L394" t="s">
        <v>1173</v>
      </c>
      <c r="O394" t="s">
        <v>1174</v>
      </c>
    </row>
    <row r="395" spans="1:15" x14ac:dyDescent="0.3">
      <c r="A395" t="s">
        <v>509</v>
      </c>
      <c r="B395" t="s">
        <v>1157</v>
      </c>
      <c r="C395" t="s">
        <v>1158</v>
      </c>
      <c r="D395" t="s">
        <v>61</v>
      </c>
      <c r="E395" t="s">
        <v>154</v>
      </c>
      <c r="F395" s="16">
        <v>-1</v>
      </c>
      <c r="G395" t="s">
        <v>72</v>
      </c>
      <c r="H395" t="s">
        <v>77</v>
      </c>
      <c r="J395" t="s">
        <v>1171</v>
      </c>
      <c r="K395" t="s">
        <v>1175</v>
      </c>
      <c r="L395" t="s">
        <v>1176</v>
      </c>
      <c r="O395" t="s">
        <v>1174</v>
      </c>
    </row>
    <row r="396" spans="1:15" x14ac:dyDescent="0.3">
      <c r="A396" t="s">
        <v>509</v>
      </c>
      <c r="B396" t="s">
        <v>1177</v>
      </c>
      <c r="C396" t="s">
        <v>550</v>
      </c>
      <c r="D396" t="s">
        <v>61</v>
      </c>
      <c r="E396" t="s">
        <v>154</v>
      </c>
      <c r="F396" s="16">
        <v>-1</v>
      </c>
      <c r="G396" t="s">
        <v>63</v>
      </c>
      <c r="I396">
        <v>20</v>
      </c>
      <c r="J396" t="s">
        <v>666</v>
      </c>
      <c r="K396" t="s">
        <v>515</v>
      </c>
      <c r="L396" t="s">
        <v>1178</v>
      </c>
    </row>
    <row r="397" spans="1:15" x14ac:dyDescent="0.3">
      <c r="A397" t="s">
        <v>509</v>
      </c>
      <c r="B397" t="s">
        <v>1177</v>
      </c>
      <c r="C397" t="s">
        <v>550</v>
      </c>
      <c r="D397" t="s">
        <v>61</v>
      </c>
      <c r="E397" t="s">
        <v>154</v>
      </c>
      <c r="F397" s="16">
        <v>-1</v>
      </c>
      <c r="G397" t="s">
        <v>63</v>
      </c>
      <c r="I397">
        <v>20</v>
      </c>
      <c r="J397" t="s">
        <v>667</v>
      </c>
      <c r="K397" t="s">
        <v>1179</v>
      </c>
      <c r="L397" t="s">
        <v>1180</v>
      </c>
    </row>
    <row r="398" spans="1:15" x14ac:dyDescent="0.3">
      <c r="A398" t="s">
        <v>509</v>
      </c>
      <c r="B398" t="s">
        <v>1177</v>
      </c>
      <c r="C398" t="s">
        <v>550</v>
      </c>
      <c r="D398" t="s">
        <v>61</v>
      </c>
      <c r="E398" t="s">
        <v>154</v>
      </c>
      <c r="F398" s="16">
        <v>-1</v>
      </c>
      <c r="G398" t="s">
        <v>63</v>
      </c>
      <c r="I398">
        <v>20</v>
      </c>
      <c r="J398" t="s">
        <v>1165</v>
      </c>
      <c r="K398" t="s">
        <v>1181</v>
      </c>
      <c r="L398" t="s">
        <v>1182</v>
      </c>
    </row>
    <row r="399" spans="1:15" x14ac:dyDescent="0.3">
      <c r="A399" t="s">
        <v>509</v>
      </c>
      <c r="B399" t="s">
        <v>1177</v>
      </c>
      <c r="C399" t="s">
        <v>550</v>
      </c>
      <c r="D399" t="s">
        <v>61</v>
      </c>
      <c r="E399" t="s">
        <v>154</v>
      </c>
      <c r="F399" s="16">
        <v>-1</v>
      </c>
      <c r="G399" t="s">
        <v>63</v>
      </c>
      <c r="I399">
        <v>20</v>
      </c>
      <c r="J399" t="s">
        <v>362</v>
      </c>
      <c r="K399" t="s">
        <v>1183</v>
      </c>
      <c r="L399" t="s">
        <v>1184</v>
      </c>
    </row>
    <row r="400" spans="1:15" x14ac:dyDescent="0.3">
      <c r="A400" t="s">
        <v>509</v>
      </c>
      <c r="B400" t="s">
        <v>1177</v>
      </c>
      <c r="C400" t="s">
        <v>550</v>
      </c>
      <c r="D400" t="s">
        <v>61</v>
      </c>
      <c r="E400" t="s">
        <v>154</v>
      </c>
      <c r="F400" s="16">
        <v>-1</v>
      </c>
      <c r="G400" t="s">
        <v>63</v>
      </c>
      <c r="I400">
        <v>20</v>
      </c>
      <c r="J400" t="s">
        <v>887</v>
      </c>
      <c r="K400" t="s">
        <v>1185</v>
      </c>
      <c r="L400" t="s">
        <v>1186</v>
      </c>
      <c r="O400" t="s">
        <v>377</v>
      </c>
    </row>
    <row r="401" spans="1:15" x14ac:dyDescent="0.3">
      <c r="A401" t="s">
        <v>509</v>
      </c>
      <c r="B401" t="s">
        <v>1177</v>
      </c>
      <c r="C401" t="s">
        <v>550</v>
      </c>
      <c r="D401" t="s">
        <v>61</v>
      </c>
      <c r="E401" t="s">
        <v>154</v>
      </c>
      <c r="F401" s="16">
        <v>-1</v>
      </c>
      <c r="G401" t="s">
        <v>72</v>
      </c>
      <c r="H401" t="s">
        <v>73</v>
      </c>
      <c r="J401" t="s">
        <v>1187</v>
      </c>
      <c r="K401" t="s">
        <v>1188</v>
      </c>
      <c r="L401" t="s">
        <v>1189</v>
      </c>
      <c r="O401" t="s">
        <v>1190</v>
      </c>
    </row>
    <row r="402" spans="1:15" x14ac:dyDescent="0.3">
      <c r="A402" t="s">
        <v>509</v>
      </c>
      <c r="B402" t="s">
        <v>1177</v>
      </c>
      <c r="C402" t="s">
        <v>550</v>
      </c>
      <c r="D402" t="s">
        <v>61</v>
      </c>
      <c r="E402" t="s">
        <v>154</v>
      </c>
      <c r="F402" s="16">
        <v>-1</v>
      </c>
      <c r="G402" t="s">
        <v>72</v>
      </c>
      <c r="H402" t="s">
        <v>77</v>
      </c>
      <c r="J402" t="s">
        <v>1187</v>
      </c>
      <c r="K402" t="s">
        <v>1191</v>
      </c>
      <c r="L402" t="s">
        <v>1192</v>
      </c>
      <c r="O402" t="s">
        <v>1190</v>
      </c>
    </row>
    <row r="403" spans="1:15" x14ac:dyDescent="0.3">
      <c r="A403" t="s">
        <v>509</v>
      </c>
      <c r="B403" t="s">
        <v>1193</v>
      </c>
      <c r="C403" t="s">
        <v>550</v>
      </c>
      <c r="D403" t="s">
        <v>61</v>
      </c>
      <c r="E403" t="s">
        <v>154</v>
      </c>
      <c r="F403" s="16">
        <v>-1</v>
      </c>
      <c r="G403" t="s">
        <v>63</v>
      </c>
      <c r="I403">
        <v>20</v>
      </c>
      <c r="J403" t="s">
        <v>666</v>
      </c>
      <c r="K403" t="s">
        <v>569</v>
      </c>
      <c r="L403" t="s">
        <v>1194</v>
      </c>
    </row>
    <row r="404" spans="1:15" x14ac:dyDescent="0.3">
      <c r="A404" t="s">
        <v>509</v>
      </c>
      <c r="B404" t="s">
        <v>1193</v>
      </c>
      <c r="C404" t="s">
        <v>550</v>
      </c>
      <c r="D404" t="s">
        <v>61</v>
      </c>
      <c r="E404" t="s">
        <v>154</v>
      </c>
      <c r="F404" s="16">
        <v>-1</v>
      </c>
      <c r="G404" t="s">
        <v>63</v>
      </c>
      <c r="I404">
        <v>20</v>
      </c>
      <c r="J404" t="s">
        <v>365</v>
      </c>
      <c r="K404" t="s">
        <v>1195</v>
      </c>
      <c r="L404" t="s">
        <v>1196</v>
      </c>
    </row>
    <row r="405" spans="1:15" x14ac:dyDescent="0.3">
      <c r="A405" t="s">
        <v>509</v>
      </c>
      <c r="B405" t="s">
        <v>1193</v>
      </c>
      <c r="C405" t="s">
        <v>550</v>
      </c>
      <c r="D405" t="s">
        <v>61</v>
      </c>
      <c r="E405" t="s">
        <v>154</v>
      </c>
      <c r="F405" s="16">
        <v>-1</v>
      </c>
      <c r="G405" t="s">
        <v>63</v>
      </c>
      <c r="I405">
        <v>20</v>
      </c>
      <c r="J405" t="s">
        <v>1165</v>
      </c>
      <c r="K405" t="s">
        <v>1197</v>
      </c>
      <c r="L405" t="s">
        <v>1198</v>
      </c>
    </row>
    <row r="406" spans="1:15" x14ac:dyDescent="0.3">
      <c r="A406" t="s">
        <v>509</v>
      </c>
      <c r="B406" t="s">
        <v>1193</v>
      </c>
      <c r="C406" t="s">
        <v>550</v>
      </c>
      <c r="D406" t="s">
        <v>61</v>
      </c>
      <c r="E406" t="s">
        <v>154</v>
      </c>
      <c r="F406" s="16">
        <v>-1</v>
      </c>
      <c r="G406" t="s">
        <v>63</v>
      </c>
      <c r="I406">
        <v>20</v>
      </c>
      <c r="J406" t="s">
        <v>362</v>
      </c>
      <c r="K406" t="s">
        <v>1199</v>
      </c>
      <c r="L406" t="s">
        <v>1200</v>
      </c>
    </row>
    <row r="407" spans="1:15" x14ac:dyDescent="0.3">
      <c r="A407" t="s">
        <v>509</v>
      </c>
      <c r="B407" t="s">
        <v>1193</v>
      </c>
      <c r="C407" t="s">
        <v>550</v>
      </c>
      <c r="D407" t="s">
        <v>61</v>
      </c>
      <c r="E407" t="s">
        <v>154</v>
      </c>
      <c r="F407" s="16">
        <v>-1</v>
      </c>
      <c r="G407" t="s">
        <v>63</v>
      </c>
      <c r="I407">
        <v>20</v>
      </c>
      <c r="J407" t="s">
        <v>1201</v>
      </c>
      <c r="K407" t="s">
        <v>1202</v>
      </c>
      <c r="L407" t="s">
        <v>1203</v>
      </c>
      <c r="O407" t="s">
        <v>377</v>
      </c>
    </row>
    <row r="408" spans="1:15" x14ac:dyDescent="0.3">
      <c r="A408" t="s">
        <v>509</v>
      </c>
      <c r="B408" t="s">
        <v>1193</v>
      </c>
      <c r="C408" t="s">
        <v>550</v>
      </c>
      <c r="D408" t="s">
        <v>61</v>
      </c>
      <c r="E408" t="s">
        <v>154</v>
      </c>
      <c r="F408" s="16">
        <v>-1</v>
      </c>
      <c r="G408" t="s">
        <v>72</v>
      </c>
      <c r="H408" t="s">
        <v>73</v>
      </c>
      <c r="J408" t="s">
        <v>1204</v>
      </c>
      <c r="K408" t="s">
        <v>1205</v>
      </c>
      <c r="L408" t="s">
        <v>1206</v>
      </c>
      <c r="O408" t="s">
        <v>1207</v>
      </c>
    </row>
    <row r="409" spans="1:15" x14ac:dyDescent="0.3">
      <c r="A409" t="s">
        <v>509</v>
      </c>
      <c r="B409" t="s">
        <v>1193</v>
      </c>
      <c r="C409" t="s">
        <v>550</v>
      </c>
      <c r="D409" t="s">
        <v>61</v>
      </c>
      <c r="E409" t="s">
        <v>154</v>
      </c>
      <c r="F409" s="16">
        <v>-1</v>
      </c>
      <c r="G409" t="s">
        <v>72</v>
      </c>
      <c r="H409" t="s">
        <v>77</v>
      </c>
      <c r="J409" t="s">
        <v>1204</v>
      </c>
      <c r="K409" t="s">
        <v>1208</v>
      </c>
      <c r="L409" t="s">
        <v>1209</v>
      </c>
      <c r="O409" t="s">
        <v>1207</v>
      </c>
    </row>
    <row r="410" spans="1:15" x14ac:dyDescent="0.3">
      <c r="A410" t="s">
        <v>509</v>
      </c>
      <c r="B410" t="s">
        <v>1210</v>
      </c>
      <c r="C410" t="s">
        <v>630</v>
      </c>
      <c r="D410" t="s">
        <v>61</v>
      </c>
      <c r="E410" t="s">
        <v>154</v>
      </c>
      <c r="F410" s="16">
        <v>-1</v>
      </c>
      <c r="G410" t="s">
        <v>63</v>
      </c>
      <c r="I410">
        <v>33</v>
      </c>
      <c r="J410" t="s">
        <v>666</v>
      </c>
      <c r="K410" t="s">
        <v>1211</v>
      </c>
      <c r="L410" t="s">
        <v>1212</v>
      </c>
    </row>
    <row r="411" spans="1:15" x14ac:dyDescent="0.3">
      <c r="A411" t="s">
        <v>509</v>
      </c>
      <c r="B411" t="s">
        <v>1210</v>
      </c>
      <c r="C411" t="s">
        <v>630</v>
      </c>
      <c r="D411" t="s">
        <v>61</v>
      </c>
      <c r="E411" t="s">
        <v>154</v>
      </c>
      <c r="F411" s="16">
        <v>-1</v>
      </c>
      <c r="G411" t="s">
        <v>63</v>
      </c>
      <c r="I411">
        <v>33</v>
      </c>
      <c r="J411" t="s">
        <v>362</v>
      </c>
      <c r="K411" t="s">
        <v>1213</v>
      </c>
      <c r="L411" t="s">
        <v>1214</v>
      </c>
    </row>
    <row r="412" spans="1:15" x14ac:dyDescent="0.3">
      <c r="A412" t="s">
        <v>509</v>
      </c>
      <c r="B412" t="s">
        <v>1210</v>
      </c>
      <c r="C412" t="s">
        <v>630</v>
      </c>
      <c r="D412" t="s">
        <v>61</v>
      </c>
      <c r="E412" t="s">
        <v>154</v>
      </c>
      <c r="F412" s="16">
        <v>-1</v>
      </c>
      <c r="G412" t="s">
        <v>63</v>
      </c>
      <c r="I412">
        <v>34</v>
      </c>
      <c r="J412" t="s">
        <v>667</v>
      </c>
      <c r="K412" t="s">
        <v>1215</v>
      </c>
      <c r="L412" t="s">
        <v>1216</v>
      </c>
      <c r="O412" t="s">
        <v>1217</v>
      </c>
    </row>
    <row r="413" spans="1:15" x14ac:dyDescent="0.3">
      <c r="A413" t="s">
        <v>509</v>
      </c>
      <c r="B413" t="s">
        <v>1210</v>
      </c>
      <c r="C413" t="s">
        <v>630</v>
      </c>
      <c r="D413" t="s">
        <v>61</v>
      </c>
      <c r="E413" t="s">
        <v>154</v>
      </c>
      <c r="F413" s="16">
        <v>-1</v>
      </c>
      <c r="G413" t="s">
        <v>72</v>
      </c>
      <c r="H413" t="s">
        <v>73</v>
      </c>
      <c r="J413" t="s">
        <v>1218</v>
      </c>
      <c r="K413" t="s">
        <v>1219</v>
      </c>
      <c r="L413" t="s">
        <v>1220</v>
      </c>
      <c r="O413" t="s">
        <v>1221</v>
      </c>
    </row>
    <row r="414" spans="1:15" x14ac:dyDescent="0.3">
      <c r="A414" t="s">
        <v>509</v>
      </c>
      <c r="B414" t="s">
        <v>1210</v>
      </c>
      <c r="C414" t="s">
        <v>630</v>
      </c>
      <c r="D414" t="s">
        <v>61</v>
      </c>
      <c r="E414" t="s">
        <v>154</v>
      </c>
      <c r="F414" s="16">
        <v>-1</v>
      </c>
      <c r="G414" t="s">
        <v>72</v>
      </c>
      <c r="H414" t="s">
        <v>77</v>
      </c>
      <c r="J414" t="s">
        <v>1218</v>
      </c>
      <c r="K414" t="s">
        <v>1222</v>
      </c>
      <c r="L414" t="s">
        <v>1223</v>
      </c>
      <c r="O414" t="s">
        <v>1221</v>
      </c>
    </row>
    <row r="415" spans="1:15" x14ac:dyDescent="0.3">
      <c r="A415" t="s">
        <v>509</v>
      </c>
      <c r="B415" t="s">
        <v>1158</v>
      </c>
      <c r="C415" t="s">
        <v>1158</v>
      </c>
      <c r="D415" t="s">
        <v>61</v>
      </c>
      <c r="E415" t="s">
        <v>154</v>
      </c>
      <c r="F415" s="16">
        <v>-1</v>
      </c>
      <c r="G415" t="s">
        <v>63</v>
      </c>
      <c r="I415">
        <v>20</v>
      </c>
      <c r="J415" t="s">
        <v>666</v>
      </c>
      <c r="K415" t="s">
        <v>772</v>
      </c>
      <c r="L415" t="s">
        <v>1224</v>
      </c>
    </row>
    <row r="416" spans="1:15" x14ac:dyDescent="0.3">
      <c r="A416" t="s">
        <v>509</v>
      </c>
      <c r="B416" t="s">
        <v>1158</v>
      </c>
      <c r="C416" t="s">
        <v>1158</v>
      </c>
      <c r="D416" t="s">
        <v>61</v>
      </c>
      <c r="E416" t="s">
        <v>154</v>
      </c>
      <c r="F416" s="16">
        <v>-1</v>
      </c>
      <c r="G416" t="s">
        <v>63</v>
      </c>
      <c r="I416">
        <v>20</v>
      </c>
      <c r="J416" t="s">
        <v>667</v>
      </c>
      <c r="K416" t="s">
        <v>1225</v>
      </c>
      <c r="L416" t="s">
        <v>1226</v>
      </c>
    </row>
    <row r="417" spans="1:15" x14ac:dyDescent="0.3">
      <c r="A417" t="s">
        <v>509</v>
      </c>
      <c r="B417" t="s">
        <v>1158</v>
      </c>
      <c r="C417" t="s">
        <v>1158</v>
      </c>
      <c r="D417" t="s">
        <v>61</v>
      </c>
      <c r="E417" t="s">
        <v>154</v>
      </c>
      <c r="F417" s="16">
        <v>-1</v>
      </c>
      <c r="G417" t="s">
        <v>63</v>
      </c>
      <c r="I417">
        <v>20</v>
      </c>
      <c r="J417" t="s">
        <v>362</v>
      </c>
      <c r="K417" t="s">
        <v>1227</v>
      </c>
      <c r="L417" t="s">
        <v>1228</v>
      </c>
    </row>
    <row r="418" spans="1:15" x14ac:dyDescent="0.3">
      <c r="A418" t="s">
        <v>509</v>
      </c>
      <c r="B418" t="s">
        <v>1158</v>
      </c>
      <c r="C418" t="s">
        <v>1158</v>
      </c>
      <c r="D418" t="s">
        <v>61</v>
      </c>
      <c r="E418" t="s">
        <v>154</v>
      </c>
      <c r="F418" s="16">
        <v>-1</v>
      </c>
      <c r="G418" t="s">
        <v>63</v>
      </c>
      <c r="I418">
        <v>20</v>
      </c>
      <c r="J418" t="s">
        <v>1229</v>
      </c>
      <c r="K418" t="s">
        <v>1230</v>
      </c>
      <c r="L418" t="s">
        <v>1231</v>
      </c>
    </row>
    <row r="419" spans="1:15" x14ac:dyDescent="0.3">
      <c r="A419" t="s">
        <v>509</v>
      </c>
      <c r="B419" t="s">
        <v>1158</v>
      </c>
      <c r="C419" t="s">
        <v>1158</v>
      </c>
      <c r="D419" t="s">
        <v>61</v>
      </c>
      <c r="E419" t="s">
        <v>154</v>
      </c>
      <c r="F419" s="16">
        <v>-1</v>
      </c>
      <c r="G419" t="s">
        <v>63</v>
      </c>
      <c r="I419">
        <v>20</v>
      </c>
      <c r="J419" t="s">
        <v>1165</v>
      </c>
      <c r="K419" t="s">
        <v>1232</v>
      </c>
      <c r="L419" t="s">
        <v>1233</v>
      </c>
      <c r="O419" t="s">
        <v>377</v>
      </c>
    </row>
    <row r="420" spans="1:15" x14ac:dyDescent="0.3">
      <c r="A420" t="s">
        <v>509</v>
      </c>
      <c r="B420" t="s">
        <v>1158</v>
      </c>
      <c r="C420" t="s">
        <v>1158</v>
      </c>
      <c r="D420" t="s">
        <v>61</v>
      </c>
      <c r="E420" t="s">
        <v>154</v>
      </c>
      <c r="F420" s="16">
        <v>-1</v>
      </c>
      <c r="G420" t="s">
        <v>72</v>
      </c>
      <c r="H420" t="s">
        <v>73</v>
      </c>
      <c r="J420" t="s">
        <v>1234</v>
      </c>
      <c r="K420" t="s">
        <v>1235</v>
      </c>
      <c r="L420" t="s">
        <v>1236</v>
      </c>
      <c r="O420" t="s">
        <v>1237</v>
      </c>
    </row>
    <row r="421" spans="1:15" x14ac:dyDescent="0.3">
      <c r="A421" t="s">
        <v>509</v>
      </c>
      <c r="B421" t="s">
        <v>1158</v>
      </c>
      <c r="C421" t="s">
        <v>1158</v>
      </c>
      <c r="D421" t="s">
        <v>61</v>
      </c>
      <c r="E421" t="s">
        <v>154</v>
      </c>
      <c r="F421" s="16">
        <v>-1</v>
      </c>
      <c r="G421" t="s">
        <v>72</v>
      </c>
      <c r="H421" t="s">
        <v>77</v>
      </c>
      <c r="J421" t="s">
        <v>1234</v>
      </c>
      <c r="K421" t="s">
        <v>1238</v>
      </c>
      <c r="L421" t="s">
        <v>1239</v>
      </c>
      <c r="O421" t="s">
        <v>1237</v>
      </c>
    </row>
    <row r="422" spans="1:15" x14ac:dyDescent="0.3">
      <c r="A422" t="s">
        <v>509</v>
      </c>
      <c r="B422" t="s">
        <v>1240</v>
      </c>
      <c r="C422" t="s">
        <v>550</v>
      </c>
      <c r="D422" t="s">
        <v>61</v>
      </c>
      <c r="E422" t="s">
        <v>154</v>
      </c>
      <c r="F422" s="16">
        <v>-1</v>
      </c>
      <c r="G422" t="s">
        <v>63</v>
      </c>
      <c r="I422">
        <v>20</v>
      </c>
      <c r="J422" t="s">
        <v>666</v>
      </c>
      <c r="K422" t="s">
        <v>569</v>
      </c>
      <c r="L422" t="s">
        <v>1241</v>
      </c>
    </row>
    <row r="423" spans="1:15" x14ac:dyDescent="0.3">
      <c r="A423" t="s">
        <v>509</v>
      </c>
      <c r="B423" t="s">
        <v>1240</v>
      </c>
      <c r="C423" t="s">
        <v>550</v>
      </c>
      <c r="D423" t="s">
        <v>61</v>
      </c>
      <c r="E423" t="s">
        <v>154</v>
      </c>
      <c r="F423" s="16">
        <v>-1</v>
      </c>
      <c r="G423" t="s">
        <v>63</v>
      </c>
      <c r="I423">
        <v>20</v>
      </c>
      <c r="J423" t="s">
        <v>667</v>
      </c>
      <c r="K423" t="s">
        <v>1242</v>
      </c>
      <c r="L423" t="s">
        <v>1243</v>
      </c>
    </row>
    <row r="424" spans="1:15" x14ac:dyDescent="0.3">
      <c r="A424" t="s">
        <v>509</v>
      </c>
      <c r="B424" t="s">
        <v>1240</v>
      </c>
      <c r="C424" t="s">
        <v>550</v>
      </c>
      <c r="D424" t="s">
        <v>61</v>
      </c>
      <c r="E424" t="s">
        <v>154</v>
      </c>
      <c r="F424" s="16">
        <v>-1</v>
      </c>
      <c r="G424" t="s">
        <v>63</v>
      </c>
      <c r="I424">
        <v>20</v>
      </c>
      <c r="J424" t="s">
        <v>1165</v>
      </c>
      <c r="K424" t="s">
        <v>1244</v>
      </c>
      <c r="L424" t="s">
        <v>1245</v>
      </c>
    </row>
    <row r="425" spans="1:15" x14ac:dyDescent="0.3">
      <c r="A425" t="s">
        <v>509</v>
      </c>
      <c r="B425" t="s">
        <v>1240</v>
      </c>
      <c r="C425" t="s">
        <v>550</v>
      </c>
      <c r="D425" t="s">
        <v>61</v>
      </c>
      <c r="E425" t="s">
        <v>154</v>
      </c>
      <c r="F425" s="16">
        <v>-1</v>
      </c>
      <c r="G425" t="s">
        <v>63</v>
      </c>
      <c r="I425">
        <v>20</v>
      </c>
      <c r="J425" t="s">
        <v>362</v>
      </c>
      <c r="K425" t="s">
        <v>1246</v>
      </c>
      <c r="L425" t="s">
        <v>1247</v>
      </c>
    </row>
    <row r="426" spans="1:15" x14ac:dyDescent="0.3">
      <c r="A426" t="s">
        <v>509</v>
      </c>
      <c r="B426" t="s">
        <v>1240</v>
      </c>
      <c r="C426" t="s">
        <v>550</v>
      </c>
      <c r="D426" t="s">
        <v>61</v>
      </c>
      <c r="E426" t="s">
        <v>154</v>
      </c>
      <c r="F426" s="16">
        <v>-1</v>
      </c>
      <c r="G426" t="s">
        <v>63</v>
      </c>
      <c r="I426">
        <v>20</v>
      </c>
      <c r="J426" t="s">
        <v>1248</v>
      </c>
      <c r="K426" t="s">
        <v>1249</v>
      </c>
      <c r="L426" t="s">
        <v>1250</v>
      </c>
      <c r="O426" t="s">
        <v>377</v>
      </c>
    </row>
    <row r="427" spans="1:15" x14ac:dyDescent="0.3">
      <c r="A427" t="s">
        <v>509</v>
      </c>
      <c r="B427" t="s">
        <v>1240</v>
      </c>
      <c r="C427" t="s">
        <v>550</v>
      </c>
      <c r="D427" t="s">
        <v>61</v>
      </c>
      <c r="E427" t="s">
        <v>154</v>
      </c>
      <c r="F427" s="16">
        <v>-1</v>
      </c>
      <c r="G427" t="s">
        <v>72</v>
      </c>
      <c r="H427" t="s">
        <v>73</v>
      </c>
      <c r="J427" t="s">
        <v>1251</v>
      </c>
      <c r="K427" t="s">
        <v>1252</v>
      </c>
      <c r="L427" t="s">
        <v>1253</v>
      </c>
      <c r="O427" t="s">
        <v>1254</v>
      </c>
    </row>
    <row r="428" spans="1:15" x14ac:dyDescent="0.3">
      <c r="A428" t="s">
        <v>509</v>
      </c>
      <c r="B428" t="s">
        <v>1240</v>
      </c>
      <c r="C428" t="s">
        <v>550</v>
      </c>
      <c r="D428" t="s">
        <v>61</v>
      </c>
      <c r="E428" t="s">
        <v>154</v>
      </c>
      <c r="F428" s="16">
        <v>-1</v>
      </c>
      <c r="G428" t="s">
        <v>72</v>
      </c>
      <c r="H428" t="s">
        <v>77</v>
      </c>
      <c r="J428" t="s">
        <v>1251</v>
      </c>
      <c r="K428" t="s">
        <v>628</v>
      </c>
      <c r="L428" t="s">
        <v>1255</v>
      </c>
      <c r="O428" t="s">
        <v>1254</v>
      </c>
    </row>
    <row r="429" spans="1:15" x14ac:dyDescent="0.3">
      <c r="A429" t="s">
        <v>509</v>
      </c>
      <c r="B429" t="s">
        <v>1256</v>
      </c>
      <c r="C429" t="s">
        <v>1158</v>
      </c>
      <c r="D429" t="s">
        <v>61</v>
      </c>
      <c r="E429" t="s">
        <v>154</v>
      </c>
      <c r="F429" s="16">
        <v>-1</v>
      </c>
      <c r="G429" t="s">
        <v>63</v>
      </c>
      <c r="I429">
        <v>20</v>
      </c>
      <c r="J429" t="s">
        <v>666</v>
      </c>
      <c r="K429" t="s">
        <v>1257</v>
      </c>
      <c r="L429" t="s">
        <v>1258</v>
      </c>
    </row>
    <row r="430" spans="1:15" x14ac:dyDescent="0.3">
      <c r="A430" t="s">
        <v>509</v>
      </c>
      <c r="B430" t="s">
        <v>1256</v>
      </c>
      <c r="C430" t="s">
        <v>1158</v>
      </c>
      <c r="D430" t="s">
        <v>61</v>
      </c>
      <c r="E430" t="s">
        <v>154</v>
      </c>
      <c r="F430" s="16">
        <v>-1</v>
      </c>
      <c r="G430" t="s">
        <v>63</v>
      </c>
      <c r="I430">
        <v>20</v>
      </c>
      <c r="J430" t="s">
        <v>667</v>
      </c>
      <c r="K430" t="s">
        <v>1259</v>
      </c>
      <c r="L430" t="s">
        <v>1260</v>
      </c>
    </row>
    <row r="431" spans="1:15" x14ac:dyDescent="0.3">
      <c r="A431" t="s">
        <v>509</v>
      </c>
      <c r="B431" t="s">
        <v>1256</v>
      </c>
      <c r="C431" t="s">
        <v>1158</v>
      </c>
      <c r="D431" t="s">
        <v>61</v>
      </c>
      <c r="E431" t="s">
        <v>154</v>
      </c>
      <c r="F431" s="16">
        <v>-1</v>
      </c>
      <c r="G431" t="s">
        <v>63</v>
      </c>
      <c r="I431">
        <v>20</v>
      </c>
      <c r="J431" t="s">
        <v>362</v>
      </c>
      <c r="K431" t="s">
        <v>1227</v>
      </c>
      <c r="L431" t="s">
        <v>1261</v>
      </c>
    </row>
    <row r="432" spans="1:15" x14ac:dyDescent="0.3">
      <c r="A432" t="s">
        <v>509</v>
      </c>
      <c r="B432" t="s">
        <v>1256</v>
      </c>
      <c r="C432" t="s">
        <v>1158</v>
      </c>
      <c r="D432" t="s">
        <v>61</v>
      </c>
      <c r="E432" t="s">
        <v>154</v>
      </c>
      <c r="F432" s="16">
        <v>-1</v>
      </c>
      <c r="G432" t="s">
        <v>63</v>
      </c>
      <c r="I432">
        <v>20</v>
      </c>
      <c r="J432" t="s">
        <v>1262</v>
      </c>
      <c r="K432" t="s">
        <v>1263</v>
      </c>
      <c r="L432" t="s">
        <v>1264</v>
      </c>
    </row>
    <row r="433" spans="1:15" x14ac:dyDescent="0.3">
      <c r="A433" t="s">
        <v>509</v>
      </c>
      <c r="B433" t="s">
        <v>1256</v>
      </c>
      <c r="C433" t="s">
        <v>1158</v>
      </c>
      <c r="D433" t="s">
        <v>61</v>
      </c>
      <c r="E433" t="s">
        <v>154</v>
      </c>
      <c r="F433" s="16">
        <v>-1</v>
      </c>
      <c r="G433" t="s">
        <v>63</v>
      </c>
      <c r="I433">
        <v>20</v>
      </c>
      <c r="J433" t="s">
        <v>1265</v>
      </c>
      <c r="K433" t="s">
        <v>1266</v>
      </c>
      <c r="L433" t="s">
        <v>1267</v>
      </c>
      <c r="O433" t="s">
        <v>377</v>
      </c>
    </row>
    <row r="434" spans="1:15" x14ac:dyDescent="0.3">
      <c r="A434" t="s">
        <v>509</v>
      </c>
      <c r="B434" t="s">
        <v>1256</v>
      </c>
      <c r="C434" t="s">
        <v>1158</v>
      </c>
      <c r="D434" t="s">
        <v>61</v>
      </c>
      <c r="E434" t="s">
        <v>154</v>
      </c>
      <c r="F434" s="16">
        <v>-1</v>
      </c>
      <c r="G434" t="s">
        <v>72</v>
      </c>
      <c r="H434" t="s">
        <v>73</v>
      </c>
      <c r="J434" t="s">
        <v>1268</v>
      </c>
      <c r="K434" t="s">
        <v>1269</v>
      </c>
      <c r="L434" t="s">
        <v>1270</v>
      </c>
      <c r="O434" t="s">
        <v>1271</v>
      </c>
    </row>
    <row r="435" spans="1:15" x14ac:dyDescent="0.3">
      <c r="A435" t="s">
        <v>509</v>
      </c>
      <c r="B435" t="s">
        <v>1256</v>
      </c>
      <c r="C435" t="s">
        <v>1158</v>
      </c>
      <c r="D435" t="s">
        <v>61</v>
      </c>
      <c r="E435" t="s">
        <v>154</v>
      </c>
      <c r="F435" s="16">
        <v>-1</v>
      </c>
      <c r="G435" t="s">
        <v>72</v>
      </c>
      <c r="H435" t="s">
        <v>77</v>
      </c>
      <c r="J435" t="s">
        <v>1268</v>
      </c>
      <c r="K435" t="s">
        <v>1272</v>
      </c>
      <c r="L435" t="s">
        <v>1273</v>
      </c>
      <c r="O435" t="s">
        <v>1271</v>
      </c>
    </row>
    <row r="436" spans="1:15" x14ac:dyDescent="0.3">
      <c r="A436" t="s">
        <v>509</v>
      </c>
      <c r="B436" t="s">
        <v>1274</v>
      </c>
      <c r="C436" t="s">
        <v>1275</v>
      </c>
      <c r="D436" t="s">
        <v>61</v>
      </c>
      <c r="E436" t="s">
        <v>154</v>
      </c>
      <c r="F436" s="16">
        <v>-1</v>
      </c>
      <c r="G436" t="s">
        <v>63</v>
      </c>
      <c r="I436">
        <v>20</v>
      </c>
      <c r="J436" t="s">
        <v>674</v>
      </c>
      <c r="K436" t="s">
        <v>1276</v>
      </c>
      <c r="L436" t="s">
        <v>1277</v>
      </c>
    </row>
    <row r="437" spans="1:15" x14ac:dyDescent="0.3">
      <c r="A437" t="s">
        <v>509</v>
      </c>
      <c r="B437" t="s">
        <v>1274</v>
      </c>
      <c r="C437" t="s">
        <v>1275</v>
      </c>
      <c r="D437" t="s">
        <v>61</v>
      </c>
      <c r="E437" t="s">
        <v>154</v>
      </c>
      <c r="F437" s="16">
        <v>-1</v>
      </c>
      <c r="G437" t="s">
        <v>63</v>
      </c>
      <c r="I437">
        <v>20</v>
      </c>
      <c r="J437" t="s">
        <v>666</v>
      </c>
      <c r="K437" t="s">
        <v>809</v>
      </c>
      <c r="L437" t="s">
        <v>1278</v>
      </c>
    </row>
    <row r="438" spans="1:15" x14ac:dyDescent="0.3">
      <c r="A438" t="s">
        <v>509</v>
      </c>
      <c r="B438" t="s">
        <v>1274</v>
      </c>
      <c r="C438" t="s">
        <v>1275</v>
      </c>
      <c r="D438" t="s">
        <v>61</v>
      </c>
      <c r="E438" t="s">
        <v>154</v>
      </c>
      <c r="F438" s="16">
        <v>-1</v>
      </c>
      <c r="G438" t="s">
        <v>63</v>
      </c>
      <c r="I438">
        <v>20</v>
      </c>
      <c r="J438" t="s">
        <v>667</v>
      </c>
      <c r="K438" t="s">
        <v>1279</v>
      </c>
      <c r="L438" t="s">
        <v>1280</v>
      </c>
    </row>
    <row r="439" spans="1:15" x14ac:dyDescent="0.3">
      <c r="A439" t="s">
        <v>509</v>
      </c>
      <c r="B439" t="s">
        <v>1274</v>
      </c>
      <c r="C439" t="s">
        <v>1275</v>
      </c>
      <c r="D439" t="s">
        <v>61</v>
      </c>
      <c r="E439" t="s">
        <v>154</v>
      </c>
      <c r="F439" s="16">
        <v>-1</v>
      </c>
      <c r="G439" t="s">
        <v>63</v>
      </c>
      <c r="I439">
        <v>20</v>
      </c>
      <c r="J439" t="s">
        <v>362</v>
      </c>
      <c r="K439" t="s">
        <v>1281</v>
      </c>
      <c r="L439" t="s">
        <v>1282</v>
      </c>
    </row>
    <row r="440" spans="1:15" x14ac:dyDescent="0.3">
      <c r="A440" t="s">
        <v>509</v>
      </c>
      <c r="B440" t="s">
        <v>1274</v>
      </c>
      <c r="C440" t="s">
        <v>1275</v>
      </c>
      <c r="D440" t="s">
        <v>61</v>
      </c>
      <c r="E440" t="s">
        <v>154</v>
      </c>
      <c r="F440" s="16">
        <v>-1</v>
      </c>
      <c r="G440" t="s">
        <v>63</v>
      </c>
      <c r="I440">
        <v>20</v>
      </c>
      <c r="J440" t="s">
        <v>1165</v>
      </c>
      <c r="K440" t="s">
        <v>1283</v>
      </c>
      <c r="L440" t="s">
        <v>1284</v>
      </c>
      <c r="O440" t="s">
        <v>377</v>
      </c>
    </row>
    <row r="441" spans="1:15" x14ac:dyDescent="0.3">
      <c r="A441" t="s">
        <v>509</v>
      </c>
      <c r="B441" t="s">
        <v>1274</v>
      </c>
      <c r="C441" t="s">
        <v>1275</v>
      </c>
      <c r="D441" t="s">
        <v>61</v>
      </c>
      <c r="E441" t="s">
        <v>154</v>
      </c>
      <c r="F441" s="16">
        <v>-1</v>
      </c>
      <c r="G441" t="s">
        <v>72</v>
      </c>
      <c r="H441" t="s">
        <v>73</v>
      </c>
      <c r="J441" t="s">
        <v>1285</v>
      </c>
      <c r="K441" t="s">
        <v>1286</v>
      </c>
      <c r="L441" t="s">
        <v>1287</v>
      </c>
      <c r="O441" t="s">
        <v>1237</v>
      </c>
    </row>
    <row r="442" spans="1:15" x14ac:dyDescent="0.3">
      <c r="A442" t="s">
        <v>509</v>
      </c>
      <c r="B442" t="s">
        <v>1274</v>
      </c>
      <c r="C442" t="s">
        <v>1275</v>
      </c>
      <c r="D442" t="s">
        <v>61</v>
      </c>
      <c r="E442" t="s">
        <v>154</v>
      </c>
      <c r="F442" s="16">
        <v>-1</v>
      </c>
      <c r="G442" t="s">
        <v>72</v>
      </c>
      <c r="H442" t="s">
        <v>77</v>
      </c>
      <c r="J442" t="s">
        <v>1285</v>
      </c>
      <c r="K442" t="s">
        <v>1288</v>
      </c>
      <c r="L442" t="s">
        <v>1289</v>
      </c>
      <c r="O442" t="s">
        <v>1237</v>
      </c>
    </row>
    <row r="443" spans="1:15" x14ac:dyDescent="0.3">
      <c r="A443" t="s">
        <v>509</v>
      </c>
      <c r="B443" t="s">
        <v>1290</v>
      </c>
      <c r="C443" t="s">
        <v>897</v>
      </c>
      <c r="D443" t="s">
        <v>61</v>
      </c>
      <c r="E443" t="s">
        <v>154</v>
      </c>
      <c r="F443" s="16">
        <v>-1</v>
      </c>
      <c r="G443" t="s">
        <v>63</v>
      </c>
      <c r="I443">
        <v>20</v>
      </c>
      <c r="J443" t="s">
        <v>666</v>
      </c>
      <c r="K443" t="s">
        <v>772</v>
      </c>
      <c r="L443" t="s">
        <v>1291</v>
      </c>
    </row>
    <row r="444" spans="1:15" x14ac:dyDescent="0.3">
      <c r="A444" t="s">
        <v>509</v>
      </c>
      <c r="B444" t="s">
        <v>1290</v>
      </c>
      <c r="C444" t="s">
        <v>897</v>
      </c>
      <c r="D444" t="s">
        <v>61</v>
      </c>
      <c r="E444" t="s">
        <v>154</v>
      </c>
      <c r="F444" s="16">
        <v>-1</v>
      </c>
      <c r="G444" t="s">
        <v>63</v>
      </c>
      <c r="I444">
        <v>20</v>
      </c>
      <c r="J444" t="s">
        <v>1292</v>
      </c>
      <c r="K444" t="s">
        <v>1293</v>
      </c>
      <c r="L444" t="s">
        <v>1294</v>
      </c>
    </row>
    <row r="445" spans="1:15" x14ac:dyDescent="0.3">
      <c r="A445" t="s">
        <v>509</v>
      </c>
      <c r="B445" t="s">
        <v>1290</v>
      </c>
      <c r="C445" t="s">
        <v>897</v>
      </c>
      <c r="D445" t="s">
        <v>61</v>
      </c>
      <c r="E445" t="s">
        <v>154</v>
      </c>
      <c r="F445" s="16">
        <v>-1</v>
      </c>
      <c r="G445" t="s">
        <v>63</v>
      </c>
      <c r="I445">
        <v>20</v>
      </c>
      <c r="J445" t="s">
        <v>667</v>
      </c>
      <c r="K445" t="s">
        <v>1295</v>
      </c>
      <c r="L445" t="s">
        <v>1296</v>
      </c>
    </row>
    <row r="446" spans="1:15" x14ac:dyDescent="0.3">
      <c r="A446" t="s">
        <v>509</v>
      </c>
      <c r="B446" t="s">
        <v>1290</v>
      </c>
      <c r="C446" t="s">
        <v>897</v>
      </c>
      <c r="D446" t="s">
        <v>61</v>
      </c>
      <c r="E446" t="s">
        <v>154</v>
      </c>
      <c r="F446" s="16">
        <v>-1</v>
      </c>
      <c r="G446" t="s">
        <v>63</v>
      </c>
      <c r="I446">
        <v>20</v>
      </c>
      <c r="J446" t="s">
        <v>362</v>
      </c>
      <c r="K446" t="s">
        <v>1297</v>
      </c>
      <c r="L446" t="s">
        <v>1298</v>
      </c>
    </row>
    <row r="447" spans="1:15" x14ac:dyDescent="0.3">
      <c r="A447" t="s">
        <v>509</v>
      </c>
      <c r="B447" t="s">
        <v>1290</v>
      </c>
      <c r="C447" t="s">
        <v>897</v>
      </c>
      <c r="D447" t="s">
        <v>61</v>
      </c>
      <c r="E447" t="s">
        <v>154</v>
      </c>
      <c r="F447" s="16">
        <v>-1</v>
      </c>
      <c r="G447" t="s">
        <v>63</v>
      </c>
      <c r="I447">
        <v>20</v>
      </c>
      <c r="J447" t="s">
        <v>1299</v>
      </c>
      <c r="K447" t="s">
        <v>1300</v>
      </c>
      <c r="L447" t="s">
        <v>1301</v>
      </c>
      <c r="O447" t="s">
        <v>377</v>
      </c>
    </row>
    <row r="448" spans="1:15" x14ac:dyDescent="0.3">
      <c r="A448" t="s">
        <v>509</v>
      </c>
      <c r="B448" t="s">
        <v>1290</v>
      </c>
      <c r="C448" t="s">
        <v>897</v>
      </c>
      <c r="D448" t="s">
        <v>61</v>
      </c>
      <c r="E448" t="s">
        <v>154</v>
      </c>
      <c r="F448" s="16">
        <v>-1</v>
      </c>
      <c r="G448" t="s">
        <v>72</v>
      </c>
      <c r="H448" t="s">
        <v>73</v>
      </c>
      <c r="J448" t="s">
        <v>1302</v>
      </c>
      <c r="K448" t="s">
        <v>1303</v>
      </c>
      <c r="L448" t="s">
        <v>1304</v>
      </c>
      <c r="O448" t="s">
        <v>1305</v>
      </c>
    </row>
    <row r="449" spans="1:15" x14ac:dyDescent="0.3">
      <c r="A449" t="s">
        <v>509</v>
      </c>
      <c r="B449" t="s">
        <v>1290</v>
      </c>
      <c r="C449" t="s">
        <v>897</v>
      </c>
      <c r="D449" t="s">
        <v>61</v>
      </c>
      <c r="E449" t="s">
        <v>154</v>
      </c>
      <c r="F449" s="16">
        <v>-1</v>
      </c>
      <c r="G449" t="s">
        <v>72</v>
      </c>
      <c r="H449" t="s">
        <v>77</v>
      </c>
      <c r="J449" t="s">
        <v>1302</v>
      </c>
      <c r="K449" t="s">
        <v>1306</v>
      </c>
      <c r="L449" t="s">
        <v>1307</v>
      </c>
      <c r="O449" t="s">
        <v>1305</v>
      </c>
    </row>
    <row r="450" spans="1:15" x14ac:dyDescent="0.3">
      <c r="A450" t="s">
        <v>509</v>
      </c>
      <c r="B450" t="s">
        <v>1308</v>
      </c>
      <c r="C450" t="s">
        <v>120</v>
      </c>
      <c r="D450" t="s">
        <v>61</v>
      </c>
      <c r="E450" t="s">
        <v>154</v>
      </c>
      <c r="F450" s="16">
        <v>-1</v>
      </c>
      <c r="G450" t="s">
        <v>63</v>
      </c>
      <c r="I450">
        <v>20</v>
      </c>
      <c r="J450" t="s">
        <v>666</v>
      </c>
      <c r="K450" t="s">
        <v>1068</v>
      </c>
      <c r="L450" t="s">
        <v>1309</v>
      </c>
    </row>
    <row r="451" spans="1:15" x14ac:dyDescent="0.3">
      <c r="A451" t="s">
        <v>509</v>
      </c>
      <c r="B451" t="s">
        <v>1308</v>
      </c>
      <c r="C451" t="s">
        <v>120</v>
      </c>
      <c r="D451" t="s">
        <v>61</v>
      </c>
      <c r="E451" t="s">
        <v>154</v>
      </c>
      <c r="F451" s="16">
        <v>-1</v>
      </c>
      <c r="G451" t="s">
        <v>63</v>
      </c>
      <c r="I451">
        <v>20</v>
      </c>
      <c r="J451" t="s">
        <v>667</v>
      </c>
      <c r="K451" t="s">
        <v>1310</v>
      </c>
      <c r="L451" t="s">
        <v>1311</v>
      </c>
    </row>
    <row r="452" spans="1:15" x14ac:dyDescent="0.3">
      <c r="A452" t="s">
        <v>509</v>
      </c>
      <c r="B452" t="s">
        <v>1308</v>
      </c>
      <c r="C452" t="s">
        <v>120</v>
      </c>
      <c r="D452" t="s">
        <v>61</v>
      </c>
      <c r="E452" t="s">
        <v>154</v>
      </c>
      <c r="F452" s="16">
        <v>-1</v>
      </c>
      <c r="G452" t="s">
        <v>63</v>
      </c>
      <c r="I452">
        <v>20</v>
      </c>
      <c r="J452" t="s">
        <v>1312</v>
      </c>
      <c r="K452" t="s">
        <v>1313</v>
      </c>
      <c r="L452" t="s">
        <v>1314</v>
      </c>
    </row>
    <row r="453" spans="1:15" x14ac:dyDescent="0.3">
      <c r="A453" t="s">
        <v>509</v>
      </c>
      <c r="B453" t="s">
        <v>1308</v>
      </c>
      <c r="C453" t="s">
        <v>120</v>
      </c>
      <c r="D453" t="s">
        <v>61</v>
      </c>
      <c r="E453" t="s">
        <v>154</v>
      </c>
      <c r="F453" s="16">
        <v>-1</v>
      </c>
      <c r="G453" t="s">
        <v>63</v>
      </c>
      <c r="I453">
        <v>20</v>
      </c>
      <c r="J453" t="s">
        <v>362</v>
      </c>
      <c r="K453" t="s">
        <v>1315</v>
      </c>
      <c r="L453" t="s">
        <v>1316</v>
      </c>
    </row>
    <row r="454" spans="1:15" x14ac:dyDescent="0.3">
      <c r="A454" t="s">
        <v>509</v>
      </c>
      <c r="B454" t="s">
        <v>1308</v>
      </c>
      <c r="C454" t="s">
        <v>120</v>
      </c>
      <c r="D454" t="s">
        <v>61</v>
      </c>
      <c r="E454" t="s">
        <v>154</v>
      </c>
      <c r="F454" s="16">
        <v>-1</v>
      </c>
      <c r="G454" t="s">
        <v>63</v>
      </c>
      <c r="I454">
        <v>20</v>
      </c>
      <c r="J454" t="s">
        <v>669</v>
      </c>
      <c r="K454" t="s">
        <v>1317</v>
      </c>
      <c r="L454" t="s">
        <v>1318</v>
      </c>
      <c r="O454" t="s">
        <v>377</v>
      </c>
    </row>
    <row r="455" spans="1:15" x14ac:dyDescent="0.3">
      <c r="A455" t="s">
        <v>509</v>
      </c>
      <c r="B455" t="s">
        <v>1308</v>
      </c>
      <c r="C455" t="s">
        <v>120</v>
      </c>
      <c r="D455" t="s">
        <v>61</v>
      </c>
      <c r="E455" t="s">
        <v>154</v>
      </c>
      <c r="F455" s="16">
        <v>-1</v>
      </c>
      <c r="G455" t="s">
        <v>72</v>
      </c>
      <c r="H455" t="s">
        <v>73</v>
      </c>
      <c r="J455" t="s">
        <v>1319</v>
      </c>
      <c r="K455" t="s">
        <v>1320</v>
      </c>
      <c r="L455" t="s">
        <v>1321</v>
      </c>
      <c r="O455" t="s">
        <v>1322</v>
      </c>
    </row>
    <row r="456" spans="1:15" x14ac:dyDescent="0.3">
      <c r="A456" t="s">
        <v>509</v>
      </c>
      <c r="B456" t="s">
        <v>1308</v>
      </c>
      <c r="C456" t="s">
        <v>120</v>
      </c>
      <c r="D456" t="s">
        <v>61</v>
      </c>
      <c r="E456" t="s">
        <v>154</v>
      </c>
      <c r="F456" s="16">
        <v>-1</v>
      </c>
      <c r="G456" t="s">
        <v>72</v>
      </c>
      <c r="H456" t="s">
        <v>77</v>
      </c>
      <c r="J456" t="s">
        <v>1319</v>
      </c>
      <c r="K456" t="s">
        <v>1323</v>
      </c>
      <c r="L456" t="s">
        <v>1324</v>
      </c>
      <c r="O456" t="s">
        <v>1322</v>
      </c>
    </row>
    <row r="457" spans="1:15" x14ac:dyDescent="0.3">
      <c r="A457" t="s">
        <v>509</v>
      </c>
      <c r="B457" t="s">
        <v>1325</v>
      </c>
      <c r="C457" t="s">
        <v>550</v>
      </c>
      <c r="D457" t="s">
        <v>61</v>
      </c>
      <c r="E457" t="s">
        <v>154</v>
      </c>
      <c r="F457" s="16">
        <v>-1</v>
      </c>
      <c r="G457" t="s">
        <v>63</v>
      </c>
      <c r="I457">
        <v>25</v>
      </c>
      <c r="J457" t="s">
        <v>1326</v>
      </c>
      <c r="K457" t="s">
        <v>1327</v>
      </c>
      <c r="L457" t="s">
        <v>1328</v>
      </c>
    </row>
    <row r="458" spans="1:15" x14ac:dyDescent="0.3">
      <c r="A458" t="s">
        <v>509</v>
      </c>
      <c r="B458" t="s">
        <v>1325</v>
      </c>
      <c r="C458" t="s">
        <v>550</v>
      </c>
      <c r="D458" t="s">
        <v>61</v>
      </c>
      <c r="E458" t="s">
        <v>154</v>
      </c>
      <c r="F458" s="16">
        <v>-1</v>
      </c>
      <c r="G458" t="s">
        <v>63</v>
      </c>
      <c r="I458">
        <v>25</v>
      </c>
      <c r="J458" t="s">
        <v>666</v>
      </c>
      <c r="K458" t="s">
        <v>1329</v>
      </c>
      <c r="L458" t="s">
        <v>1330</v>
      </c>
    </row>
    <row r="459" spans="1:15" x14ac:dyDescent="0.3">
      <c r="A459" t="s">
        <v>509</v>
      </c>
      <c r="B459" t="s">
        <v>1325</v>
      </c>
      <c r="C459" t="s">
        <v>550</v>
      </c>
      <c r="D459" t="s">
        <v>61</v>
      </c>
      <c r="E459" t="s">
        <v>154</v>
      </c>
      <c r="F459" s="16">
        <v>-1</v>
      </c>
      <c r="G459" t="s">
        <v>63</v>
      </c>
      <c r="I459">
        <v>25</v>
      </c>
      <c r="J459" t="s">
        <v>667</v>
      </c>
      <c r="K459" t="s">
        <v>1331</v>
      </c>
      <c r="L459" t="s">
        <v>1332</v>
      </c>
    </row>
    <row r="460" spans="1:15" x14ac:dyDescent="0.3">
      <c r="A460" t="s">
        <v>509</v>
      </c>
      <c r="B460" t="s">
        <v>1325</v>
      </c>
      <c r="C460" t="s">
        <v>550</v>
      </c>
      <c r="D460" t="s">
        <v>61</v>
      </c>
      <c r="E460" t="s">
        <v>154</v>
      </c>
      <c r="F460" s="16">
        <v>-1</v>
      </c>
      <c r="G460" t="s">
        <v>63</v>
      </c>
      <c r="I460">
        <v>25</v>
      </c>
      <c r="J460" t="s">
        <v>362</v>
      </c>
      <c r="K460" t="s">
        <v>1333</v>
      </c>
      <c r="L460" t="s">
        <v>1334</v>
      </c>
      <c r="O460" t="s">
        <v>738</v>
      </c>
    </row>
    <row r="461" spans="1:15" x14ac:dyDescent="0.3">
      <c r="A461" t="s">
        <v>509</v>
      </c>
      <c r="B461" t="s">
        <v>1335</v>
      </c>
      <c r="C461" t="s">
        <v>1336</v>
      </c>
      <c r="D461" t="s">
        <v>61</v>
      </c>
      <c r="E461" t="s">
        <v>154</v>
      </c>
      <c r="F461" s="16">
        <v>-1</v>
      </c>
      <c r="G461" t="s">
        <v>63</v>
      </c>
      <c r="I461">
        <v>20</v>
      </c>
      <c r="J461" t="s">
        <v>666</v>
      </c>
      <c r="K461" t="s">
        <v>515</v>
      </c>
      <c r="L461" t="s">
        <v>1337</v>
      </c>
    </row>
    <row r="462" spans="1:15" x14ac:dyDescent="0.3">
      <c r="A462" t="s">
        <v>509</v>
      </c>
      <c r="B462" t="s">
        <v>1335</v>
      </c>
      <c r="C462" t="s">
        <v>1336</v>
      </c>
      <c r="D462" t="s">
        <v>61</v>
      </c>
      <c r="E462" t="s">
        <v>154</v>
      </c>
      <c r="F462" s="16">
        <v>-1</v>
      </c>
      <c r="G462" t="s">
        <v>63</v>
      </c>
      <c r="I462">
        <v>20</v>
      </c>
      <c r="J462" t="s">
        <v>667</v>
      </c>
      <c r="K462" t="s">
        <v>1338</v>
      </c>
      <c r="L462" t="s">
        <v>1339</v>
      </c>
    </row>
    <row r="463" spans="1:15" x14ac:dyDescent="0.3">
      <c r="A463" t="s">
        <v>509</v>
      </c>
      <c r="B463" t="s">
        <v>1335</v>
      </c>
      <c r="C463" t="s">
        <v>1336</v>
      </c>
      <c r="D463" t="s">
        <v>61</v>
      </c>
      <c r="E463" t="s">
        <v>154</v>
      </c>
      <c r="F463" s="16">
        <v>-1</v>
      </c>
      <c r="G463" t="s">
        <v>63</v>
      </c>
      <c r="I463">
        <v>20</v>
      </c>
      <c r="J463" t="s">
        <v>1165</v>
      </c>
      <c r="K463" t="s">
        <v>1340</v>
      </c>
      <c r="L463" t="s">
        <v>1341</v>
      </c>
    </row>
    <row r="464" spans="1:15" x14ac:dyDescent="0.3">
      <c r="A464" t="s">
        <v>509</v>
      </c>
      <c r="B464" t="s">
        <v>1335</v>
      </c>
      <c r="C464" t="s">
        <v>1336</v>
      </c>
      <c r="D464" t="s">
        <v>61</v>
      </c>
      <c r="E464" t="s">
        <v>154</v>
      </c>
      <c r="F464" s="16">
        <v>-1</v>
      </c>
      <c r="G464" t="s">
        <v>63</v>
      </c>
      <c r="I464">
        <v>20</v>
      </c>
      <c r="J464" t="s">
        <v>362</v>
      </c>
      <c r="K464" t="s">
        <v>1342</v>
      </c>
      <c r="L464" t="s">
        <v>1343</v>
      </c>
    </row>
    <row r="465" spans="1:15" x14ac:dyDescent="0.3">
      <c r="A465" t="s">
        <v>509</v>
      </c>
      <c r="B465" t="s">
        <v>1335</v>
      </c>
      <c r="C465" t="s">
        <v>1336</v>
      </c>
      <c r="D465" t="s">
        <v>61</v>
      </c>
      <c r="E465" t="s">
        <v>154</v>
      </c>
      <c r="F465" s="16">
        <v>-1</v>
      </c>
      <c r="G465" t="s">
        <v>63</v>
      </c>
      <c r="I465">
        <v>20</v>
      </c>
      <c r="J465" t="s">
        <v>732</v>
      </c>
      <c r="K465" t="s">
        <v>1344</v>
      </c>
      <c r="L465" t="s">
        <v>1345</v>
      </c>
      <c r="O465" t="s">
        <v>377</v>
      </c>
    </row>
    <row r="466" spans="1:15" x14ac:dyDescent="0.3">
      <c r="A466" t="s">
        <v>509</v>
      </c>
      <c r="B466" t="s">
        <v>1335</v>
      </c>
      <c r="C466" t="s">
        <v>1336</v>
      </c>
      <c r="D466" t="s">
        <v>61</v>
      </c>
      <c r="E466" t="s">
        <v>154</v>
      </c>
      <c r="F466" s="16">
        <v>-1</v>
      </c>
      <c r="G466" t="s">
        <v>72</v>
      </c>
      <c r="H466" t="s">
        <v>73</v>
      </c>
      <c r="J466" t="s">
        <v>1346</v>
      </c>
      <c r="K466" t="s">
        <v>1347</v>
      </c>
      <c r="L466" t="s">
        <v>1348</v>
      </c>
      <c r="O466" t="s">
        <v>912</v>
      </c>
    </row>
    <row r="467" spans="1:15" x14ac:dyDescent="0.3">
      <c r="A467" t="s">
        <v>509</v>
      </c>
      <c r="B467" t="s">
        <v>1335</v>
      </c>
      <c r="C467" t="s">
        <v>1336</v>
      </c>
      <c r="D467" t="s">
        <v>61</v>
      </c>
      <c r="E467" t="s">
        <v>154</v>
      </c>
      <c r="F467" s="16">
        <v>-1</v>
      </c>
      <c r="G467" t="s">
        <v>72</v>
      </c>
      <c r="H467" t="s">
        <v>77</v>
      </c>
      <c r="J467" t="s">
        <v>1346</v>
      </c>
      <c r="K467" t="s">
        <v>1349</v>
      </c>
      <c r="L467" t="s">
        <v>1350</v>
      </c>
      <c r="O467" t="s">
        <v>912</v>
      </c>
    </row>
    <row r="468" spans="1:15" x14ac:dyDescent="0.3">
      <c r="A468" t="s">
        <v>509</v>
      </c>
      <c r="B468" t="s">
        <v>1351</v>
      </c>
      <c r="C468" t="s">
        <v>1119</v>
      </c>
      <c r="D468" t="s">
        <v>61</v>
      </c>
      <c r="E468" t="s">
        <v>154</v>
      </c>
      <c r="F468" s="16">
        <v>-1</v>
      </c>
      <c r="G468" t="s">
        <v>63</v>
      </c>
      <c r="I468">
        <v>20</v>
      </c>
      <c r="J468" t="s">
        <v>666</v>
      </c>
      <c r="K468" t="s">
        <v>1352</v>
      </c>
      <c r="L468" t="s">
        <v>1353</v>
      </c>
    </row>
    <row r="469" spans="1:15" x14ac:dyDescent="0.3">
      <c r="A469" t="s">
        <v>509</v>
      </c>
      <c r="B469" t="s">
        <v>1351</v>
      </c>
      <c r="C469" t="s">
        <v>1119</v>
      </c>
      <c r="D469" t="s">
        <v>61</v>
      </c>
      <c r="E469" t="s">
        <v>154</v>
      </c>
      <c r="F469" s="16">
        <v>-1</v>
      </c>
      <c r="G469" t="s">
        <v>63</v>
      </c>
      <c r="I469">
        <v>20</v>
      </c>
      <c r="J469" t="s">
        <v>667</v>
      </c>
      <c r="K469" t="s">
        <v>1354</v>
      </c>
      <c r="L469" t="s">
        <v>1355</v>
      </c>
    </row>
    <row r="470" spans="1:15" x14ac:dyDescent="0.3">
      <c r="A470" t="s">
        <v>509</v>
      </c>
      <c r="B470" t="s">
        <v>1351</v>
      </c>
      <c r="C470" t="s">
        <v>1119</v>
      </c>
      <c r="D470" t="s">
        <v>61</v>
      </c>
      <c r="E470" t="s">
        <v>154</v>
      </c>
      <c r="F470" s="16">
        <v>-1</v>
      </c>
      <c r="G470" t="s">
        <v>63</v>
      </c>
      <c r="I470">
        <v>20</v>
      </c>
      <c r="J470" t="s">
        <v>362</v>
      </c>
      <c r="K470" t="s">
        <v>1356</v>
      </c>
      <c r="L470" t="s">
        <v>1357</v>
      </c>
    </row>
    <row r="471" spans="1:15" x14ac:dyDescent="0.3">
      <c r="A471" t="s">
        <v>509</v>
      </c>
      <c r="B471" t="s">
        <v>1351</v>
      </c>
      <c r="C471" t="s">
        <v>1119</v>
      </c>
      <c r="D471" t="s">
        <v>61</v>
      </c>
      <c r="E471" t="s">
        <v>154</v>
      </c>
      <c r="F471" s="16">
        <v>-1</v>
      </c>
      <c r="G471" t="s">
        <v>63</v>
      </c>
      <c r="I471">
        <v>20</v>
      </c>
      <c r="J471" t="s">
        <v>1358</v>
      </c>
      <c r="K471" t="s">
        <v>1359</v>
      </c>
      <c r="L471" t="s">
        <v>1360</v>
      </c>
    </row>
    <row r="472" spans="1:15" x14ac:dyDescent="0.3">
      <c r="A472" t="s">
        <v>509</v>
      </c>
      <c r="B472" t="s">
        <v>1351</v>
      </c>
      <c r="C472" t="s">
        <v>1119</v>
      </c>
      <c r="D472" t="s">
        <v>61</v>
      </c>
      <c r="E472" t="s">
        <v>154</v>
      </c>
      <c r="F472" s="16">
        <v>-1</v>
      </c>
      <c r="G472" t="s">
        <v>63</v>
      </c>
      <c r="I472">
        <v>20</v>
      </c>
      <c r="J472" t="s">
        <v>1361</v>
      </c>
      <c r="K472" t="s">
        <v>1362</v>
      </c>
      <c r="L472" t="s">
        <v>1363</v>
      </c>
      <c r="O472" t="s">
        <v>377</v>
      </c>
    </row>
    <row r="473" spans="1:15" x14ac:dyDescent="0.3">
      <c r="A473" t="s">
        <v>509</v>
      </c>
      <c r="B473" t="s">
        <v>1351</v>
      </c>
      <c r="C473" t="s">
        <v>1119</v>
      </c>
      <c r="D473" t="s">
        <v>61</v>
      </c>
      <c r="E473" t="s">
        <v>154</v>
      </c>
      <c r="F473" s="16">
        <v>-1</v>
      </c>
      <c r="G473" t="s">
        <v>72</v>
      </c>
      <c r="H473" t="s">
        <v>73</v>
      </c>
      <c r="J473" t="s">
        <v>1364</v>
      </c>
      <c r="K473" t="s">
        <v>1365</v>
      </c>
      <c r="L473" t="s">
        <v>1366</v>
      </c>
      <c r="O473" t="s">
        <v>1367</v>
      </c>
    </row>
    <row r="474" spans="1:15" x14ac:dyDescent="0.3">
      <c r="A474" t="s">
        <v>509</v>
      </c>
      <c r="B474" t="s">
        <v>1351</v>
      </c>
      <c r="C474" t="s">
        <v>1119</v>
      </c>
      <c r="D474" t="s">
        <v>61</v>
      </c>
      <c r="E474" t="s">
        <v>154</v>
      </c>
      <c r="F474" s="16">
        <v>-1</v>
      </c>
      <c r="G474" t="s">
        <v>72</v>
      </c>
      <c r="H474" t="s">
        <v>77</v>
      </c>
      <c r="J474" t="s">
        <v>1364</v>
      </c>
      <c r="K474" t="s">
        <v>1368</v>
      </c>
      <c r="L474" t="s">
        <v>1369</v>
      </c>
      <c r="O474" t="s">
        <v>1367</v>
      </c>
    </row>
  </sheetData>
  <autoFilter ref="A1:O474" xr:uid="{00000000-0001-0000-0100-000000000000}"/>
  <conditionalFormatting sqref="K1:K105 K110:K111 K113:K142 K144:K1048576">
    <cfRule type="expression" dxfId="8" priority="16">
      <formula>"&gt;len(20)"</formula>
    </cfRule>
  </conditionalFormatting>
  <conditionalFormatting sqref="K106:L108">
    <cfRule type="expression" dxfId="7" priority="6">
      <formula>"&gt;len(20)"</formula>
    </cfRule>
  </conditionalFormatting>
  <conditionalFormatting sqref="K112:L112">
    <cfRule type="expression" dxfId="6" priority="2">
      <formula>"&gt;len(20)"</formula>
    </cfRule>
  </conditionalFormatting>
  <conditionalFormatting sqref="L111">
    <cfRule type="expression" dxfId="5" priority="4">
      <formula>"&gt;len(20)"</formula>
    </cfRule>
  </conditionalFormatting>
  <conditionalFormatting sqref="L113">
    <cfRule type="expression" dxfId="4" priority="3">
      <formula>"&gt;len(20)"</formula>
    </cfRule>
  </conditionalFormatting>
  <conditionalFormatting sqref="L122">
    <cfRule type="expression" dxfId="3" priority="11">
      <formula>"&gt;len(20)"</formula>
    </cfRule>
  </conditionalFormatting>
  <conditionalFormatting sqref="L124:L125">
    <cfRule type="expression" dxfId="2" priority="7">
      <formula>"&gt;len(20)"</formula>
    </cfRule>
  </conditionalFormatting>
  <conditionalFormatting sqref="L130">
    <cfRule type="expression" dxfId="1" priority="8">
      <formula>"&gt;len(20)"</formula>
    </cfRule>
  </conditionalFormatting>
  <conditionalFormatting sqref="L144">
    <cfRule type="expression" dxfId="0" priority="12">
      <formula>"&gt;len(20)"</formula>
    </cfRule>
  </conditionalFormatting>
  <dataValidations count="3">
    <dataValidation type="list" allowBlank="1" sqref="G2:G29 G32:G38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384" xr:uid="{00000000-0002-0000-0100-000000000000}">
      <formula1>"Proximity,Trade-completion,Level-reached"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2026-08-31T19:48:28Z</dcterms:modified>
</cp:coreProperties>
</file>