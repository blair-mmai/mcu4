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DATA\_GIT_REPOS\mcu4\spoilers\"/>
    </mc:Choice>
  </mc:AlternateContent>
  <xr:revisionPtr revIDLastSave="0" documentId="13_ncr:1_{89A09859-48BF-46DA-A13D-9371047369AB}" xr6:coauthVersionLast="47" xr6:coauthVersionMax="47" xr10:uidLastSave="{00000000-0000-0000-0000-000000000000}"/>
  <bookViews>
    <workbookView xWindow="-108" yWindow="-108" windowWidth="23256" windowHeight="11964" tabRatio="728" activeTab="2" xr2:uid="{00000000-000D-0000-FFFF-FFFF00000000}"/>
  </bookViews>
  <sheets>
    <sheet name="NPC Dialogue" sheetId="1" r:id="rId1"/>
    <sheet name="MC-NPC_TAGS" sheetId="8" r:id="rId2"/>
    <sheet name="gameDesignMisc" sheetId="10" r:id="rId3"/>
    <sheet name="UsefulTagCmds" sheetId="9" r:id="rId4"/>
    <sheet name="Runes_Stones_Mantras" sheetId="5" r:id="rId5"/>
    <sheet name="QuestionTriggers" sheetId="4" r:id="rId6"/>
    <sheet name="MC-InterTownDependencies" sheetId="7" r:id="rId7"/>
    <sheet name="TheGypsy" sheetId="3" r:id="rId8"/>
    <sheet name="Barkeeps" sheetId="2" r:id="rId9"/>
  </sheets>
  <definedNames>
    <definedName name="_xlnm._FilterDatabase" localSheetId="1" hidden="1">'MC-NPC_TAGS'!$A$1:$F$123</definedName>
    <definedName name="_xlnm._FilterDatabase" localSheetId="0" hidden="1">'NPC Dialogue'!$A$1:$K$1610</definedName>
  </definedNames>
  <calcPr calcId="191029"/>
</workbook>
</file>

<file path=xl/calcChain.xml><?xml version="1.0" encoding="utf-8"?>
<calcChain xmlns="http://schemas.openxmlformats.org/spreadsheetml/2006/main">
  <c r="E133" i="8" l="1"/>
  <c r="F133" i="8"/>
  <c r="I133" i="8" s="1"/>
  <c r="G133" i="8"/>
  <c r="G132" i="8"/>
  <c r="F132" i="8"/>
  <c r="I132" i="8" s="1"/>
  <c r="E132" i="8"/>
  <c r="I131" i="8"/>
  <c r="G131" i="8"/>
  <c r="F131" i="8"/>
  <c r="H131" i="8" s="1"/>
  <c r="E131" i="8"/>
  <c r="G130" i="8"/>
  <c r="F130" i="8"/>
  <c r="I130" i="8" s="1"/>
  <c r="H130" i="8" s="1"/>
  <c r="E130" i="8"/>
  <c r="G129" i="8"/>
  <c r="F129" i="8"/>
  <c r="I129" i="8" s="1"/>
  <c r="E129" i="8"/>
  <c r="I128" i="8"/>
  <c r="H128" i="8"/>
  <c r="G128" i="8"/>
  <c r="F128" i="8"/>
  <c r="E128" i="8"/>
  <c r="G127" i="8"/>
  <c r="F127" i="8"/>
  <c r="E127" i="8"/>
  <c r="G126" i="8"/>
  <c r="F126" i="8"/>
  <c r="E126" i="8"/>
  <c r="G125" i="8"/>
  <c r="F125" i="8"/>
  <c r="I125" i="8" s="1"/>
  <c r="E125" i="8"/>
  <c r="G124" i="8"/>
  <c r="F124" i="8"/>
  <c r="I124" i="8" s="1"/>
  <c r="H124" i="8" s="1"/>
  <c r="E124" i="8"/>
  <c r="A1610" i="1"/>
  <c r="H133" i="8" l="1"/>
  <c r="H127" i="8"/>
  <c r="I127" i="8"/>
  <c r="H129" i="8"/>
  <c r="I126" i="8"/>
  <c r="H126" i="8" s="1"/>
  <c r="H125" i="8"/>
  <c r="H132" i="8"/>
  <c r="E123" i="8" l="1"/>
  <c r="F123" i="8"/>
  <c r="I123" i="8" s="1"/>
  <c r="H123" i="8" s="1"/>
  <c r="G123" i="8"/>
  <c r="G122" i="8"/>
  <c r="F122" i="8"/>
  <c r="I122" i="8" s="1"/>
  <c r="E122" i="8"/>
  <c r="G121" i="8"/>
  <c r="F121" i="8"/>
  <c r="I121" i="8" s="1"/>
  <c r="H121" i="8" s="1"/>
  <c r="E121" i="8"/>
  <c r="G120" i="8"/>
  <c r="F120" i="8"/>
  <c r="I120" i="8" s="1"/>
  <c r="E120" i="8"/>
  <c r="G119" i="8"/>
  <c r="F119" i="8"/>
  <c r="E119" i="8"/>
  <c r="G118" i="8"/>
  <c r="F118" i="8"/>
  <c r="I118" i="8" s="1"/>
  <c r="H118" i="8" s="1"/>
  <c r="E118" i="8"/>
  <c r="G47" i="8"/>
  <c r="G46" i="8"/>
  <c r="G45" i="8"/>
  <c r="I44" i="8"/>
  <c r="H44" i="8" s="1"/>
  <c r="G44" i="8"/>
  <c r="G43" i="8"/>
  <c r="G42" i="8"/>
  <c r="G41" i="8"/>
  <c r="G40" i="8"/>
  <c r="G39" i="8"/>
  <c r="G38" i="8"/>
  <c r="G37" i="8"/>
  <c r="G36" i="8"/>
  <c r="G35" i="8"/>
  <c r="G34" i="8"/>
  <c r="G33" i="8"/>
  <c r="G117" i="8"/>
  <c r="F117" i="8"/>
  <c r="E117" i="8"/>
  <c r="G116" i="8"/>
  <c r="F116" i="8"/>
  <c r="I116" i="8" s="1"/>
  <c r="E116" i="8"/>
  <c r="G115" i="8"/>
  <c r="F115" i="8"/>
  <c r="I115" i="8" s="1"/>
  <c r="E115" i="8"/>
  <c r="G114" i="8"/>
  <c r="F114" i="8"/>
  <c r="I114" i="8" s="1"/>
  <c r="E114" i="8"/>
  <c r="G113" i="8"/>
  <c r="F113" i="8"/>
  <c r="I113" i="8" s="1"/>
  <c r="E113" i="8"/>
  <c r="G112" i="8"/>
  <c r="F112" i="8"/>
  <c r="I112" i="8" s="1"/>
  <c r="E112" i="8"/>
  <c r="G111" i="8"/>
  <c r="F111" i="8"/>
  <c r="I111" i="8" s="1"/>
  <c r="E111" i="8"/>
  <c r="G110" i="8"/>
  <c r="F110" i="8"/>
  <c r="I110" i="8" s="1"/>
  <c r="H110" i="8" s="1"/>
  <c r="E110" i="8"/>
  <c r="G109" i="8"/>
  <c r="F109" i="8"/>
  <c r="I109" i="8" s="1"/>
  <c r="E109" i="8"/>
  <c r="G108" i="8"/>
  <c r="F108" i="8"/>
  <c r="I108" i="8" s="1"/>
  <c r="H108" i="8" s="1"/>
  <c r="E108" i="8"/>
  <c r="G107" i="8"/>
  <c r="F107" i="8"/>
  <c r="I107" i="8" s="1"/>
  <c r="H107" i="8" s="1"/>
  <c r="E107" i="8"/>
  <c r="G106" i="8"/>
  <c r="F106" i="8"/>
  <c r="I106" i="8" s="1"/>
  <c r="E106" i="8"/>
  <c r="G105" i="8"/>
  <c r="F105" i="8"/>
  <c r="I105" i="8" s="1"/>
  <c r="E105" i="8"/>
  <c r="G104" i="8"/>
  <c r="F104" i="8"/>
  <c r="I104" i="8" s="1"/>
  <c r="H104" i="8" s="1"/>
  <c r="E104" i="8"/>
  <c r="G103" i="8"/>
  <c r="F103" i="8"/>
  <c r="I103" i="8" s="1"/>
  <c r="H103" i="8" s="1"/>
  <c r="E103" i="8"/>
  <c r="G102" i="8"/>
  <c r="F102" i="8"/>
  <c r="I102" i="8" s="1"/>
  <c r="H102" i="8" s="1"/>
  <c r="E102" i="8"/>
  <c r="G101" i="8"/>
  <c r="F101" i="8"/>
  <c r="I101" i="8" s="1"/>
  <c r="E101" i="8"/>
  <c r="G100" i="8"/>
  <c r="F100" i="8"/>
  <c r="I100" i="8" s="1"/>
  <c r="E100" i="8"/>
  <c r="G99" i="8"/>
  <c r="F99" i="8"/>
  <c r="I99" i="8" s="1"/>
  <c r="E99" i="8"/>
  <c r="E98" i="8"/>
  <c r="F98" i="8"/>
  <c r="I98" i="8" s="1"/>
  <c r="G98" i="8"/>
  <c r="E97" i="8"/>
  <c r="F97" i="8"/>
  <c r="I97" i="8" s="1"/>
  <c r="H97" i="8" s="1"/>
  <c r="G97" i="8"/>
  <c r="G96" i="8"/>
  <c r="F96" i="8"/>
  <c r="I96" i="8" s="1"/>
  <c r="H96" i="8" s="1"/>
  <c r="E96" i="8"/>
  <c r="G95" i="8"/>
  <c r="F95" i="8"/>
  <c r="I95" i="8" s="1"/>
  <c r="H95" i="8" s="1"/>
  <c r="E95" i="8"/>
  <c r="G94" i="8"/>
  <c r="F94" i="8"/>
  <c r="I94" i="8" s="1"/>
  <c r="H94" i="8" s="1"/>
  <c r="E94" i="8"/>
  <c r="G93" i="8"/>
  <c r="F93" i="8"/>
  <c r="I93" i="8" s="1"/>
  <c r="E93" i="8"/>
  <c r="G92" i="8"/>
  <c r="F92" i="8"/>
  <c r="I92" i="8" s="1"/>
  <c r="E92" i="8"/>
  <c r="G91" i="8"/>
  <c r="F91" i="8"/>
  <c r="I91" i="8" s="1"/>
  <c r="H91" i="8" s="1"/>
  <c r="E91" i="8"/>
  <c r="G90" i="8"/>
  <c r="F90" i="8"/>
  <c r="I90" i="8" s="1"/>
  <c r="H90" i="8" s="1"/>
  <c r="E90" i="8"/>
  <c r="G89" i="8"/>
  <c r="F89" i="8"/>
  <c r="I89" i="8" s="1"/>
  <c r="E89" i="8"/>
  <c r="G88" i="8"/>
  <c r="F88" i="8"/>
  <c r="I88" i="8" s="1"/>
  <c r="H88" i="8" s="1"/>
  <c r="E88" i="8"/>
  <c r="G87" i="8"/>
  <c r="F87" i="8"/>
  <c r="I87" i="8" s="1"/>
  <c r="H87" i="8" s="1"/>
  <c r="E87" i="8"/>
  <c r="G86" i="8"/>
  <c r="F86" i="8"/>
  <c r="E86" i="8"/>
  <c r="G85" i="8"/>
  <c r="F85" i="8"/>
  <c r="E85" i="8"/>
  <c r="G84" i="8"/>
  <c r="F84" i="8"/>
  <c r="I84" i="8" s="1"/>
  <c r="E84" i="8"/>
  <c r="G83" i="8"/>
  <c r="F83" i="8"/>
  <c r="I83" i="8" s="1"/>
  <c r="H83" i="8" s="1"/>
  <c r="E83" i="8"/>
  <c r="G82" i="8"/>
  <c r="F82" i="8"/>
  <c r="I82" i="8" s="1"/>
  <c r="H82" i="8" s="1"/>
  <c r="E82" i="8"/>
  <c r="E72" i="8"/>
  <c r="F72" i="8"/>
  <c r="I72" i="8" s="1"/>
  <c r="H72" i="8" s="1"/>
  <c r="G72" i="8"/>
  <c r="G81" i="8"/>
  <c r="F81" i="8"/>
  <c r="I81" i="8" s="1"/>
  <c r="E81" i="8"/>
  <c r="G80" i="8"/>
  <c r="F80" i="8"/>
  <c r="I80" i="8" s="1"/>
  <c r="H80" i="8" s="1"/>
  <c r="E80" i="8"/>
  <c r="G79" i="8"/>
  <c r="F79" i="8"/>
  <c r="I79" i="8" s="1"/>
  <c r="E79" i="8"/>
  <c r="G78" i="8"/>
  <c r="F78" i="8"/>
  <c r="I78" i="8" s="1"/>
  <c r="H78" i="8" s="1"/>
  <c r="E78" i="8"/>
  <c r="G77" i="8"/>
  <c r="F77" i="8"/>
  <c r="I77" i="8" s="1"/>
  <c r="E77" i="8"/>
  <c r="G76" i="8"/>
  <c r="F76" i="8"/>
  <c r="I76" i="8" s="1"/>
  <c r="H76" i="8" s="1"/>
  <c r="E76" i="8"/>
  <c r="G75" i="8"/>
  <c r="F75" i="8"/>
  <c r="I75" i="8" s="1"/>
  <c r="H75" i="8" s="1"/>
  <c r="E75" i="8"/>
  <c r="G74" i="8"/>
  <c r="F74" i="8"/>
  <c r="I74" i="8" s="1"/>
  <c r="E74" i="8"/>
  <c r="G73" i="8"/>
  <c r="G71" i="8"/>
  <c r="G70" i="8"/>
  <c r="G69" i="8"/>
  <c r="F73" i="8"/>
  <c r="I73" i="8" s="1"/>
  <c r="E73" i="8"/>
  <c r="F71" i="8"/>
  <c r="I71" i="8" s="1"/>
  <c r="H71" i="8" s="1"/>
  <c r="E71" i="8"/>
  <c r="F70" i="8"/>
  <c r="I70" i="8" s="1"/>
  <c r="H70" i="8" s="1"/>
  <c r="E70" i="8"/>
  <c r="F69" i="8"/>
  <c r="I69" i="8" s="1"/>
  <c r="H69" i="8" s="1"/>
  <c r="E69" i="8"/>
  <c r="E68" i="8"/>
  <c r="F68" i="8"/>
  <c r="I68" i="8" s="1"/>
  <c r="G68" i="8"/>
  <c r="G67" i="8"/>
  <c r="G66" i="8"/>
  <c r="G65" i="8"/>
  <c r="G64" i="8"/>
  <c r="G63" i="8"/>
  <c r="G62" i="8"/>
  <c r="G61" i="8"/>
  <c r="G60" i="8"/>
  <c r="G59" i="8"/>
  <c r="G58" i="8"/>
  <c r="G57" i="8"/>
  <c r="G56" i="8"/>
  <c r="G55" i="8"/>
  <c r="G54" i="8"/>
  <c r="G53" i="8"/>
  <c r="G52" i="8"/>
  <c r="G51" i="8"/>
  <c r="G50" i="8"/>
  <c r="G49" i="8"/>
  <c r="G48" i="8"/>
  <c r="F67" i="8"/>
  <c r="I67" i="8" s="1"/>
  <c r="H67" i="8" s="1"/>
  <c r="E67" i="8"/>
  <c r="E66" i="8"/>
  <c r="F66" i="8"/>
  <c r="I66" i="8" s="1"/>
  <c r="H66" i="8" s="1"/>
  <c r="F65" i="8"/>
  <c r="E65" i="8"/>
  <c r="F64" i="8"/>
  <c r="I64" i="8" s="1"/>
  <c r="H64" i="8" s="1"/>
  <c r="E64" i="8"/>
  <c r="F63" i="8"/>
  <c r="I63" i="8" s="1"/>
  <c r="H63" i="8" s="1"/>
  <c r="E63" i="8"/>
  <c r="F62" i="8"/>
  <c r="I62" i="8" s="1"/>
  <c r="H62" i="8" s="1"/>
  <c r="E62" i="8"/>
  <c r="F61" i="8"/>
  <c r="I61" i="8" s="1"/>
  <c r="E61" i="8"/>
  <c r="F60" i="8"/>
  <c r="I60" i="8" s="1"/>
  <c r="H60" i="8" s="1"/>
  <c r="E60" i="8"/>
  <c r="F59" i="8"/>
  <c r="I59" i="8" s="1"/>
  <c r="E59" i="8"/>
  <c r="F58" i="8"/>
  <c r="I58" i="8" s="1"/>
  <c r="E58" i="8"/>
  <c r="F57" i="8"/>
  <c r="E57" i="8"/>
  <c r="F56" i="8"/>
  <c r="E56" i="8"/>
  <c r="F55" i="8"/>
  <c r="I55" i="8" s="1"/>
  <c r="H55" i="8" s="1"/>
  <c r="E55" i="8"/>
  <c r="F54" i="8"/>
  <c r="I54" i="8" s="1"/>
  <c r="E54" i="8"/>
  <c r="F53" i="8"/>
  <c r="I53" i="8" s="1"/>
  <c r="E53" i="8"/>
  <c r="F52" i="8"/>
  <c r="E52" i="8"/>
  <c r="F51" i="8"/>
  <c r="I51" i="8" s="1"/>
  <c r="E51" i="8"/>
  <c r="F50" i="8"/>
  <c r="I50" i="8" s="1"/>
  <c r="E50" i="8"/>
  <c r="F49" i="8"/>
  <c r="I49" i="8" s="1"/>
  <c r="E49" i="8"/>
  <c r="F48" i="8"/>
  <c r="E48" i="8"/>
  <c r="F47" i="8"/>
  <c r="I47" i="8" s="1"/>
  <c r="H47" i="8" s="1"/>
  <c r="F46" i="8"/>
  <c r="I46" i="8" s="1"/>
  <c r="H46" i="8" s="1"/>
  <c r="F45" i="8"/>
  <c r="I45" i="8" s="1"/>
  <c r="H45" i="8" s="1"/>
  <c r="F44" i="8"/>
  <c r="F43" i="8"/>
  <c r="I43" i="8" s="1"/>
  <c r="H43" i="8" s="1"/>
  <c r="F42" i="8"/>
  <c r="I42" i="8" s="1"/>
  <c r="H42" i="8" s="1"/>
  <c r="F41" i="8"/>
  <c r="I41" i="8" s="1"/>
  <c r="H41" i="8" s="1"/>
  <c r="F40" i="8"/>
  <c r="I40" i="8" s="1"/>
  <c r="F39" i="8"/>
  <c r="I39" i="8" s="1"/>
  <c r="H39" i="8" s="1"/>
  <c r="F38" i="8"/>
  <c r="I38" i="8" s="1"/>
  <c r="H38" i="8" s="1"/>
  <c r="F37" i="8"/>
  <c r="I37" i="8" s="1"/>
  <c r="F36" i="8"/>
  <c r="I36" i="8" s="1"/>
  <c r="H36" i="8" s="1"/>
  <c r="F34" i="8"/>
  <c r="I34" i="8" s="1"/>
  <c r="H34" i="8" s="1"/>
  <c r="F33" i="8"/>
  <c r="I33" i="8" s="1"/>
  <c r="H33" i="8" s="1"/>
  <c r="F35" i="8"/>
  <c r="I35" i="8" s="1"/>
  <c r="H35" i="8" s="1"/>
  <c r="E47" i="8"/>
  <c r="E46" i="8"/>
  <c r="E45" i="8"/>
  <c r="E44" i="8"/>
  <c r="E43" i="8"/>
  <c r="E42" i="8"/>
  <c r="E41" i="8"/>
  <c r="E40" i="8"/>
  <c r="E39" i="8"/>
  <c r="E38" i="8"/>
  <c r="E37" i="8"/>
  <c r="E36" i="8"/>
  <c r="E35" i="8"/>
  <c r="E34" i="8"/>
  <c r="E33" i="8"/>
  <c r="H40" i="8" l="1"/>
  <c r="H37" i="8"/>
  <c r="H106" i="8"/>
  <c r="I119" i="8"/>
  <c r="H119" i="8" s="1"/>
  <c r="H120" i="8"/>
  <c r="H122" i="8"/>
  <c r="I86" i="8"/>
  <c r="H86" i="8" s="1"/>
  <c r="H93" i="8"/>
  <c r="H105" i="8"/>
  <c r="H109" i="8"/>
  <c r="I85" i="8"/>
  <c r="H85" i="8" s="1"/>
  <c r="I117" i="8"/>
  <c r="H117" i="8" s="1"/>
  <c r="H116" i="8"/>
  <c r="H115" i="8"/>
  <c r="H114" i="8"/>
  <c r="H113" i="8"/>
  <c r="H112" i="8"/>
  <c r="H111" i="8"/>
  <c r="H101" i="8"/>
  <c r="H100" i="8"/>
  <c r="H99" i="8"/>
  <c r="H98" i="8"/>
  <c r="H84" i="8"/>
  <c r="H92" i="8"/>
  <c r="H89" i="8"/>
  <c r="H54" i="8"/>
  <c r="I56" i="8"/>
  <c r="H56" i="8" s="1"/>
  <c r="H77" i="8"/>
  <c r="H74" i="8"/>
  <c r="H79" i="8"/>
  <c r="H81" i="8"/>
  <c r="I65" i="8"/>
  <c r="H65" i="8" s="1"/>
  <c r="H49" i="8"/>
  <c r="H53" i="8"/>
  <c r="H50" i="8"/>
  <c r="I57" i="8"/>
  <c r="H57" i="8" s="1"/>
  <c r="H59" i="8"/>
  <c r="H51" i="8"/>
  <c r="I48" i="8"/>
  <c r="H48" i="8" s="1"/>
  <c r="I52" i="8"/>
  <c r="H52" i="8" s="1"/>
  <c r="H58" i="8"/>
  <c r="H61" i="8"/>
  <c r="H73" i="8"/>
  <c r="H68" i="8"/>
  <c r="F32" i="8"/>
  <c r="E32" i="8"/>
  <c r="F31" i="8"/>
  <c r="E31" i="8"/>
  <c r="F30" i="8"/>
  <c r="E30" i="8"/>
  <c r="F29" i="8"/>
  <c r="E29" i="8"/>
  <c r="F28" i="8"/>
  <c r="E28" i="8"/>
  <c r="F27" i="8"/>
  <c r="E27" i="8"/>
  <c r="F26" i="8"/>
  <c r="E26" i="8"/>
  <c r="F25" i="8"/>
  <c r="E25" i="8"/>
  <c r="F24" i="8"/>
  <c r="E24" i="8"/>
  <c r="F23" i="8"/>
  <c r="E23" i="8"/>
  <c r="F22" i="8"/>
  <c r="E22" i="8"/>
  <c r="A1609" i="1"/>
  <c r="A1608" i="1"/>
  <c r="A1607" i="1"/>
  <c r="A1606" i="1"/>
  <c r="F21" i="8"/>
  <c r="E21" i="8"/>
  <c r="A1605" i="1"/>
  <c r="A1604" i="1"/>
  <c r="F20" i="8"/>
  <c r="E20" i="8"/>
  <c r="F19" i="8"/>
  <c r="E19" i="8"/>
  <c r="A1603"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2" i="1"/>
  <c r="F18" i="8"/>
  <c r="F17" i="8"/>
  <c r="F16" i="8"/>
  <c r="F15" i="8"/>
  <c r="F14" i="8"/>
  <c r="F13" i="8"/>
  <c r="F12" i="8"/>
  <c r="F10" i="8"/>
  <c r="F9" i="8"/>
  <c r="F8" i="8"/>
  <c r="F7" i="8"/>
  <c r="F6" i="8"/>
  <c r="F5" i="8"/>
  <c r="F4" i="8"/>
  <c r="F3" i="8"/>
  <c r="F2" i="8"/>
  <c r="E18" i="8"/>
  <c r="E17" i="8"/>
  <c r="E16" i="8"/>
  <c r="E15" i="8"/>
  <c r="E14" i="8"/>
  <c r="E13" i="8"/>
  <c r="E12" i="8"/>
  <c r="E11" i="8"/>
  <c r="E10" i="8"/>
  <c r="E9" i="8"/>
  <c r="E8" i="8"/>
  <c r="E7" i="8"/>
  <c r="E6" i="8"/>
  <c r="E5" i="8"/>
  <c r="E4" i="8"/>
  <c r="E3" i="8"/>
  <c r="E2" i="8"/>
  <c r="G1264" i="1"/>
  <c r="G1091" i="1"/>
  <c r="G1412" i="1"/>
  <c r="G102" i="1"/>
  <c r="G420" i="1"/>
  <c r="G404" i="1"/>
  <c r="G393" i="1"/>
  <c r="G370" i="1"/>
  <c r="G348" i="1"/>
  <c r="G405" i="1"/>
  <c r="G406" i="1"/>
  <c r="G428" i="1"/>
  <c r="G415" i="1"/>
  <c r="G414" i="1"/>
  <c r="G360" i="1"/>
  <c r="G358" i="1"/>
  <c r="G366" i="1"/>
  <c r="G531" i="1"/>
  <c r="G197" i="1"/>
  <c r="A3" i="4"/>
  <c r="A4" i="4"/>
  <c r="A5" i="4"/>
  <c r="G1189" i="1" s="1"/>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 i="4"/>
  <c r="C125" i="8" l="1"/>
  <c r="C124" i="8"/>
  <c r="C126" i="8"/>
  <c r="C128" i="8"/>
  <c r="C123" i="8"/>
  <c r="C127" i="8"/>
  <c r="C129" i="8"/>
  <c r="C131" i="8"/>
  <c r="C132" i="8"/>
  <c r="C130" i="8"/>
  <c r="C118" i="8"/>
  <c r="C121" i="8"/>
  <c r="C120" i="8"/>
  <c r="C122" i="8"/>
  <c r="C119" i="8"/>
  <c r="C103" i="8"/>
  <c r="C112" i="8"/>
  <c r="C116" i="8"/>
  <c r="C114" i="8"/>
  <c r="C110" i="8"/>
  <c r="C101" i="8"/>
  <c r="C107" i="8"/>
  <c r="C108" i="8"/>
  <c r="C111" i="8"/>
  <c r="C100" i="8"/>
  <c r="C106" i="8"/>
  <c r="C113" i="8"/>
  <c r="C102" i="8"/>
  <c r="C104" i="8"/>
  <c r="C115" i="8"/>
  <c r="C109" i="8"/>
  <c r="C117" i="8"/>
  <c r="C105" i="8"/>
  <c r="C87" i="8"/>
  <c r="C83" i="8"/>
  <c r="C94" i="8"/>
  <c r="C86" i="8"/>
  <c r="C92" i="8"/>
  <c r="C82" i="8"/>
  <c r="C93" i="8"/>
  <c r="C85" i="8"/>
  <c r="C84" i="8"/>
  <c r="C90" i="8"/>
  <c r="C91" i="8"/>
  <c r="C89" i="8"/>
  <c r="C88" i="8"/>
  <c r="C76" i="8"/>
  <c r="C78" i="8"/>
  <c r="C75" i="8"/>
  <c r="C73" i="8"/>
  <c r="C79" i="8"/>
  <c r="C81" i="8"/>
  <c r="C80" i="8"/>
  <c r="C77" i="8"/>
  <c r="C67" i="8"/>
  <c r="C53" i="8"/>
  <c r="C52" i="8"/>
  <c r="C51" i="8"/>
  <c r="C50" i="8"/>
  <c r="C54" i="8"/>
  <c r="C55" i="8"/>
  <c r="C57" i="8"/>
  <c r="C56" i="8"/>
  <c r="C39" i="8"/>
  <c r="C33" i="8"/>
  <c r="C38" i="8"/>
  <c r="C34" i="8"/>
  <c r="C37" i="8"/>
  <c r="C42" i="8"/>
  <c r="C41" i="8"/>
  <c r="C35" i="8"/>
  <c r="C40" i="8"/>
  <c r="C36" i="8"/>
  <c r="C47" i="8"/>
  <c r="C44" i="8"/>
  <c r="C46" i="8"/>
  <c r="C45" i="8"/>
  <c r="C43" i="8"/>
  <c r="C27" i="8"/>
  <c r="C25" i="8"/>
  <c r="C32" i="8"/>
  <c r="C26" i="8"/>
  <c r="C21" i="8"/>
  <c r="C28" i="8"/>
  <c r="C22" i="8"/>
  <c r="C29" i="8"/>
  <c r="C30" i="8"/>
  <c r="C23" i="8"/>
  <c r="C31" i="8"/>
  <c r="C24" i="8"/>
  <c r="C14" i="8"/>
  <c r="C13" i="8"/>
  <c r="C3" i="8"/>
  <c r="C20" i="8"/>
  <c r="C19" i="8"/>
  <c r="C17" i="8"/>
  <c r="C9" i="8"/>
  <c r="C10" i="8"/>
  <c r="C16" i="8"/>
  <c r="C8" i="8"/>
  <c r="C18" i="8"/>
  <c r="C15" i="8"/>
  <c r="C7" i="8"/>
  <c r="C6" i="8"/>
  <c r="C5" i="8"/>
  <c r="C12" i="8"/>
  <c r="C4" i="8"/>
  <c r="C2" i="8"/>
  <c r="C11" i="8"/>
  <c r="G1388" i="1"/>
  <c r="G361" i="1"/>
  <c r="G424" i="1"/>
  <c r="G407" i="1"/>
  <c r="G398" i="1"/>
  <c r="G400" i="1"/>
  <c r="G377" i="1"/>
  <c r="G190" i="1"/>
  <c r="G1431" i="1"/>
  <c r="G1076" i="1"/>
  <c r="G1270" i="1"/>
  <c r="G1016" i="1"/>
  <c r="G359" i="1"/>
  <c r="G427" i="1"/>
  <c r="G410" i="1"/>
  <c r="G394" i="1"/>
  <c r="G340" i="1"/>
  <c r="G335" i="1"/>
  <c r="G127" i="1"/>
  <c r="G1383" i="1"/>
  <c r="G775" i="1"/>
  <c r="G1359" i="1"/>
  <c r="G395" i="1"/>
  <c r="G345" i="1"/>
  <c r="G182" i="1"/>
  <c r="G165" i="1"/>
  <c r="G1468" i="1"/>
  <c r="G799" i="1"/>
  <c r="G1329" i="1"/>
  <c r="G2" i="1"/>
  <c r="G363" i="1"/>
  <c r="G356" i="1"/>
  <c r="G349" i="1"/>
  <c r="G381" i="1"/>
  <c r="G388" i="1"/>
  <c r="G110" i="1"/>
  <c r="G178" i="1"/>
  <c r="G1041" i="1"/>
  <c r="G742" i="1"/>
  <c r="G846" i="1"/>
  <c r="G369" i="1"/>
  <c r="G411" i="1"/>
  <c r="G352" i="1"/>
  <c r="G350" i="1"/>
  <c r="G382" i="1"/>
  <c r="G389" i="1"/>
  <c r="G137" i="1"/>
  <c r="G169" i="1"/>
  <c r="G1006" i="1"/>
  <c r="G720" i="1"/>
  <c r="G591" i="1"/>
  <c r="G365" i="1"/>
  <c r="G413" i="1"/>
  <c r="G353" i="1"/>
  <c r="G374" i="1"/>
  <c r="G384" i="1"/>
  <c r="G390" i="1"/>
  <c r="G117" i="1"/>
  <c r="G1403" i="1"/>
  <c r="G1014" i="1"/>
  <c r="G738" i="1"/>
  <c r="G31" i="1"/>
  <c r="G385" i="1"/>
  <c r="G421" i="1"/>
  <c r="G126" i="1"/>
  <c r="G1406" i="1"/>
  <c r="G1018" i="1"/>
  <c r="G1193" i="1"/>
  <c r="G196" i="1"/>
  <c r="G200" i="1"/>
  <c r="G321" i="1"/>
  <c r="G210" i="1"/>
  <c r="G224" i="1"/>
  <c r="G227" i="1"/>
  <c r="G232" i="1"/>
  <c r="G248" i="1"/>
  <c r="G288" i="1"/>
  <c r="G294" i="1"/>
  <c r="G307" i="1"/>
  <c r="G311" i="1"/>
  <c r="G327" i="1"/>
  <c r="G278" i="1"/>
  <c r="G261" i="1"/>
  <c r="G275" i="1"/>
  <c r="G282" i="1"/>
  <c r="G277" i="1"/>
  <c r="G682" i="1"/>
  <c r="G626" i="1"/>
  <c r="G630" i="1"/>
  <c r="G634" i="1"/>
  <c r="G650" i="1"/>
  <c r="G660" i="1"/>
  <c r="G670" i="1"/>
  <c r="G681" i="1"/>
  <c r="G697" i="1"/>
  <c r="G664" i="1"/>
  <c r="G703" i="1"/>
  <c r="G715" i="1"/>
  <c r="G501" i="1"/>
  <c r="G487" i="1"/>
  <c r="G432" i="1"/>
  <c r="G442" i="1"/>
  <c r="G449" i="1"/>
  <c r="G462" i="1"/>
  <c r="G467" i="1"/>
  <c r="G195" i="1"/>
  <c r="G199" i="1"/>
  <c r="G209" i="1"/>
  <c r="G218" i="1"/>
  <c r="G223" i="1"/>
  <c r="G225" i="1"/>
  <c r="G236" i="1"/>
  <c r="G247" i="1"/>
  <c r="G287" i="1"/>
  <c r="G297" i="1"/>
  <c r="G306" i="1"/>
  <c r="G310" i="1"/>
  <c r="G322" i="1"/>
  <c r="G257" i="1"/>
  <c r="G262" i="1"/>
  <c r="G255" i="1"/>
  <c r="G270" i="1"/>
  <c r="G276" i="1"/>
  <c r="G686" i="1"/>
  <c r="G645" i="1"/>
  <c r="G629" i="1"/>
  <c r="G639" i="1"/>
  <c r="G657" i="1"/>
  <c r="G659" i="1"/>
  <c r="G675" i="1"/>
  <c r="G693" i="1"/>
  <c r="G696" i="1"/>
  <c r="G666" i="1"/>
  <c r="G710" i="1"/>
  <c r="G714" i="1"/>
  <c r="G505" i="1"/>
  <c r="G439" i="1"/>
  <c r="G431" i="1"/>
  <c r="G441" i="1"/>
  <c r="G457" i="1"/>
  <c r="G461" i="1"/>
  <c r="G466" i="1"/>
  <c r="G481" i="1"/>
  <c r="G491" i="1"/>
  <c r="G500" i="1"/>
  <c r="G518" i="1"/>
  <c r="G520" i="1"/>
  <c r="G1172" i="1"/>
  <c r="G1123" i="1"/>
  <c r="G1153" i="1"/>
  <c r="G1149" i="1"/>
  <c r="G1101" i="1"/>
  <c r="G1188" i="1"/>
  <c r="G1109" i="1"/>
  <c r="G1131" i="1"/>
  <c r="G1165" i="1"/>
  <c r="G1156" i="1"/>
  <c r="G1141" i="1"/>
  <c r="G1134" i="1"/>
  <c r="G955" i="1"/>
  <c r="G936" i="1"/>
  <c r="G193" i="1"/>
  <c r="G198" i="1"/>
  <c r="G208" i="1"/>
  <c r="G214" i="1"/>
  <c r="G222" i="1"/>
  <c r="G226" i="1"/>
  <c r="G240" i="1"/>
  <c r="G246" i="1"/>
  <c r="G286" i="1"/>
  <c r="G302" i="1"/>
  <c r="G305" i="1"/>
  <c r="G312" i="1"/>
  <c r="G333" i="1"/>
  <c r="G273" i="1"/>
  <c r="G263" i="1"/>
  <c r="G268" i="1"/>
  <c r="G279" i="1"/>
  <c r="G256" i="1"/>
  <c r="G687" i="1"/>
  <c r="G644" i="1"/>
  <c r="G628" i="1"/>
  <c r="G636" i="1"/>
  <c r="G656" i="1"/>
  <c r="G658" i="1"/>
  <c r="G674" i="1"/>
  <c r="G692" i="1"/>
  <c r="G695" i="1"/>
  <c r="G669" i="1"/>
  <c r="G709" i="1"/>
  <c r="G713" i="1"/>
  <c r="G506" i="1"/>
  <c r="G438" i="1"/>
  <c r="G430" i="1"/>
  <c r="G446" i="1"/>
  <c r="G456" i="1"/>
  <c r="G460" i="1"/>
  <c r="G465" i="1"/>
  <c r="G479" i="1"/>
  <c r="G490" i="1"/>
  <c r="G498" i="1"/>
  <c r="G517" i="1"/>
  <c r="G519" i="1"/>
  <c r="G1173" i="1"/>
  <c r="G1122" i="1"/>
  <c r="G1152" i="1"/>
  <c r="G1144" i="1"/>
  <c r="G1099" i="1"/>
  <c r="G194" i="1"/>
  <c r="G320" i="1"/>
  <c r="G206" i="1"/>
  <c r="G216" i="1"/>
  <c r="G220" i="1"/>
  <c r="G230" i="1"/>
  <c r="G239" i="1"/>
  <c r="G245" i="1"/>
  <c r="G291" i="1"/>
  <c r="G301" i="1"/>
  <c r="G304" i="1"/>
  <c r="G315" i="1"/>
  <c r="G332" i="1"/>
  <c r="G274" i="1"/>
  <c r="G264" i="1"/>
  <c r="G254" i="1"/>
  <c r="G251" i="1"/>
  <c r="G285" i="1"/>
  <c r="G625" i="1"/>
  <c r="G642" i="1"/>
  <c r="G632" i="1"/>
  <c r="G649" i="1"/>
  <c r="G655" i="1"/>
  <c r="G662" i="1"/>
  <c r="G679" i="1"/>
  <c r="G691" i="1"/>
  <c r="G699" i="1"/>
  <c r="G704" i="1"/>
  <c r="G708" i="1"/>
  <c r="G717" i="1"/>
  <c r="G486" i="1"/>
  <c r="G437" i="1"/>
  <c r="G433" i="1"/>
  <c r="G452" i="1"/>
  <c r="G455" i="1"/>
  <c r="G459" i="1"/>
  <c r="G475" i="1"/>
  <c r="G478" i="1"/>
  <c r="G494" i="1"/>
  <c r="G511" i="1"/>
  <c r="G515" i="1"/>
  <c r="G522" i="1"/>
  <c r="G192" i="1"/>
  <c r="G203" i="1"/>
  <c r="G318" i="1"/>
  <c r="G204" i="1"/>
  <c r="G217" i="1"/>
  <c r="G219" i="1"/>
  <c r="G234" i="1"/>
  <c r="G237" i="1"/>
  <c r="G243" i="1"/>
  <c r="G295" i="1"/>
  <c r="G299" i="1"/>
  <c r="G308" i="1"/>
  <c r="G325" i="1"/>
  <c r="G329" i="1"/>
  <c r="G258" i="1"/>
  <c r="G266" i="1"/>
  <c r="G272" i="1"/>
  <c r="G252" i="1"/>
  <c r="G685" i="1"/>
  <c r="G623" i="1"/>
  <c r="G643" i="1"/>
  <c r="G638" i="1"/>
  <c r="G647" i="1"/>
  <c r="G652" i="1"/>
  <c r="G673" i="1"/>
  <c r="G677" i="1"/>
  <c r="G688" i="1"/>
  <c r="G668" i="1"/>
  <c r="G701" i="1"/>
  <c r="G711" i="1"/>
  <c r="G504" i="1"/>
  <c r="G484" i="1"/>
  <c r="G440" i="1"/>
  <c r="G445" i="1"/>
  <c r="G448" i="1"/>
  <c r="G458" i="1"/>
  <c r="G470" i="1"/>
  <c r="G473" i="1"/>
  <c r="G480" i="1"/>
  <c r="G499" i="1"/>
  <c r="G509" i="1"/>
  <c r="G516" i="1"/>
  <c r="G1171" i="1"/>
  <c r="G1117" i="1"/>
  <c r="G1124" i="1"/>
  <c r="G1148" i="1"/>
  <c r="G1175" i="1"/>
  <c r="G1100" i="1"/>
  <c r="G1113" i="1"/>
  <c r="G1104" i="1"/>
  <c r="G1127" i="1"/>
  <c r="G1160" i="1"/>
  <c r="G1183" i="1"/>
  <c r="G1142" i="1"/>
  <c r="G959" i="1"/>
  <c r="G987" i="1"/>
  <c r="G932" i="1"/>
  <c r="G924" i="1"/>
  <c r="G964" i="1"/>
  <c r="G985" i="1"/>
  <c r="G911" i="1"/>
  <c r="G927" i="1"/>
  <c r="G942" i="1"/>
  <c r="G918" i="1"/>
  <c r="G946" i="1"/>
  <c r="G1003" i="1"/>
  <c r="G37" i="1"/>
  <c r="G30" i="1"/>
  <c r="G86" i="1"/>
  <c r="G61" i="1"/>
  <c r="G94" i="1"/>
  <c r="G44" i="1"/>
  <c r="G26" i="1"/>
  <c r="G11" i="1"/>
  <c r="G69" i="1"/>
  <c r="G80" i="1"/>
  <c r="G47" i="1"/>
  <c r="G54" i="1"/>
  <c r="G548" i="1"/>
  <c r="G564" i="1"/>
  <c r="G560" i="1"/>
  <c r="G603" i="1"/>
  <c r="G593" i="1"/>
  <c r="G538" i="1"/>
  <c r="G554" i="1"/>
  <c r="G588" i="1"/>
  <c r="G202" i="1"/>
  <c r="G201" i="1"/>
  <c r="G316" i="1"/>
  <c r="G211" i="1"/>
  <c r="G215" i="1"/>
  <c r="G228" i="1"/>
  <c r="G231" i="1"/>
  <c r="G241" i="1"/>
  <c r="G289" i="1"/>
  <c r="G292" i="1"/>
  <c r="G298" i="1"/>
  <c r="G313" i="1"/>
  <c r="G323" i="1"/>
  <c r="G328" i="1"/>
  <c r="G260" i="1"/>
  <c r="G283" i="1"/>
  <c r="G269" i="1"/>
  <c r="G249" i="1"/>
  <c r="G683" i="1"/>
  <c r="G627" i="1"/>
  <c r="G631" i="1"/>
  <c r="G635" i="1"/>
  <c r="G651" i="1"/>
  <c r="G661" i="1"/>
  <c r="G671" i="1"/>
  <c r="G680" i="1"/>
  <c r="G698" i="1"/>
  <c r="G665" i="1"/>
  <c r="G319" i="1"/>
  <c r="G235" i="1"/>
  <c r="G300" i="1"/>
  <c r="G271" i="1"/>
  <c r="G253" i="1"/>
  <c r="G648" i="1"/>
  <c r="G690" i="1"/>
  <c r="G706" i="1"/>
  <c r="G436" i="1"/>
  <c r="G451" i="1"/>
  <c r="G472" i="1"/>
  <c r="G497" i="1"/>
  <c r="G514" i="1"/>
  <c r="G1118" i="1"/>
  <c r="G1154" i="1"/>
  <c r="G1174" i="1"/>
  <c r="G1187" i="1"/>
  <c r="G1105" i="1"/>
  <c r="G1167" i="1"/>
  <c r="G1161" i="1"/>
  <c r="G1138" i="1"/>
  <c r="G957" i="1"/>
  <c r="G934" i="1"/>
  <c r="G969" i="1"/>
  <c r="G965" i="1"/>
  <c r="G980" i="1"/>
  <c r="G909" i="1"/>
  <c r="G930" i="1"/>
  <c r="G951" i="1"/>
  <c r="G913" i="1"/>
  <c r="G999" i="1"/>
  <c r="G997" i="1"/>
  <c r="G29" i="1"/>
  <c r="G8" i="1"/>
  <c r="G58" i="1"/>
  <c r="G42" i="1"/>
  <c r="G15" i="1"/>
  <c r="G14" i="1"/>
  <c r="G71" i="1"/>
  <c r="G79" i="1"/>
  <c r="G50" i="1"/>
  <c r="G90" i="1"/>
  <c r="G549" i="1"/>
  <c r="G558" i="1"/>
  <c r="G532" i="1"/>
  <c r="G594" i="1"/>
  <c r="G543" i="1"/>
  <c r="G552" i="1"/>
  <c r="G586" i="1"/>
  <c r="G571" i="1"/>
  <c r="G574" i="1"/>
  <c r="G620" i="1"/>
  <c r="G613" i="1"/>
  <c r="G860" i="1"/>
  <c r="G894" i="1"/>
  <c r="G873" i="1"/>
  <c r="G835" i="1"/>
  <c r="G900" i="1"/>
  <c r="G825" i="1"/>
  <c r="G883" i="1"/>
  <c r="G822" i="1"/>
  <c r="G869" i="1"/>
  <c r="G901" i="1"/>
  <c r="G858" i="1"/>
  <c r="G845" i="1"/>
  <c r="G1525" i="1"/>
  <c r="G1506" i="1"/>
  <c r="G1541" i="1"/>
  <c r="G1556" i="1"/>
  <c r="G1564" i="1"/>
  <c r="G1479" i="1"/>
  <c r="G1571" i="1"/>
  <c r="G1487" i="1"/>
  <c r="G1545" i="1"/>
  <c r="G1551" i="1"/>
  <c r="G1494" i="1"/>
  <c r="G1533" i="1"/>
  <c r="G1302" i="1"/>
  <c r="G1333" i="1"/>
  <c r="G1287" i="1"/>
  <c r="G1327" i="1"/>
  <c r="G1378" i="1"/>
  <c r="G1365" i="1"/>
  <c r="G1297" i="1"/>
  <c r="G1355" i="1"/>
  <c r="G317" i="1"/>
  <c r="G233" i="1"/>
  <c r="G303" i="1"/>
  <c r="G259" i="1"/>
  <c r="G684" i="1"/>
  <c r="G646" i="1"/>
  <c r="G689" i="1"/>
  <c r="G716" i="1"/>
  <c r="G435" i="1"/>
  <c r="G454" i="1"/>
  <c r="G476" i="1"/>
  <c r="G496" i="1"/>
  <c r="G523" i="1"/>
  <c r="G1116" i="1"/>
  <c r="G1150" i="1"/>
  <c r="G1179" i="1"/>
  <c r="G1191" i="1"/>
  <c r="G1103" i="1"/>
  <c r="G1166" i="1"/>
  <c r="G1185" i="1"/>
  <c r="G1143" i="1"/>
  <c r="G956" i="1"/>
  <c r="G933" i="1"/>
  <c r="G967" i="1"/>
  <c r="G961" i="1"/>
  <c r="G979" i="1"/>
  <c r="G907" i="1"/>
  <c r="G941" i="1"/>
  <c r="G950" i="1"/>
  <c r="G948" i="1"/>
  <c r="G998" i="1"/>
  <c r="G36" i="1"/>
  <c r="G28" i="1"/>
  <c r="G7" i="1"/>
  <c r="G57" i="1"/>
  <c r="G41" i="1"/>
  <c r="G20" i="1"/>
  <c r="G13" i="1"/>
  <c r="G70" i="1"/>
  <c r="G77" i="1"/>
  <c r="G45" i="1"/>
  <c r="G89" i="1"/>
  <c r="G544" i="1"/>
  <c r="G557" i="1"/>
  <c r="G537" i="1"/>
  <c r="G592" i="1"/>
  <c r="G529" i="1"/>
  <c r="G551" i="1"/>
  <c r="G583" i="1"/>
  <c r="G569" i="1"/>
  <c r="G575" i="1"/>
  <c r="G608" i="1"/>
  <c r="G612" i="1"/>
  <c r="G859" i="1"/>
  <c r="G816" i="1"/>
  <c r="G872" i="1"/>
  <c r="G840" i="1"/>
  <c r="G852" i="1"/>
  <c r="G824" i="1"/>
  <c r="G888" i="1"/>
  <c r="G833" i="1"/>
  <c r="G868" i="1"/>
  <c r="G906" i="1"/>
  <c r="G880" i="1"/>
  <c r="G843" i="1"/>
  <c r="G1527" i="1"/>
  <c r="G1512" i="1"/>
  <c r="G1539" i="1"/>
  <c r="G1555" i="1"/>
  <c r="G1563" i="1"/>
  <c r="G1478" i="1"/>
  <c r="G1570" i="1"/>
  <c r="G1485" i="1"/>
  <c r="G1543" i="1"/>
  <c r="G1554" i="1"/>
  <c r="G1493" i="1"/>
  <c r="G1532" i="1"/>
  <c r="G1300" i="1"/>
  <c r="G1332" i="1"/>
  <c r="G1288" i="1"/>
  <c r="G1321" i="1"/>
  <c r="G1377" i="1"/>
  <c r="G1364" i="1"/>
  <c r="G1337" i="1"/>
  <c r="G1354" i="1"/>
  <c r="G205" i="1"/>
  <c r="G238" i="1"/>
  <c r="G309" i="1"/>
  <c r="G265" i="1"/>
  <c r="G624" i="1"/>
  <c r="G653" i="1"/>
  <c r="G694" i="1"/>
  <c r="G712" i="1"/>
  <c r="G434" i="1"/>
  <c r="G453" i="1"/>
  <c r="G471" i="1"/>
  <c r="G495" i="1"/>
  <c r="G521" i="1"/>
  <c r="G1114" i="1"/>
  <c r="G1151" i="1"/>
  <c r="G1178" i="1"/>
  <c r="G1186" i="1"/>
  <c r="G1107" i="1"/>
  <c r="G1164" i="1"/>
  <c r="G1184" i="1"/>
  <c r="G1136" i="1"/>
  <c r="G960" i="1"/>
  <c r="G931" i="1"/>
  <c r="G923" i="1"/>
  <c r="G962" i="1"/>
  <c r="G978" i="1"/>
  <c r="G908" i="1"/>
  <c r="G939" i="1"/>
  <c r="G954" i="1"/>
  <c r="G947" i="1"/>
  <c r="G1002" i="1"/>
  <c r="G35" i="1"/>
  <c r="G27" i="1"/>
  <c r="G6" i="1"/>
  <c r="G62" i="1"/>
  <c r="G40" i="1"/>
  <c r="G18" i="1"/>
  <c r="G10" i="1"/>
  <c r="G67" i="1"/>
  <c r="G76" i="1"/>
  <c r="G55" i="1"/>
  <c r="G88" i="1"/>
  <c r="G566" i="1"/>
  <c r="G556" i="1"/>
  <c r="G602" i="1"/>
  <c r="G597" i="1"/>
  <c r="G527" i="1"/>
  <c r="G550" i="1"/>
  <c r="G582" i="1"/>
  <c r="G568" i="1"/>
  <c r="G579" i="1"/>
  <c r="G607" i="1"/>
  <c r="G611" i="1"/>
  <c r="G864" i="1"/>
  <c r="G815" i="1"/>
  <c r="G871" i="1"/>
  <c r="G838" i="1"/>
  <c r="G851" i="1"/>
  <c r="G823" i="1"/>
  <c r="G887" i="1"/>
  <c r="G832" i="1"/>
  <c r="G866" i="1"/>
  <c r="G904" i="1"/>
  <c r="G879" i="1"/>
  <c r="G842" i="1"/>
  <c r="G1530" i="1"/>
  <c r="G1511" i="1"/>
  <c r="G1538" i="1"/>
  <c r="G1499" i="1"/>
  <c r="G1561" i="1"/>
  <c r="G1482" i="1"/>
  <c r="G1518" i="1"/>
  <c r="G1484" i="1"/>
  <c r="G1544" i="1"/>
  <c r="G1523" i="1"/>
  <c r="G1491" i="1"/>
  <c r="G1535" i="1"/>
  <c r="G1344" i="1"/>
  <c r="G1331" i="1"/>
  <c r="G1286" i="1"/>
  <c r="G1319" i="1"/>
  <c r="G1376" i="1"/>
  <c r="G1369" i="1"/>
  <c r="G1336" i="1"/>
  <c r="G1353" i="1"/>
  <c r="G207" i="1"/>
  <c r="G242" i="1"/>
  <c r="G314" i="1"/>
  <c r="G267" i="1"/>
  <c r="G622" i="1"/>
  <c r="G654" i="1"/>
  <c r="G667" i="1"/>
  <c r="G503" i="1"/>
  <c r="G429" i="1"/>
  <c r="G464" i="1"/>
  <c r="G477" i="1"/>
  <c r="G510" i="1"/>
  <c r="G524" i="1"/>
  <c r="G1115" i="1"/>
  <c r="G1147" i="1"/>
  <c r="G1098" i="1"/>
  <c r="G1112" i="1"/>
  <c r="G1102" i="1"/>
  <c r="G1163" i="1"/>
  <c r="G1181" i="1"/>
  <c r="G1135" i="1"/>
  <c r="G989" i="1"/>
  <c r="G935" i="1"/>
  <c r="G922" i="1"/>
  <c r="G963" i="1"/>
  <c r="G977" i="1"/>
  <c r="G912" i="1"/>
  <c r="G938" i="1"/>
  <c r="G949" i="1"/>
  <c r="G943" i="1"/>
  <c r="G995" i="1"/>
  <c r="G34" i="1"/>
  <c r="G85" i="1"/>
  <c r="G5" i="1"/>
  <c r="G97" i="1"/>
  <c r="G39" i="1"/>
  <c r="G25" i="1"/>
  <c r="G12" i="1"/>
  <c r="G65" i="1"/>
  <c r="G78" i="1"/>
  <c r="G53" i="1"/>
  <c r="G92" i="1"/>
  <c r="G565" i="1"/>
  <c r="G561" i="1"/>
  <c r="G600" i="1"/>
  <c r="G596" i="1"/>
  <c r="G526" i="1"/>
  <c r="G555" i="1"/>
  <c r="G581" i="1"/>
  <c r="G570" i="1"/>
  <c r="G619" i="1"/>
  <c r="G606" i="1"/>
  <c r="G615" i="1"/>
  <c r="G892" i="1"/>
  <c r="G813" i="1"/>
  <c r="G876" i="1"/>
  <c r="G898" i="1"/>
  <c r="G850" i="1"/>
  <c r="G827" i="1"/>
  <c r="G821" i="1"/>
  <c r="G831" i="1"/>
  <c r="G867" i="1"/>
  <c r="G856" i="1"/>
  <c r="G878" i="1"/>
  <c r="G841" i="1"/>
  <c r="G1505" i="1"/>
  <c r="G1509" i="1"/>
  <c r="G1537" i="1"/>
  <c r="G1498" i="1"/>
  <c r="G1560" i="1"/>
  <c r="G1477" i="1"/>
  <c r="G1517" i="1"/>
  <c r="G1483" i="1"/>
  <c r="G1548" i="1"/>
  <c r="G1522" i="1"/>
  <c r="G212" i="1"/>
  <c r="G244" i="1"/>
  <c r="G326" i="1"/>
  <c r="G284" i="1"/>
  <c r="G641" i="1"/>
  <c r="G663" i="1"/>
  <c r="G702" i="1"/>
  <c r="G502" i="1"/>
  <c r="G444" i="1"/>
  <c r="G463" i="1"/>
  <c r="G482" i="1"/>
  <c r="G507" i="1"/>
  <c r="G1170" i="1"/>
  <c r="G1121" i="1"/>
  <c r="G1146" i="1"/>
  <c r="G1097" i="1"/>
  <c r="G1111" i="1"/>
  <c r="G1130" i="1"/>
  <c r="G1162" i="1"/>
  <c r="G1182" i="1"/>
  <c r="G1133" i="1"/>
  <c r="G988" i="1"/>
  <c r="G972" i="1"/>
  <c r="G920" i="1"/>
  <c r="G984" i="1"/>
  <c r="G975" i="1"/>
  <c r="G929" i="1"/>
  <c r="G937" i="1"/>
  <c r="G917" i="1"/>
  <c r="G944" i="1"/>
  <c r="G994" i="1"/>
  <c r="G38" i="1"/>
  <c r="G84" i="1"/>
  <c r="G3" i="1"/>
  <c r="G95" i="1"/>
  <c r="G43" i="1"/>
  <c r="G24" i="1"/>
  <c r="G9" i="1"/>
  <c r="G64" i="1"/>
  <c r="G75" i="1"/>
  <c r="G52" i="1"/>
  <c r="G87" i="1"/>
  <c r="G563" i="1"/>
  <c r="G536" i="1"/>
  <c r="G599" i="1"/>
  <c r="G542" i="1"/>
  <c r="G525" i="1"/>
  <c r="G590" i="1"/>
  <c r="G580" i="1"/>
  <c r="G573" i="1"/>
  <c r="G618" i="1"/>
  <c r="G605" i="1"/>
  <c r="G610" i="1"/>
  <c r="G891" i="1"/>
  <c r="G812" i="1"/>
  <c r="G874" i="1"/>
  <c r="G897" i="1"/>
  <c r="G849" i="1"/>
  <c r="G828" i="1"/>
  <c r="G820" i="1"/>
  <c r="G829" i="1"/>
  <c r="G865" i="1"/>
  <c r="G855" i="1"/>
  <c r="G877" i="1"/>
  <c r="G844" i="1"/>
  <c r="G1504" i="1"/>
  <c r="G1508" i="1"/>
  <c r="G1540" i="1"/>
  <c r="G1496" i="1"/>
  <c r="G1562" i="1"/>
  <c r="G1569" i="1"/>
  <c r="G1515" i="1"/>
  <c r="G1488" i="1"/>
  <c r="G1553" i="1"/>
  <c r="G1520" i="1"/>
  <c r="G1492" i="1"/>
  <c r="G1304" i="1"/>
  <c r="G1342" i="1"/>
  <c r="G1330" i="1"/>
  <c r="G1325" i="1"/>
  <c r="G1317" i="1"/>
  <c r="G1381" i="1"/>
  <c r="G1295" i="1"/>
  <c r="G1334" i="1"/>
  <c r="G1357" i="1"/>
  <c r="G213" i="1"/>
  <c r="G290" i="1"/>
  <c r="G324" i="1"/>
  <c r="G281" i="1"/>
  <c r="G640" i="1"/>
  <c r="G672" i="1"/>
  <c r="G700" i="1"/>
  <c r="G485" i="1"/>
  <c r="G443" i="1"/>
  <c r="G469" i="1"/>
  <c r="G493" i="1"/>
  <c r="G512" i="1"/>
  <c r="G1169" i="1"/>
  <c r="G1120" i="1"/>
  <c r="G1145" i="1"/>
  <c r="G1096" i="1"/>
  <c r="G1110" i="1"/>
  <c r="G1129" i="1"/>
  <c r="G1159" i="1"/>
  <c r="G1180" i="1"/>
  <c r="G1137" i="1"/>
  <c r="G986" i="1"/>
  <c r="G971" i="1"/>
  <c r="G919" i="1"/>
  <c r="G983" i="1"/>
  <c r="G976" i="1"/>
  <c r="G928" i="1"/>
  <c r="G940" i="1"/>
  <c r="G916" i="1"/>
  <c r="G945" i="1"/>
  <c r="G993" i="1"/>
  <c r="G33" i="1"/>
  <c r="G83" i="1"/>
  <c r="G4" i="1"/>
  <c r="G93" i="1"/>
  <c r="G19" i="1"/>
  <c r="G23" i="1"/>
  <c r="G74" i="1"/>
  <c r="G63" i="1"/>
  <c r="G49" i="1"/>
  <c r="G51" i="1"/>
  <c r="G547" i="1"/>
  <c r="G567" i="1"/>
  <c r="G535" i="1"/>
  <c r="G598" i="1"/>
  <c r="G541" i="1"/>
  <c r="G530" i="1"/>
  <c r="G589" i="1"/>
  <c r="G584" i="1"/>
  <c r="G578" i="1"/>
  <c r="G617" i="1"/>
  <c r="G604" i="1"/>
  <c r="G863" i="1"/>
  <c r="G890" i="1"/>
  <c r="G811" i="1"/>
  <c r="G839" i="1"/>
  <c r="G896" i="1"/>
  <c r="G848" i="1"/>
  <c r="G886" i="1"/>
  <c r="G819" i="1"/>
  <c r="G830" i="1"/>
  <c r="G905" i="1"/>
  <c r="G854" i="1"/>
  <c r="G881" i="1"/>
  <c r="G1529" i="1"/>
  <c r="G1502" i="1"/>
  <c r="G1510" i="1"/>
  <c r="G1559" i="1"/>
  <c r="G1495" i="1"/>
  <c r="G1565" i="1"/>
  <c r="G1568" i="1"/>
  <c r="G1514" i="1"/>
  <c r="G1486" i="1"/>
  <c r="G1552" i="1"/>
  <c r="G1519" i="1"/>
  <c r="G1489" i="1"/>
  <c r="G1303" i="1"/>
  <c r="G1340" i="1"/>
  <c r="G1291" i="1"/>
  <c r="G1324" i="1"/>
  <c r="G1320" i="1"/>
  <c r="G1368" i="1"/>
  <c r="G1294" i="1"/>
  <c r="G1339" i="1"/>
  <c r="G1349" i="1"/>
  <c r="G221" i="1"/>
  <c r="G633" i="1"/>
  <c r="G450" i="1"/>
  <c r="G1168" i="1"/>
  <c r="G1108" i="1"/>
  <c r="G1132" i="1"/>
  <c r="G982" i="1"/>
  <c r="G914" i="1"/>
  <c r="G81" i="1"/>
  <c r="G22" i="1"/>
  <c r="G56" i="1"/>
  <c r="G601" i="1"/>
  <c r="G585" i="1"/>
  <c r="G862" i="1"/>
  <c r="G895" i="1"/>
  <c r="G834" i="1"/>
  <c r="G1528" i="1"/>
  <c r="G1497" i="1"/>
  <c r="G1547" i="1"/>
  <c r="G1534" i="1"/>
  <c r="G1290" i="1"/>
  <c r="G1380" i="1"/>
  <c r="G1356" i="1"/>
  <c r="G1373" i="1"/>
  <c r="G1358" i="1"/>
  <c r="G1306" i="1"/>
  <c r="G1277" i="1"/>
  <c r="G1226" i="1"/>
  <c r="G1273" i="1"/>
  <c r="G1235" i="1"/>
  <c r="G1250" i="1"/>
  <c r="G1248" i="1"/>
  <c r="G1263" i="1"/>
  <c r="G1218" i="1"/>
  <c r="G1284" i="1"/>
  <c r="G1199" i="1"/>
  <c r="G1192" i="1"/>
  <c r="G1241" i="1"/>
  <c r="G766" i="1"/>
  <c r="G759" i="1"/>
  <c r="G737" i="1"/>
  <c r="G752" i="1"/>
  <c r="G791" i="1"/>
  <c r="G718" i="1"/>
  <c r="G744" i="1"/>
  <c r="G726" i="1"/>
  <c r="G730" i="1"/>
  <c r="G795" i="1"/>
  <c r="G774" i="1"/>
  <c r="G800" i="1"/>
  <c r="G1026" i="1"/>
  <c r="G1075" i="1"/>
  <c r="G1090" i="1"/>
  <c r="G1034" i="1"/>
  <c r="G1059" i="1"/>
  <c r="G1017" i="1"/>
  <c r="G1013" i="1"/>
  <c r="G1047" i="1"/>
  <c r="G1038" i="1"/>
  <c r="G1005" i="1"/>
  <c r="G1042" i="1"/>
  <c r="G1471" i="1"/>
  <c r="G1423" i="1"/>
  <c r="G1467" i="1"/>
  <c r="G1382" i="1"/>
  <c r="G1441" i="1"/>
  <c r="G1426" i="1"/>
  <c r="G1430" i="1"/>
  <c r="G1417" i="1"/>
  <c r="G1396" i="1"/>
  <c r="G1453" i="1"/>
  <c r="G1392" i="1"/>
  <c r="G1401" i="1"/>
  <c r="G150" i="1"/>
  <c r="G157" i="1"/>
  <c r="G172" i="1"/>
  <c r="G142" i="1"/>
  <c r="G163" i="1"/>
  <c r="G132" i="1"/>
  <c r="G109" i="1"/>
  <c r="G100" i="1"/>
  <c r="G120" i="1"/>
  <c r="G133" i="1"/>
  <c r="G113" i="1"/>
  <c r="G337" i="1"/>
  <c r="G375" i="1"/>
  <c r="G422" i="1"/>
  <c r="G344" i="1"/>
  <c r="G399" i="1"/>
  <c r="G386" i="1"/>
  <c r="G372" i="1"/>
  <c r="G347" i="1"/>
  <c r="G355" i="1"/>
  <c r="G426" i="1"/>
  <c r="G416" i="1"/>
  <c r="G368" i="1"/>
  <c r="G1292" i="1"/>
  <c r="G229" i="1"/>
  <c r="G637" i="1"/>
  <c r="G447" i="1"/>
  <c r="G1119" i="1"/>
  <c r="G1106" i="1"/>
  <c r="G958" i="1"/>
  <c r="G981" i="1"/>
  <c r="G915" i="1"/>
  <c r="G82" i="1"/>
  <c r="G21" i="1"/>
  <c r="G91" i="1"/>
  <c r="G595" i="1"/>
  <c r="G572" i="1"/>
  <c r="G861" i="1"/>
  <c r="G899" i="1"/>
  <c r="G870" i="1"/>
  <c r="G1526" i="1"/>
  <c r="G1500" i="1"/>
  <c r="G1546" i="1"/>
  <c r="G1531" i="1"/>
  <c r="G1289" i="1"/>
  <c r="G1367" i="1"/>
  <c r="G1352" i="1"/>
  <c r="G1372" i="1"/>
  <c r="G1363" i="1"/>
  <c r="G1315" i="1"/>
  <c r="G1275" i="1"/>
  <c r="G1230" i="1"/>
  <c r="G1259" i="1"/>
  <c r="G1234" i="1"/>
  <c r="G1252" i="1"/>
  <c r="G1247" i="1"/>
  <c r="G1262" i="1"/>
  <c r="G1214" i="1"/>
  <c r="G1283" i="1"/>
  <c r="G1198" i="1"/>
  <c r="G1196" i="1"/>
  <c r="G1240" i="1"/>
  <c r="G771" i="1"/>
  <c r="G787" i="1"/>
  <c r="G736" i="1"/>
  <c r="G765" i="1"/>
  <c r="G790" i="1"/>
  <c r="G719" i="1"/>
  <c r="G809" i="1"/>
  <c r="G725" i="1"/>
  <c r="G734" i="1"/>
  <c r="G782" i="1"/>
  <c r="G773" i="1"/>
  <c r="G803" i="1"/>
  <c r="G1025" i="1"/>
  <c r="G1074" i="1"/>
  <c r="G1095" i="1"/>
  <c r="G1031" i="1"/>
  <c r="G1058" i="1"/>
  <c r="G1022" i="1"/>
  <c r="G1011" i="1"/>
  <c r="G1068" i="1"/>
  <c r="G1036" i="1"/>
  <c r="G1009" i="1"/>
  <c r="G1072" i="1"/>
  <c r="G1475" i="1"/>
  <c r="G1451" i="1"/>
  <c r="G1466" i="1"/>
  <c r="G1386" i="1"/>
  <c r="G1463" i="1"/>
  <c r="G1425" i="1"/>
  <c r="G1434" i="1"/>
  <c r="G1445" i="1"/>
  <c r="G1395" i="1"/>
  <c r="G1458" i="1"/>
  <c r="G1391" i="1"/>
  <c r="G1400" i="1"/>
  <c r="G149" i="1"/>
  <c r="G156" i="1"/>
  <c r="G173" i="1"/>
  <c r="G141" i="1"/>
  <c r="G162" i="1"/>
  <c r="G128" i="1"/>
  <c r="G108" i="1"/>
  <c r="G101" i="1"/>
  <c r="G119" i="1"/>
  <c r="G138" i="1"/>
  <c r="G184" i="1"/>
  <c r="G336" i="1"/>
  <c r="G380" i="1"/>
  <c r="G392" i="1"/>
  <c r="G343" i="1"/>
  <c r="G402" i="1"/>
  <c r="G397" i="1"/>
  <c r="G371" i="1"/>
  <c r="G346" i="1"/>
  <c r="G354" i="1"/>
  <c r="G425" i="1"/>
  <c r="G296" i="1"/>
  <c r="G678" i="1"/>
  <c r="G468" i="1"/>
  <c r="G1125" i="1"/>
  <c r="G1128" i="1"/>
  <c r="G991" i="1"/>
  <c r="G974" i="1"/>
  <c r="G1001" i="1"/>
  <c r="G60" i="1"/>
  <c r="G73" i="1"/>
  <c r="G546" i="1"/>
  <c r="G540" i="1"/>
  <c r="G577" i="1"/>
  <c r="G889" i="1"/>
  <c r="G847" i="1"/>
  <c r="G903" i="1"/>
  <c r="G1501" i="1"/>
  <c r="G1481" i="1"/>
  <c r="G1550" i="1"/>
  <c r="G1301" i="1"/>
  <c r="G1326" i="1"/>
  <c r="G1366" i="1"/>
  <c r="G1348" i="1"/>
  <c r="G1371" i="1"/>
  <c r="G1361" i="1"/>
  <c r="G1314" i="1"/>
  <c r="G1274" i="1"/>
  <c r="G1231" i="1"/>
  <c r="G1258" i="1"/>
  <c r="G1233" i="1"/>
  <c r="G1255" i="1"/>
  <c r="G1245" i="1"/>
  <c r="G1266" i="1"/>
  <c r="G1223" i="1"/>
  <c r="G1282" i="1"/>
  <c r="G1203" i="1"/>
  <c r="G1208" i="1"/>
  <c r="G1239" i="1"/>
  <c r="G770" i="1"/>
  <c r="G786" i="1"/>
  <c r="G741" i="1"/>
  <c r="G763" i="1"/>
  <c r="G789" i="1"/>
  <c r="G723" i="1"/>
  <c r="G808" i="1"/>
  <c r="G724" i="1"/>
  <c r="G735" i="1"/>
  <c r="G781" i="1"/>
  <c r="G772" i="1"/>
  <c r="G1088" i="1"/>
  <c r="G1024" i="1"/>
  <c r="G1077" i="1"/>
  <c r="G1056" i="1"/>
  <c r="G1030" i="1"/>
  <c r="G1057" i="1"/>
  <c r="G1082" i="1"/>
  <c r="G1010" i="1"/>
  <c r="G1066" i="1"/>
  <c r="G1035" i="1"/>
  <c r="G1004" i="1"/>
  <c r="G1071" i="1"/>
  <c r="G1476" i="1"/>
  <c r="G1450" i="1"/>
  <c r="G1465" i="1"/>
  <c r="G1387" i="1"/>
  <c r="G1462" i="1"/>
  <c r="G1424" i="1"/>
  <c r="G1435" i="1"/>
  <c r="G1444" i="1"/>
  <c r="G1394" i="1"/>
  <c r="G1411" i="1"/>
  <c r="G1390" i="1"/>
  <c r="G1402" i="1"/>
  <c r="G148" i="1"/>
  <c r="G293" i="1"/>
  <c r="G676" i="1"/>
  <c r="G474" i="1"/>
  <c r="G1155" i="1"/>
  <c r="G1126" i="1"/>
  <c r="G990" i="1"/>
  <c r="G910" i="1"/>
  <c r="G1000" i="1"/>
  <c r="G59" i="1"/>
  <c r="G72" i="1"/>
  <c r="G545" i="1"/>
  <c r="G539" i="1"/>
  <c r="G576" i="1"/>
  <c r="G893" i="1"/>
  <c r="G826" i="1"/>
  <c r="G902" i="1"/>
  <c r="G1503" i="1"/>
  <c r="G1480" i="1"/>
  <c r="G1549" i="1"/>
  <c r="G1299" i="1"/>
  <c r="G1323" i="1"/>
  <c r="G1296" i="1"/>
  <c r="G1347" i="1"/>
  <c r="G1370" i="1"/>
  <c r="G1310" i="1"/>
  <c r="G1313" i="1"/>
  <c r="G1276" i="1"/>
  <c r="G1272" i="1"/>
  <c r="G1257" i="1"/>
  <c r="G1232" i="1"/>
  <c r="G1212" i="1"/>
  <c r="G1244" i="1"/>
  <c r="G1267" i="1"/>
  <c r="G1222" i="1"/>
  <c r="G1281" i="1"/>
  <c r="G1202" i="1"/>
  <c r="G1206" i="1"/>
  <c r="G1238" i="1"/>
  <c r="G757" i="1"/>
  <c r="G785" i="1"/>
  <c r="G753" i="1"/>
  <c r="G762" i="1"/>
  <c r="G788" i="1"/>
  <c r="G747" i="1"/>
  <c r="G807" i="1"/>
  <c r="G727" i="1"/>
  <c r="G798" i="1"/>
  <c r="G780" i="1"/>
  <c r="G777" i="1"/>
  <c r="G1087" i="1"/>
  <c r="G1023" i="1"/>
  <c r="G1073" i="1"/>
  <c r="G1055" i="1"/>
  <c r="G1029" i="1"/>
  <c r="G1062" i="1"/>
  <c r="G1081" i="1"/>
  <c r="G1012" i="1"/>
  <c r="G1064" i="1"/>
  <c r="G1037" i="1"/>
  <c r="G1046" i="1"/>
  <c r="G1070" i="1"/>
  <c r="G1421" i="1"/>
  <c r="G1449" i="1"/>
  <c r="G1469" i="1"/>
  <c r="G1440" i="1"/>
  <c r="G1461" i="1"/>
  <c r="G1429" i="1"/>
  <c r="G1416" i="1"/>
  <c r="G1443" i="1"/>
  <c r="G1399" i="1"/>
  <c r="G1409" i="1"/>
  <c r="G1389" i="1"/>
  <c r="G155" i="1"/>
  <c r="G146" i="1"/>
  <c r="G158" i="1"/>
  <c r="G177" i="1"/>
  <c r="G139" i="1"/>
  <c r="G167" i="1"/>
  <c r="G188" i="1"/>
  <c r="G105" i="1"/>
  <c r="G124" i="1"/>
  <c r="G331" i="1"/>
  <c r="G705" i="1"/>
  <c r="G492" i="1"/>
  <c r="G1177" i="1"/>
  <c r="G1158" i="1"/>
  <c r="G970" i="1"/>
  <c r="G926" i="1"/>
  <c r="G992" i="1"/>
  <c r="G98" i="1"/>
  <c r="G68" i="1"/>
  <c r="G562" i="1"/>
  <c r="G528" i="1"/>
  <c r="G616" i="1"/>
  <c r="G814" i="1"/>
  <c r="G885" i="1"/>
  <c r="G853" i="1"/>
  <c r="G1507" i="1"/>
  <c r="G1567" i="1"/>
  <c r="G1524" i="1"/>
  <c r="G1343" i="1"/>
  <c r="G1328" i="1"/>
  <c r="G1293" i="1"/>
  <c r="G1346" i="1"/>
  <c r="G1375" i="1"/>
  <c r="G1309" i="1"/>
  <c r="G1312" i="1"/>
  <c r="G1279" i="1"/>
  <c r="G1271" i="1"/>
  <c r="G1256" i="1"/>
  <c r="G1236" i="1"/>
  <c r="G1211" i="1"/>
  <c r="G1249" i="1"/>
  <c r="G1219" i="1"/>
  <c r="G1221" i="1"/>
  <c r="G1285" i="1"/>
  <c r="G1197" i="1"/>
  <c r="G1205" i="1"/>
  <c r="G1243" i="1"/>
  <c r="G756" i="1"/>
  <c r="G784" i="1"/>
  <c r="G751" i="1"/>
  <c r="G761" i="1"/>
  <c r="G793" i="1"/>
  <c r="G746" i="1"/>
  <c r="G806" i="1"/>
  <c r="G729" i="1"/>
  <c r="G797" i="1"/>
  <c r="G778" i="1"/>
  <c r="G776" i="1"/>
  <c r="G1086" i="1"/>
  <c r="G1028" i="1"/>
  <c r="G1094" i="1"/>
  <c r="G1054" i="1"/>
  <c r="G1032" i="1"/>
  <c r="G1021" i="1"/>
  <c r="G1080" i="1"/>
  <c r="G1015" i="1"/>
  <c r="G1063" i="1"/>
  <c r="G1039" i="1"/>
  <c r="G1045" i="1"/>
  <c r="G1069" i="1"/>
  <c r="G1420" i="1"/>
  <c r="G1447" i="1"/>
  <c r="G1470" i="1"/>
  <c r="G1439" i="1"/>
  <c r="G1459" i="1"/>
  <c r="G1427" i="1"/>
  <c r="G1415" i="1"/>
  <c r="G1442" i="1"/>
  <c r="G1457" i="1"/>
  <c r="G1408" i="1"/>
  <c r="G1393" i="1"/>
  <c r="G154" i="1"/>
  <c r="G145" i="1"/>
  <c r="G171" i="1"/>
  <c r="G176" i="1"/>
  <c r="G144" i="1"/>
  <c r="G131" i="1"/>
  <c r="G187" i="1"/>
  <c r="G106" i="1"/>
  <c r="G123" i="1"/>
  <c r="G116" i="1"/>
  <c r="G112" i="1"/>
  <c r="G180" i="1"/>
  <c r="G339" i="1"/>
  <c r="G330" i="1"/>
  <c r="G707" i="1"/>
  <c r="G489" i="1"/>
  <c r="G1176" i="1"/>
  <c r="G1157" i="1"/>
  <c r="G968" i="1"/>
  <c r="G925" i="1"/>
  <c r="G996" i="1"/>
  <c r="G96" i="1"/>
  <c r="G66" i="1"/>
  <c r="G559" i="1"/>
  <c r="G553" i="1"/>
  <c r="G621" i="1"/>
  <c r="G875" i="1"/>
  <c r="G884" i="1"/>
  <c r="G857" i="1"/>
  <c r="G1542" i="1"/>
  <c r="G1566" i="1"/>
  <c r="G1521" i="1"/>
  <c r="G1345" i="1"/>
  <c r="G1318" i="1"/>
  <c r="G1298" i="1"/>
  <c r="G1350" i="1"/>
  <c r="G1362" i="1"/>
  <c r="G1308" i="1"/>
  <c r="G1311" i="1"/>
  <c r="G1229" i="1"/>
  <c r="G1269" i="1"/>
  <c r="G1261" i="1"/>
  <c r="G1254" i="1"/>
  <c r="G1210" i="1"/>
  <c r="G1246" i="1"/>
  <c r="G1217" i="1"/>
  <c r="G1220" i="1"/>
  <c r="G1280" i="1"/>
  <c r="G1195" i="1"/>
  <c r="G1204" i="1"/>
  <c r="G769" i="1"/>
  <c r="G755" i="1"/>
  <c r="G740" i="1"/>
  <c r="G750" i="1"/>
  <c r="G760" i="1"/>
  <c r="G722" i="1"/>
  <c r="G745" i="1"/>
  <c r="G805" i="1"/>
  <c r="G733" i="1"/>
  <c r="G796" i="1"/>
  <c r="G779" i="1"/>
  <c r="G804" i="1"/>
  <c r="G1085" i="1"/>
  <c r="G1027" i="1"/>
  <c r="G1093" i="1"/>
  <c r="G1053" i="1"/>
  <c r="G1033" i="1"/>
  <c r="G1020" i="1"/>
  <c r="G1079" i="1"/>
  <c r="G1050" i="1"/>
  <c r="G1065" i="1"/>
  <c r="G1008" i="1"/>
  <c r="G1044" i="1"/>
  <c r="G1474" i="1"/>
  <c r="G1419" i="1"/>
  <c r="G1448" i="1"/>
  <c r="G1385" i="1"/>
  <c r="G1438" i="1"/>
  <c r="G1464" i="1"/>
  <c r="G1433" i="1"/>
  <c r="G1414" i="1"/>
  <c r="G1446" i="1"/>
  <c r="G1456" i="1"/>
  <c r="G1407" i="1"/>
  <c r="G1405" i="1"/>
  <c r="G153" i="1"/>
  <c r="G147" i="1"/>
  <c r="G170" i="1"/>
  <c r="G175" i="1"/>
  <c r="G143" i="1"/>
  <c r="G130" i="1"/>
  <c r="G186" i="1"/>
  <c r="G104" i="1"/>
  <c r="G122" i="1"/>
  <c r="G136" i="1"/>
  <c r="G111" i="1"/>
  <c r="G181" i="1"/>
  <c r="G378" i="1"/>
  <c r="G418" i="1"/>
  <c r="G387" i="1"/>
  <c r="G403" i="1"/>
  <c r="G364" i="1"/>
  <c r="G362" i="1"/>
  <c r="G423" i="1"/>
  <c r="G409" i="1"/>
  <c r="G351" i="1"/>
  <c r="G396" i="1"/>
  <c r="G401" i="1"/>
  <c r="G391" i="1"/>
  <c r="G334" i="1"/>
  <c r="G114" i="1"/>
  <c r="G125" i="1"/>
  <c r="G129" i="1"/>
  <c r="G168" i="1"/>
  <c r="G1404" i="1"/>
  <c r="G1413" i="1"/>
  <c r="G1384" i="1"/>
  <c r="G1043" i="1"/>
  <c r="G1083" i="1"/>
  <c r="G1092" i="1"/>
  <c r="G783" i="1"/>
  <c r="G743" i="1"/>
  <c r="G739" i="1"/>
  <c r="G1194" i="1"/>
  <c r="G1265" i="1"/>
  <c r="G1268" i="1"/>
  <c r="G1360" i="1"/>
  <c r="G1341" i="1"/>
  <c r="G882" i="1"/>
  <c r="G587" i="1"/>
  <c r="G32" i="1"/>
  <c r="G1190" i="1"/>
  <c r="G758" i="1"/>
  <c r="G1200" i="1"/>
  <c r="G1213" i="1"/>
  <c r="G1227" i="1"/>
  <c r="G1374" i="1"/>
  <c r="G1536" i="1"/>
  <c r="G818" i="1"/>
  <c r="G533" i="1"/>
  <c r="G952" i="1"/>
  <c r="G513" i="1"/>
  <c r="G341" i="1"/>
  <c r="G417" i="1"/>
  <c r="G338" i="1"/>
  <c r="G134" i="1"/>
  <c r="G103" i="1"/>
  <c r="G164" i="1"/>
  <c r="G161" i="1"/>
  <c r="G1410" i="1"/>
  <c r="G1432" i="1"/>
  <c r="G1452" i="1"/>
  <c r="G1007" i="1"/>
  <c r="G1019" i="1"/>
  <c r="G1078" i="1"/>
  <c r="G794" i="1"/>
  <c r="G721" i="1"/>
  <c r="G754" i="1"/>
  <c r="G1201" i="1"/>
  <c r="G1209" i="1"/>
  <c r="G1228" i="1"/>
  <c r="G1351" i="1"/>
  <c r="G1490" i="1"/>
  <c r="G817" i="1"/>
  <c r="G534" i="1"/>
  <c r="G953" i="1"/>
  <c r="G508" i="1"/>
  <c r="G99" i="1"/>
  <c r="G367" i="1"/>
  <c r="G412" i="1"/>
  <c r="G357" i="1"/>
  <c r="G408" i="1"/>
  <c r="G373" i="1"/>
  <c r="G383" i="1"/>
  <c r="G342" i="1"/>
  <c r="G419" i="1"/>
  <c r="G185" i="1"/>
  <c r="G135" i="1"/>
  <c r="G107" i="1"/>
  <c r="G166" i="1"/>
  <c r="G159" i="1"/>
  <c r="G1454" i="1"/>
  <c r="G1428" i="1"/>
  <c r="G1422" i="1"/>
  <c r="G1040" i="1"/>
  <c r="G1060" i="1"/>
  <c r="G1089" i="1"/>
  <c r="G731" i="1"/>
  <c r="G792" i="1"/>
  <c r="G767" i="1"/>
  <c r="G1224" i="1"/>
  <c r="G1251" i="1"/>
  <c r="G1278" i="1"/>
  <c r="G1338" i="1"/>
  <c r="G1516" i="1"/>
  <c r="G836" i="1"/>
  <c r="G46" i="1"/>
  <c r="G966" i="1"/>
  <c r="G488" i="1"/>
  <c r="G140" i="1"/>
  <c r="G160" i="1"/>
  <c r="G1455" i="1"/>
  <c r="G1460" i="1"/>
  <c r="G1418" i="1"/>
  <c r="G1067" i="1"/>
  <c r="G1061" i="1"/>
  <c r="G1084" i="1"/>
  <c r="G732" i="1"/>
  <c r="G764" i="1"/>
  <c r="G768" i="1"/>
  <c r="G1225" i="1"/>
  <c r="G1253" i="1"/>
  <c r="G1316" i="1"/>
  <c r="G1335" i="1"/>
  <c r="G1513" i="1"/>
  <c r="G837" i="1"/>
  <c r="G48" i="1"/>
  <c r="G921" i="1"/>
  <c r="G483" i="1"/>
  <c r="G379" i="1"/>
  <c r="G183" i="1"/>
  <c r="G118" i="1"/>
  <c r="G189" i="1"/>
  <c r="G174" i="1"/>
  <c r="G151" i="1"/>
  <c r="G1397" i="1"/>
  <c r="G1437" i="1"/>
  <c r="G1472" i="1"/>
  <c r="G1048" i="1"/>
  <c r="G1052" i="1"/>
  <c r="G801" i="1"/>
  <c r="G728" i="1"/>
  <c r="G748" i="1"/>
  <c r="G1242" i="1"/>
  <c r="G1215" i="1"/>
  <c r="G1237" i="1"/>
  <c r="G1305" i="1"/>
  <c r="G1379" i="1"/>
  <c r="G1557" i="1"/>
  <c r="G614" i="1"/>
  <c r="G16" i="1"/>
  <c r="G1139" i="1"/>
  <c r="G250" i="1"/>
  <c r="G376" i="1"/>
  <c r="G115" i="1"/>
  <c r="G121" i="1"/>
  <c r="G191" i="1"/>
  <c r="G179" i="1"/>
  <c r="G152" i="1"/>
  <c r="G1398" i="1"/>
  <c r="G1436" i="1"/>
  <c r="G1473" i="1"/>
  <c r="G1049" i="1"/>
  <c r="G1051" i="1"/>
  <c r="G802" i="1"/>
  <c r="G810" i="1"/>
  <c r="G749" i="1"/>
  <c r="G1207" i="1"/>
  <c r="G1216" i="1"/>
  <c r="G1260" i="1"/>
  <c r="G1307" i="1"/>
  <c r="G1322" i="1"/>
  <c r="G1558" i="1"/>
  <c r="G609" i="1"/>
  <c r="G17" i="1"/>
  <c r="G1140" i="1"/>
  <c r="G280" i="1"/>
</calcChain>
</file>

<file path=xl/sharedStrings.xml><?xml version="1.0" encoding="utf-8"?>
<sst xmlns="http://schemas.openxmlformats.org/spreadsheetml/2006/main" count="14365" uniqueCount="2644">
  <si>
    <t>town_type</t>
  </si>
  <si>
    <t>town_name</t>
  </si>
  <si>
    <t>npc_name</t>
  </si>
  <si>
    <t>keyword</t>
  </si>
  <si>
    <t>reply</t>
  </si>
  <si>
    <t>question</t>
  </si>
  <si>
    <t>qn_yes</t>
  </si>
  <si>
    <t>qn_no</t>
  </si>
  <si>
    <t>humility_related_flag</t>
  </si>
  <si>
    <t>Castles</t>
  </si>
  <si>
    <t>Castle Britannia</t>
  </si>
  <si>
    <t>Chuckles</t>
  </si>
  <si>
    <t>NAME</t>
  </si>
  <si>
    <t>Hast thou an ankh?</t>
  </si>
  <si>
    <t>Then enter in peace!</t>
  </si>
  <si>
    <t>Then why art thou here?</t>
  </si>
  <si>
    <t>LOOK</t>
  </si>
  <si>
    <t>A bouncing jester</t>
  </si>
  <si>
    <t>JOB</t>
  </si>
  <si>
    <t>I am the royal jester</t>
  </si>
  <si>
    <t>HEALTH</t>
  </si>
  <si>
    <t>Good, thanks.</t>
  </si>
  <si>
    <t>JEST</t>
  </si>
  <si>
    <t>Welcome unto the castle Britannia!</t>
  </si>
  <si>
    <t>CLUE</t>
  </si>
  <si>
    <t>Speak ye unto the waters of the well and ask of altars!</t>
  </si>
  <si>
    <t>Gate Guard</t>
  </si>
  <si>
    <t>a guard</t>
  </si>
  <si>
    <t>Do you seek Lord British?</t>
  </si>
  <si>
    <t>He is on the upper level in the throne room.</t>
  </si>
  <si>
    <t>He will aid you if you are in need!</t>
  </si>
  <si>
    <t>A burly guard</t>
  </si>
  <si>
    <t>I guard the castle and all within.</t>
  </si>
  <si>
    <t>Couldn’t be better!</t>
  </si>
  <si>
    <t>GUAR</t>
  </si>
  <si>
    <t>I guard the castle!</t>
  </si>
  <si>
    <t>CAST</t>
  </si>
  <si>
    <t>The castle is fair and strong!</t>
  </si>
  <si>
    <t>Treasury Guard</t>
  </si>
  <si>
    <t>Do you mean to steal?</t>
  </si>
  <si>
    <t>I believe you will find that an unfruitful venture.</t>
  </si>
  <si>
    <t>Then please leave at once!</t>
  </si>
  <si>
    <t>A guard</t>
  </si>
  <si>
    <t>Excellent</t>
  </si>
  <si>
    <t>We guard the castle and its treasures.</t>
  </si>
  <si>
    <t>TREA</t>
  </si>
  <si>
    <t>That is not your business.</t>
  </si>
  <si>
    <t>Guard (2nd Floor)</t>
  </si>
  <si>
    <t>Art thou the most valiant warrior?</t>
  </si>
  <si>
    <t>Then thou should be a guard!</t>
  </si>
  <si>
    <t>Still flee not from battle!</t>
  </si>
  <si>
    <t>NO improves Humility</t>
  </si>
  <si>
    <t>I guard the castle and my liege!</t>
  </si>
  <si>
    <t>Great!</t>
  </si>
  <si>
    <t>A guard must be a valiant warrior!</t>
  </si>
  <si>
    <t>LIEG</t>
  </si>
  <si>
    <t>I serve Lord British!</t>
  </si>
  <si>
    <t>Hawkwind</t>
  </si>
  <si>
    <t>Honesty</t>
  </si>
  <si>
    <t>Thou art a thief and a scoundrel. Thou may not ever become an Avatar! Thou art not an honest soul. Thou must live a more honest life to be an Avatar! Thou hast made little progress on the paths of Honesty. Strive to prove thy worth! Thou dost seem an honest soul. Continued honesty will reward thee! Thou art truly an honest soul. Seek ye now to reach Elevation!</t>
  </si>
  <si>
    <t>Compassion</t>
  </si>
  <si>
    <t>Thou art a cold and cruel brute. Thou should go to prison for thy crimes! Thou dost kill where there is no need and give too little unto others! Thou hast not shown thy compassion well. Be more kind unto others! Thou dost show thy compassion well. Continued good will should be thy guide! Compassion is a virtue that thou hast shown well. Seek ye now Elevation!</t>
  </si>
  <si>
    <t>Valor</t>
  </si>
  <si>
    <t>Thou art a coward, thou dost flee from the hint of danger! Thou dost not display a great deal of Valor. Thou dost flee before the need! Thou art not yet a valiant warrior. Fight to defeat evil and prove thyself! Thou art showing Valor in the face of danger. Strive to become yet more so! Thou art a truly valiant warrior. Seek ye now Elevation in the virtue of valor!</t>
  </si>
  <si>
    <t>Justice</t>
  </si>
  <si>
    <t>Thou art an unjust wretch. Thou are a fulsome meddler! Thou art cruel and unjust. in time thou will suffer for thy crimes! Thou hast not proven thyself to be just. Strive to do justice unto all things! Thou dost seem fair and just. Strive to uphold Justice even more sternly! Thou art just and fair. Seek ye now the Elevation!</t>
  </si>
  <si>
    <t>Sacrifice</t>
  </si>
  <si>
    <t>Thou art a self-serving Tufthunter. Thou deservest not my help, yet I grant it! Thou dost need to think more of the life of others and less of thy own! Thy sacrifice is small. Give of thy life’s blood so that others may live. Thou art giving of thyself in some ways. Seek ye now to find yet more! Thy self-sacrifice is great. Seek now Elevation!</t>
  </si>
  <si>
    <t>Honor</t>
  </si>
  <si>
    <t>Thou art a cad and a bounder. Thy presence is an affront. Thou art low as a slug! Thou dost not fight with honor but with malice and deceit! Thou dost need to show thyself to be more honorable. The path lies before thee! Thou dost seem to be Honorable in nature. Seek to bring Honor upon others as well! Thou hast proven thyself to be Honorable. Seek ye now for the Elevation!</t>
  </si>
  <si>
    <t>Spirituality</t>
  </si>
  <si>
    <t>Thy spirit is weak and feeble. Thou dost not strive for Perfection! Thou dost not take time to care about thy inner being, a must to be an Avatar! Strive to know and master more of thine inner being. Meditation lights the path! Thou art doing well on the path to inner sight continue to seek the inner light. Spirituality is in thy nature. Seek ye now the Elevation!</t>
  </si>
  <si>
    <t>Humility</t>
  </si>
  <si>
    <t>Thou art proud and vain. All other virtue in thee is a loss! Thou art too proud of thy little deeds. Humility is the root of all Virtue! Thy progress on this path is most uncertain. Without Humility thou art empty! Thou dost seem a humble soul. Thou art setting strong stones to build virtues upon! Thy Humility shines bright upon they being. Seek ye now for Elevation!</t>
  </si>
  <si>
    <t>Other When asked about any virtue for which Partial Avatarhood has been attained:</t>
  </si>
  <si>
    <t>Thou hast become a partial Avatar in that attribute. Thou need not my insights.</t>
  </si>
  <si>
    <t>Jester Twins</t>
  </si>
  <si>
    <t>Jester Twin</t>
  </si>
  <si>
    <t>Dost thou like the music?</t>
  </si>
  <si>
    <t>Then you should go to Britain for there lives the best!</t>
  </si>
  <si>
    <t>A shame, we do!</t>
  </si>
  <si>
    <t>A dancing jester</t>
  </si>
  <si>
    <t>To entertain.</t>
  </si>
  <si>
    <t>Perfectly hoppy!</t>
  </si>
  <si>
    <t>A jester needs a good bard!</t>
  </si>
  <si>
    <t>BARD</t>
  </si>
  <si>
    <t>Our bard is very good.</t>
  </si>
  <si>
    <t>Joshua</t>
  </si>
  <si>
    <t>More?</t>
  </si>
  <si>
    <t>What one thing creates and is created by all truths, all love &amp; all courage?</t>
  </si>
  <si>
    <t>Oh.</t>
  </si>
  <si>
    <t>A wise mage.</t>
  </si>
  <si>
    <t>I can help.</t>
  </si>
  <si>
    <t>Well.</t>
  </si>
  <si>
    <t>HELP</t>
  </si>
  <si>
    <t>The riddle!</t>
  </si>
  <si>
    <t>RIDD</t>
  </si>
  <si>
    <t>If the eight philosophies of avatarhood combine into and are made from truth, love &amp; courage...</t>
  </si>
  <si>
    <t>Juliet</t>
  </si>
  <si>
    <t>Know ye this?</t>
  </si>
  <si>
    <t>Now the one!</t>
  </si>
  <si>
    <t>Seek it!</t>
  </si>
  <si>
    <t>A fair maiden.</t>
  </si>
  <si>
    <t>I can help thee.</t>
  </si>
  <si>
    <t>Fine thanks.</t>
  </si>
  <si>
    <t>Seek ye to know how the eight virtues form into the three principles.</t>
  </si>
  <si>
    <t>ONE</t>
  </si>
  <si>
    <t>Seek ye to know what one thing the three principles of virtue combine into!</t>
  </si>
  <si>
    <t>Landri</t>
  </si>
  <si>
    <t>Wilt thou go on?</t>
  </si>
  <si>
    <t>Then thou art doomed!</t>
  </si>
  <si>
    <t>That is good.</t>
  </si>
  <si>
    <t>A grim shepherd</t>
  </si>
  <si>
    <t>I am here to warn thee!</t>
  </si>
  <si>
    <t>I am fine, but thou must go back!</t>
  </si>
  <si>
    <t>WARN</t>
  </si>
  <si>
    <t>Ahead lies a perilous place!</t>
  </si>
  <si>
    <t>PERI</t>
  </si>
  <si>
    <t>Once thou enters thou may not return whence thee came!</t>
  </si>
  <si>
    <t>Le Chef</t>
  </si>
  <si>
    <t>Do you eat?</t>
  </si>
  <si>
    <t>Then thou should try my soup!</t>
  </si>
  <si>
    <t>Then thou must be a spiritualist!</t>
  </si>
  <si>
    <t>A person with a white hat.</t>
  </si>
  <si>
    <t>I am the chef.</t>
  </si>
  <si>
    <t>Well.. All but my finger, which I cut!</t>
  </si>
  <si>
    <t>FOOD</t>
  </si>
  <si>
    <t>Food, glorious food, to cook is my life!</t>
  </si>
  <si>
    <t>COOK</t>
  </si>
  <si>
    <t>Cooking is a practiced art.</t>
  </si>
  <si>
    <t>Prisoner</t>
  </si>
  <si>
    <t>a nameless prisoner</t>
  </si>
  <si>
    <t>Are you a pirate?</t>
  </si>
  <si>
    <t>You may never complete thy quests, for evil makes not an avatar!</t>
  </si>
  <si>
    <t>I hope that this is true!</t>
  </si>
  <si>
    <t>A ragged soul.</t>
  </si>
  <si>
    <t>I have none.</t>
  </si>
  <si>
    <t>Very poor.</t>
  </si>
  <si>
    <t>CRIM</t>
  </si>
  <si>
    <t>Crime is an evil thing!</t>
  </si>
  <si>
    <t>PRIS</t>
  </si>
  <si>
    <t>Here I pay for my crimes!</t>
  </si>
  <si>
    <t>Reaper</t>
  </si>
  <si>
    <t>a reaper</t>
  </si>
  <si>
    <t>Will you seek this thing?</t>
  </si>
  <si>
    <t>It brings great power!</t>
  </si>
  <si>
    <t>Then thou must be stupid.</t>
  </si>
  <si>
    <t>A reaper</t>
  </si>
  <si>
    <t>I kill adventurers!</t>
  </si>
  <si>
    <t>Not so good, no one to eat in here!</t>
  </si>
  <si>
    <t>KILL</t>
  </si>
  <si>
    <t>There is a thing which can kill many!</t>
  </si>
  <si>
    <t>THIN</t>
  </si>
  <si>
    <t>Knowledge of it is found at Buccaneer’s Den!</t>
  </si>
  <si>
    <t>Seesha</t>
  </si>
  <si>
    <t>Fight ye for Britannia?</t>
  </si>
  <si>
    <t>Then seek out the smith named Zircon in Minoc for he made the mystic arms, only they will save thee in the abyss!</t>
  </si>
  <si>
    <t>Hmm.</t>
  </si>
  <si>
    <t>An injured fighter</t>
  </si>
  <si>
    <t>I fight for my country.</t>
  </si>
  <si>
    <t>I have a grievous wound.</t>
  </si>
  <si>
    <t>WOUN</t>
  </si>
  <si>
    <t>Deep.</t>
  </si>
  <si>
    <t>COUN</t>
  </si>
  <si>
    <t>Britannia.</t>
  </si>
  <si>
    <t>Shawn</t>
  </si>
  <si>
    <t>Art thou proud?</t>
  </si>
  <si>
    <t>Hmmm.</t>
  </si>
  <si>
    <t>My towne was destroyed for its pride. The ruins lie on an isle at lat-K’J" long-L’L"!</t>
  </si>
  <si>
    <t>A shepherdess both strong and beautiful.</t>
  </si>
  <si>
    <t>I watch the water.</t>
  </si>
  <si>
    <t>WATE</t>
  </si>
  <si>
    <t>It brings me peace.</t>
  </si>
  <si>
    <t>PEAC</t>
  </si>
  <si>
    <t>I come from a proud city.</t>
  </si>
  <si>
    <t>Sheila</t>
  </si>
  <si>
    <t>Dost thou know of mantra?</t>
  </si>
  <si>
    <t>Good.</t>
  </si>
  <si>
    <t>The mantra are chants needed to focus thy thoughts while meditating.</t>
  </si>
  <si>
    <t>A solemn ranger</t>
  </si>
  <si>
    <t>I search for the inner light.</t>
  </si>
  <si>
    <t>I am well.</t>
  </si>
  <si>
    <t>LIGH</t>
  </si>
  <si>
    <t>Seek inner light in the shrines!</t>
  </si>
  <si>
    <t>SHRI</t>
  </si>
  <si>
    <t>Runes are needed to enter shrines!</t>
  </si>
  <si>
    <t>Water</t>
  </si>
  <si>
    <t>If the correct colors of stones are used in the altars, a key of three parts can be gained!</t>
  </si>
  <si>
    <t>I hold a secret.</t>
  </si>
  <si>
    <t>Fine.</t>
  </si>
  <si>
    <t>SECR</t>
  </si>
  <si>
    <t>To what?</t>
  </si>
  <si>
    <t>ALTA</t>
  </si>
  <si>
    <t>There are three altar rooms which connect the bottom levels of all eight dungeons!</t>
  </si>
  <si>
    <t>Zorin</t>
  </si>
  <si>
    <t>Wilt thou go hither?</t>
  </si>
  <si>
    <t>Find therein all named Antos and ask of the bell, book, and candle!</t>
  </si>
  <si>
    <t>Alas.</t>
  </si>
  <si>
    <t>A wise mage</t>
  </si>
  <si>
    <t>I am here to help thee.</t>
  </si>
  <si>
    <t>I am old, very old....</t>
  </si>
  <si>
    <t>Seek help in the castles!</t>
  </si>
  <si>
    <t>Seek the Lycaeum, Empath Abbey, Serpent’s Castle!</t>
  </si>
  <si>
    <t>Lord British</t>
  </si>
  <si>
    <t>My name is Lord British, Sovereign of all Britannia!</t>
  </si>
  <si>
    <t>Art thou well?</t>
  </si>
  <si>
    <t>Let me heal thy wounds! (heals all party wounds)</t>
  </si>
  <si>
    <t>first time</t>
  </si>
  <si>
    <t>Lord British rises and says At long last! Thou hast come! We have waited such a long, long time... Lord British sits and says A new age is upon Britannia. The great evil Lords are gone but our people lack direction and purpose in their lives... A champion of virtue is called for. Thou may be this champion, but only time shall tell. I will aid thee any way that I can! How may I help thee?</t>
  </si>
  <si>
    <t>later times</t>
  </si>
  <si>
    <t>Welcome &lt;name&gt;, what would thou ask of me?</t>
  </si>
  <si>
    <t>Thou see the King with the Royal Sceptre</t>
  </si>
  <si>
    <t>I rule all Britannia, and shall do my best to help thee!</t>
  </si>
  <si>
    <t>HEAL</t>
  </si>
  <si>
    <t>I am well, thank ye.</t>
  </si>
  <si>
    <t>HELP(1)</t>
  </si>
  <si>
    <t>To survive in this hostile land thou must first know thyself! Seek ye to master thy weapons and thy magical ability! Take care in these thy first travels in Britannia... Until thou dost know well thyself, travel not far from the safety of the townes!</t>
  </si>
  <si>
    <t>HELP(2)</t>
  </si>
  <si>
    <t>Travel not the open lands alone. There are many worthy people in the diverse townes whom it would be wise to ask to Join thee! Build thy party unto eight travellers, for only a true leader can win the Quest!</t>
  </si>
  <si>
    <t>HELP(3)</t>
  </si>
  <si>
    <t>Learn ye the paths of virtue. Seek to gain entry unto the eight shriens! Find ye the Runes, needed for entry into each shrine, and learn each chant or "Mantra" used to focus thy meditations... Within the Shrines thou shalt learn of the deeds which show thy inner virtue or vice!</t>
  </si>
  <si>
    <t>HELP(4)</t>
  </si>
  <si>
    <t>Choose thy path wisely for all thy deeds of good and evil are remembered and can return to hinder thee! Visit the Seer Hawkwind often and use his wisdom to help thee prove thy Virtue. When thou art ready, Hawkwind will advise thee to seek the Elevation unto partial Avatarhood in a virtue... Seek ye to become a partial Avatar in all eight virtues, for only then shalt thou be ready to seek the codex!</t>
  </si>
  <si>
    <t>HELP(5)</t>
  </si>
  <si>
    <t>Go ye now into the depths of the dungeons. Therein recover the 8 colored stones from the altar pedestals in the halls of the dungeons... Find the uses of these stones for they can help thee in the Abyss!</t>
  </si>
  <si>
    <t>HELP(6)</t>
  </si>
  <si>
    <t>Thou art doing very well indeed on the path to Avatarhood! Strive ye to achieve the Elevation in all eight virtues!</t>
  </si>
  <si>
    <t>HELP(7)</t>
  </si>
  <si>
    <t>Find ye the Bell, Book and Candle! With these three things, one may enter the Great Stygian Abyss!</t>
  </si>
  <si>
    <t>HELP(8)</t>
  </si>
  <si>
    <t>Before thou dost enter the Abyss thou shalt need the Key of Three Parts, and the Word of Passage... Then might thou enter the Chamber of the Codex of Ultimate Wisdom!</t>
  </si>
  <si>
    <t>HELP(9)</t>
  </si>
  <si>
    <t>Thou dost now seem ready to make the final journey into the dark Abyss! Go only with a party of eight! Good Luck, and may the powers of good watch over thee on this thy most periolous endeavor! The hearts and souls of all Britannia go with thee now. Take care, my friend...</t>
  </si>
  <si>
    <t>TRUT</t>
  </si>
  <si>
    <t>Many truths can be learned at the Lycaeum. It lies on the northwestern shore of Verity Isle!</t>
  </si>
  <si>
    <t>LOVE</t>
  </si>
  <si>
    <t>Look for the meaning of Love at Empath Abbey. The Abbey sits on the western edge of the Deep Forest!</t>
  </si>
  <si>
    <t>COUR</t>
  </si>
  <si>
    <t>Serpent’s Castle on the Isle of Deeds is where Courage should be sought!</t>
  </si>
  <si>
    <t>HONE</t>
  </si>
  <si>
    <t>The fair towne of Moonglow on Verity Isle is where the virtue of Honesty thrives!</t>
  </si>
  <si>
    <t>COMP</t>
  </si>
  <si>
    <t>The bards in the towne of Britain are well versed in the virtue of Compassion!</t>
  </si>
  <si>
    <t>VALO</t>
  </si>
  <si>
    <t>Many valiant fighters come from Jhelom in the Valarian Isles!</t>
  </si>
  <si>
    <t>JUST</t>
  </si>
  <si>
    <t>In the city of Yew, in the Deep Forest, Justice is served!</t>
  </si>
  <si>
    <t>SACR</t>
  </si>
  <si>
    <t>Minoc, towne of self-sacrifice, lies on the eastern shores of Lost Hope Bay!</t>
  </si>
  <si>
    <t>HONO</t>
  </si>
  <si>
    <t>The Paladins who strive for Honor are oft seen in Trinsic, north of the Cape of Heroes!</t>
  </si>
  <si>
    <t>SPIR</t>
  </si>
  <si>
    <t>In Skara Brae the Spiritual path is taught. Find it on an isle near Spiritwood!</t>
  </si>
  <si>
    <t>HUMI</t>
  </si>
  <si>
    <t>Humility is the foundation of Virtue! The ruins of proud Magincia are a testimony unto the Virtue of Humility! Find the Ruins of Magincia far off the shores of Britannia, on a small isle in the vast Ocean!</t>
  </si>
  <si>
    <t>PRID</t>
  </si>
  <si>
    <t>Of the eight combinations of Truth, Love and Courage, that which contains neither Truth, Love nor Courage is Pride. Pride being not a Virtue must be shunned in favor of Humility, the Virtue which is the antithesis of Pride!</t>
  </si>
  <si>
    <t>AVAT</t>
  </si>
  <si>
    <t>To be an Avatar is to be the embodiment of the Eight Virtues. It is to live a life constantly and forever in the Quest to better thyself and the world in which we live.</t>
  </si>
  <si>
    <t>QUES</t>
  </si>
  <si>
    <t>The Quest of the Avatar is to know and become the embodiment of the Eight Virtues of Goodness! It is known that all who take on this Quest must prove themselves by conquering the Abyss and Viewing the Codex of Ultimate Wisdom!</t>
  </si>
  <si>
    <t>BRIT</t>
  </si>
  <si>
    <t>Even though the Great Evil Lords have been routed evil yet remains in Britannia. If but one soul could complete the Quest of the Avatar, our people would have a new hope, a new goal for life. There would be a shining example that there is more to life than the endless struggle for possessions and gold!</t>
  </si>
  <si>
    <t>ANKH</t>
  </si>
  <si>
    <t>The Ankh is the symbol of one who strives for Virtue. Keep it with thee at all times for by this mark thou shalt be known!</t>
  </si>
  <si>
    <t>ABYS</t>
  </si>
  <si>
    <t>The Great Stygian Abyss is the darkest pocket of evil remaining in Britannia! It is said that in the deepest recesses of the Abyss is the Chamber of the Codex! It is also said that only one of highest Virtue may enter this Chamber, one such as an Avatar!!!</t>
  </si>
  <si>
    <t>MOND</t>
  </si>
  <si>
    <t>Mondain is dead!</t>
  </si>
  <si>
    <t>MINA</t>
  </si>
  <si>
    <t>Minax is dead!</t>
  </si>
  <si>
    <t>EXOD</t>
  </si>
  <si>
    <t>Exodus is dead!</t>
  </si>
  <si>
    <t>VIRT</t>
  </si>
  <si>
    <t>The Eight Virtues of the Avatar are Honesty, Compassion, Valor, Justice, Sacrifice, Honor, Spirituality, and Humility!</t>
  </si>
  <si>
    <t>BYE</t>
  </si>
  <si>
    <t>Fare thee well my friend!</t>
  </si>
  <si>
    <t>Lycaeum</t>
  </si>
  <si>
    <t>Robert Frasier</t>
  </si>
  <si>
    <t>Dost thou wish to know it now?</t>
  </si>
  <si>
    <t>It is ’ver’! Seek ye now the other parts!</t>
  </si>
  <si>
    <t>Perhaps another time.</t>
  </si>
  <si>
    <t>A stately baron</t>
  </si>
  <si>
    <t>I rule this province.</t>
  </si>
  <si>
    <t>Very well.</t>
  </si>
  <si>
    <t>PROV</t>
  </si>
  <si>
    <t>WORD</t>
  </si>
  <si>
    <t>I know but one of three syllables.</t>
  </si>
  <si>
    <t>Beth Frasier</t>
  </si>
  <si>
    <t>Dost thou seek truth?</t>
  </si>
  <si>
    <t>Then may thou find it!</t>
  </si>
  <si>
    <t>Then thou shalt not find it!</t>
  </si>
  <si>
    <t>A charming lady</t>
  </si>
  <si>
    <t>I rule with my Lord.</t>
  </si>
  <si>
    <t>RULE</t>
  </si>
  <si>
    <t>This province.</t>
  </si>
  <si>
    <t>Our people believe in truth as a way of life and live it to the fullest!</t>
  </si>
  <si>
    <t>Father Antos</t>
  </si>
  <si>
    <t>Art thou on the quest?</t>
  </si>
  <si>
    <t>May thou succeed!</t>
  </si>
  <si>
    <t>An old druid, who looks strangely familiar.</t>
  </si>
  <si>
    <t>I hold great knowledge.</t>
  </si>
  <si>
    <t>Old and frail, I’ve seen many quests!</t>
  </si>
  <si>
    <t>KNOW</t>
  </si>
  <si>
    <t>What is it you seek?</t>
  </si>
  <si>
    <t>BOOK</t>
  </si>
  <si>
    <t>Catriona</t>
  </si>
  <si>
    <t>Dost thou intend to steal?</t>
  </si>
  <si>
    <t>I shan’t stop thee</t>
  </si>
  <si>
    <t>Good, you had me worried!</t>
  </si>
  <si>
    <t>A strong guard.</t>
  </si>
  <si>
    <t>To watch the treasures.</t>
  </si>
  <si>
    <t>Very good.</t>
  </si>
  <si>
    <t>The treasures are of great value!</t>
  </si>
  <si>
    <t>VALU</t>
  </si>
  <si>
    <t>Yes, much gold.</t>
  </si>
  <si>
    <t>Estro</t>
  </si>
  <si>
    <t>Hast thou never committed *any* crime!?</t>
  </si>
  <si>
    <t>I believe thou art boasting a lie!</t>
  </si>
  <si>
    <t>Then speak to the judge in Yew!</t>
  </si>
  <si>
    <t>A short druid</t>
  </si>
  <si>
    <t>Research</t>
  </si>
  <si>
    <t>Why I am fine, you too I hope.</t>
  </si>
  <si>
    <t>REAS</t>
  </si>
  <si>
    <t>I am looking for the book of justice!</t>
  </si>
  <si>
    <t>It must be here somewhere!</t>
  </si>
  <si>
    <t>Fighter</t>
  </si>
  <si>
    <t>a fighter</t>
  </si>
  <si>
    <t>Hast thou seen one?</t>
  </si>
  <si>
    <t>Notice that each of the three rooms connect to four dungeons each!</t>
  </si>
  <si>
    <t>They connect the dungeons unto each other!</t>
  </si>
  <si>
    <t>An injured warrior.</t>
  </si>
  <si>
    <t>None now!</t>
  </si>
  <si>
    <t>My wounds are grievous!</t>
  </si>
  <si>
    <t>I lost in a dungeon altar room!</t>
  </si>
  <si>
    <t>WARR</t>
  </si>
  <si>
    <t>No more!</t>
  </si>
  <si>
    <t>Guard</t>
  </si>
  <si>
    <t>See why I’m tired?</t>
  </si>
  <si>
    <t>It’s hard work and long hours in the baronial guard!</t>
  </si>
  <si>
    <t>Bum!</t>
  </si>
  <si>
    <t>A sleepy guard</t>
  </si>
  <si>
    <t>Guard the gate, guard the baron, guard the baroness, watch the towers....</t>
  </si>
  <si>
    <t>Very sleepy.</t>
  </si>
  <si>
    <t>I have been here for hours!</t>
  </si>
  <si>
    <t>HOUR</t>
  </si>
  <si>
    <t>Yes, many hours!</t>
  </si>
  <si>
    <t>Jon</t>
  </si>
  <si>
    <t>Know which?</t>
  </si>
  <si>
    <t>Good!</t>
  </si>
  <si>
    <t>There are eight possible combinations of the three principles, there are eight cities!</t>
  </si>
  <si>
    <t>A brawny guard.</t>
  </si>
  <si>
    <t>I guard the throne room.</t>
  </si>
  <si>
    <t>Bit tired.</t>
  </si>
  <si>
    <t>THRO</t>
  </si>
  <si>
    <t>Throne of truth!</t>
  </si>
  <si>
    <t>There are four townes that follow the principle of truth.</t>
  </si>
  <si>
    <t>Nigel</t>
  </si>
  <si>
    <t>Nigel, at thy service.</t>
  </si>
  <si>
    <t>Dost thou know what it is?</t>
  </si>
  <si>
    <t>What do I call the spell?</t>
  </si>
  <si>
    <t>Sorry.</t>
  </si>
  <si>
    <t>A noble wizard</t>
  </si>
  <si>
    <t>I teach magical spells.</t>
  </si>
  <si>
    <t>Good enough.</t>
  </si>
  <si>
    <t>SPEL</t>
  </si>
  <si>
    <t>I have a specialty!</t>
  </si>
  <si>
    <t>RECA</t>
  </si>
  <si>
    <t>Yes, resurrection it takes ash, ginseng, garlic, silk, bloodmoss, and mandrake!</t>
  </si>
  <si>
    <t>Palamar</t>
  </si>
  <si>
    <t>Dost thou see where?</t>
  </si>
  <si>
    <t>Set the dial and thou shalt see!</t>
  </si>
  <si>
    <t>Look!!!</t>
  </si>
  <si>
    <t>A wise old sage</t>
  </si>
  <si>
    <t>I am an old wizard, but have much to show!</t>
  </si>
  <si>
    <t>My bones ache but my mind is sharp!</t>
  </si>
  <si>
    <t>SHOW</t>
  </si>
  <si>
    <t>Here in my telescope!</t>
  </si>
  <si>
    <t>TELE</t>
  </si>
  <si>
    <t>Search there by the end, thou shalt find a knob.</t>
  </si>
  <si>
    <t>Scatu</t>
  </si>
  <si>
    <t>Art thou a partial avatar?</t>
  </si>
  <si>
    <t>When thou art 8 parts avatar, seek Zircon in Minoc and ask of mystics!</t>
  </si>
  <si>
    <t>A tall mage wearing strange armour.</t>
  </si>
  <si>
    <t>I advise.</t>
  </si>
  <si>
    <t>Well!</t>
  </si>
  <si>
    <t>ADVI</t>
  </si>
  <si>
    <t>Thou would be well advised to visit the Seer often!</t>
  </si>
  <si>
    <t>ARMO</t>
  </si>
  <si>
    <t>I wear mystic armour.</t>
  </si>
  <si>
    <t>Shylock the Meek</t>
  </si>
  <si>
    <t>Wilt thou help me? Oh... please...</t>
  </si>
  <si>
    <t>Oh... please...</t>
  </si>
  <si>
    <t>A pitiful beggar</t>
  </si>
  <si>
    <t>I sit and beg oh... please...</t>
  </si>
  <si>
    <t>I am cold and sick! oh... please...</t>
  </si>
  <si>
    <t>SICK</t>
  </si>
  <si>
    <t>I have the black plague!</t>
  </si>
  <si>
    <t>BEG</t>
  </si>
  <si>
    <t>Yes, please give me money! oh... please...</t>
  </si>
  <si>
    <t>Lord Terence</t>
  </si>
  <si>
    <t>Art thou looking for a particular book?</t>
  </si>
  <si>
    <t>Which book?</t>
  </si>
  <si>
    <t>Feel free to browse.</t>
  </si>
  <si>
    <t>A tall agile man</t>
  </si>
  <si>
    <t>I am the librarian.</t>
  </si>
  <si>
    <t>LIBR</t>
  </si>
  <si>
    <t>Look under ’t’</t>
  </si>
  <si>
    <t>Truth Seeker</t>
  </si>
  <si>
    <t>a truth seeker.</t>
  </si>
  <si>
    <t>A person lost in thought.</t>
  </si>
  <si>
    <t>I seek to know truth.</t>
  </si>
  <si>
    <t>I am in a meditative state.</t>
  </si>
  <si>
    <t>The principle upon which I meditate.</t>
  </si>
  <si>
    <t>MEDI</t>
  </si>
  <si>
    <t>Meditate at each shrine for 1, 2 and 3 minutes, then shalt thou know the paths of goodness!</t>
  </si>
  <si>
    <t>Tymus</t>
  </si>
  <si>
    <t>Know ye how many cities follow the principles of truth?</t>
  </si>
  <si>
    <t>How many?</t>
  </si>
  <si>
    <t>Travel and learn!</t>
  </si>
  <si>
    <t>A stately wizard</t>
  </si>
  <si>
    <t>To welcome thee!</t>
  </si>
  <si>
    <t>Very well, thanks!</t>
  </si>
  <si>
    <t>WELC</t>
  </si>
  <si>
    <t>Yes, welcome to the Lycaeum, the keep of truth!</t>
  </si>
  <si>
    <t>FOUR</t>
  </si>
  <si>
    <t>The dungeon altar rooms need 4 stones each!</t>
  </si>
  <si>
    <t>Zajac</t>
  </si>
  <si>
    <t>Dost thou know chuckles?</t>
  </si>
  <si>
    <t>Why dost thou not ask him for his clue!</t>
  </si>
  <si>
    <t>He lives in the castle Britannia ask him of his clue!</t>
  </si>
  <si>
    <t>A flighty jester</t>
  </si>
  <si>
    <t>To entertain!</t>
  </si>
  <si>
    <t>Unhappy.</t>
  </si>
  <si>
    <t>UNHA</t>
  </si>
  <si>
    <t>Because my friend Chuckles won’t tell me his secret!</t>
  </si>
  <si>
    <t>ENTE</t>
  </si>
  <si>
    <t>Ah, not now.</t>
  </si>
  <si>
    <t>Empath Abbey</t>
  </si>
  <si>
    <t>Lord Robert</t>
  </si>
  <si>
    <t>It is ’amo’ seek ye now the other parts!</t>
  </si>
  <si>
    <t>My Lady Marcy can tell thee more!</t>
  </si>
  <si>
    <t>Lady Marcy</t>
  </si>
  <si>
    <t>Dost thou seek love?</t>
  </si>
  <si>
    <t>Our people believe in love as a way of life and live it to the fullest!</t>
  </si>
  <si>
    <t>Brother Antos</t>
  </si>
  <si>
    <t>Dost thou know where to find it?</t>
  </si>
  <si>
    <t>Meditate on love at our shrine.</t>
  </si>
  <si>
    <t>A wise druid.</t>
  </si>
  <si>
    <t>I hold great wisdom.</t>
  </si>
  <si>
    <t>I am getting old and frail.</t>
  </si>
  <si>
    <t>WISD</t>
  </si>
  <si>
    <t>What dost thou ask of me?</t>
  </si>
  <si>
    <t>CAND</t>
  </si>
  <si>
    <t>Thou dost need the candle of love to enter the abyss.</t>
  </si>
  <si>
    <t>Benjamin</t>
  </si>
  <si>
    <t>Too bad...</t>
  </si>
  <si>
    <t>A solemn bard.</t>
  </si>
  <si>
    <t>I relate love and compassion.</t>
  </si>
  <si>
    <t>When the three combine in eight ways love alone is compassion.</t>
  </si>
  <si>
    <t>Of the eight avatar attributes compassion is derived from love alone.</t>
  </si>
  <si>
    <t>Chinup</t>
  </si>
  <si>
    <t>Art thou here in search of love?</t>
  </si>
  <si>
    <t>Perhaps then the oak grove!</t>
  </si>
  <si>
    <t>Perhaps then the oak grove.</t>
  </si>
  <si>
    <t>A small but stately child.</t>
  </si>
  <si>
    <t>I welcome thee unto the Abbey!</t>
  </si>
  <si>
    <t>Very well, thank you!</t>
  </si>
  <si>
    <t>GROV</t>
  </si>
  <si>
    <t>A grove of oak.</t>
  </si>
  <si>
    <t>OAK</t>
  </si>
  <si>
    <t>There four profession types seek truth!</t>
  </si>
  <si>
    <t>Deirdre</t>
  </si>
  <si>
    <t>Art thou?</t>
  </si>
  <si>
    <t>Most good.</t>
  </si>
  <si>
    <t>I see.</t>
  </si>
  <si>
    <t>A druid, lost in thought.</t>
  </si>
  <si>
    <t>I ponder love and justice.</t>
  </si>
  <si>
    <t>When three build eight, truth tempered by love becomes justice!</t>
  </si>
  <si>
    <t>Justice is one of the eight avatar virtues and derives from truth and love.</t>
  </si>
  <si>
    <t>Derek the Bard</t>
  </si>
  <si>
    <t>Dost thou like this one?</t>
  </si>
  <si>
    <t>Thanks, I just wrote it!</t>
  </si>
  <si>
    <t>Alas, it was new.</t>
  </si>
  <si>
    <t>A young bard playing a lute.</t>
  </si>
  <si>
    <t>I am a bard, I sing songs.</t>
  </si>
  <si>
    <t>Pretty good.</t>
  </si>
  <si>
    <t>SONG</t>
  </si>
  <si>
    <t>Oh, all types.</t>
  </si>
  <si>
    <t>The candle of love is found in a secret place hidden off Lock Lake!</t>
  </si>
  <si>
    <t>Diane</t>
  </si>
  <si>
    <t>Art thou the most loving person?</t>
  </si>
  <si>
    <t>Doubtful!</t>
  </si>
  <si>
    <t>Strive for love!</t>
  </si>
  <si>
    <t>A tall woman.</t>
  </si>
  <si>
    <t>I counsel those who enter the grove.</t>
  </si>
  <si>
    <t>Herein thou may find insights into love, within thyself or the others here in the grove.</t>
  </si>
  <si>
    <t>Ask the others.</t>
  </si>
  <si>
    <t>a gate guard</t>
  </si>
  <si>
    <t>Art thou saturated with love?</t>
  </si>
  <si>
    <t>Then thou need not be here!</t>
  </si>
  <si>
    <t>Visit the small shrine within the abbey!</t>
  </si>
  <si>
    <t>A gate guard</t>
  </si>
  <si>
    <t>Top notch.</t>
  </si>
  <si>
    <t>GATE</t>
  </si>
  <si>
    <t>To the abbey.</t>
  </si>
  <si>
    <t>ABBE</t>
  </si>
  <si>
    <t>Here, in the oak grove many find the meaning of peace and love!</t>
  </si>
  <si>
    <t>Guard of Passages</t>
  </si>
  <si>
    <t>the pass guard</t>
  </si>
  <si>
    <t>Hast thou solved the altars?</t>
  </si>
  <si>
    <t>From them a three part key is gained, needed to enter the chamber of the codex!</t>
  </si>
  <si>
    <t>I guard the passages.</t>
  </si>
  <si>
    <t>PASS</t>
  </si>
  <si>
    <t>There is no danger.</t>
  </si>
  <si>
    <t>DANG</t>
  </si>
  <si>
    <t>Well not compared to a dungeon altar room!</t>
  </si>
  <si>
    <t>Humlock</t>
  </si>
  <si>
    <t>Will you give me some money?</t>
  </si>
  <si>
    <t>I would be soooo grateful....</t>
  </si>
  <si>
    <t>But I am in most dire need!</t>
  </si>
  <si>
    <t>A mumbling beggar.</t>
  </si>
  <si>
    <t>I seek salvation</t>
  </si>
  <si>
    <t>Not so good.</t>
  </si>
  <si>
    <t>MUMB</t>
  </si>
  <si>
    <t>The... ankh... spoke to me!</t>
  </si>
  <si>
    <t>SALV</t>
  </si>
  <si>
    <t>I am but a poor destitute beggar I have nothing!</t>
  </si>
  <si>
    <t>Lastro</t>
  </si>
  <si>
    <t>And thee?</t>
  </si>
  <si>
    <t>So sad.</t>
  </si>
  <si>
    <t>A solemn ranger.</t>
  </si>
  <si>
    <t>I follow the spiritual path.</t>
  </si>
  <si>
    <t>Most well.</t>
  </si>
  <si>
    <t>My spirituality is not a religion, but a searching to know and improve my own inner being.</t>
  </si>
  <si>
    <t>BEIN</t>
  </si>
  <si>
    <t>My being is based on my own truth, love and courage.</t>
  </si>
  <si>
    <t>Life</t>
  </si>
  <si>
    <t>Life.</t>
  </si>
  <si>
    <t>Dost thou have it?</t>
  </si>
  <si>
    <t>Ask the bard beyond the secret passage!</t>
  </si>
  <si>
    <t>An ankh</t>
  </si>
  <si>
    <t>I resonate thoughts.</t>
  </si>
  <si>
    <t>I exist.</t>
  </si>
  <si>
    <t>RESO</t>
  </si>
  <si>
    <t>What are thy thoughts?</t>
  </si>
  <si>
    <t>Seek ye the candle of love for only with it and two other parts might thou enter the abyss!</t>
  </si>
  <si>
    <t>Malchor</t>
  </si>
  <si>
    <t>Art thou on a quest?</t>
  </si>
  <si>
    <t>Best of luck to thee!</t>
  </si>
  <si>
    <t>A bold paladin.</t>
  </si>
  <si>
    <t>I solve quests</t>
  </si>
  <si>
    <t>Just now fully healed!</t>
  </si>
  <si>
    <t>My last quest took me near Spiritwood.</t>
  </si>
  <si>
    <t>HORN</t>
  </si>
  <si>
    <t>Some say that the silver horn is buried on a small isle off the tip of Spiritwood.</t>
  </si>
  <si>
    <t>Suzanna</t>
  </si>
  <si>
    <t>Art thou allowed to be in here?</t>
  </si>
  <si>
    <t>I doubt it! Thou should leave!</t>
  </si>
  <si>
    <t>Thou should leave!</t>
  </si>
  <si>
    <t>A lovely lady</t>
  </si>
  <si>
    <t>I am a lady in waiting.</t>
  </si>
  <si>
    <t>Overworked!</t>
  </si>
  <si>
    <t>LADY</t>
  </si>
  <si>
    <t>I serve Marcy.</t>
  </si>
  <si>
    <t>There is a paladin by the name of Malchor. He can lead thee to the silver horn!</t>
  </si>
  <si>
    <t>Thomas</t>
  </si>
  <si>
    <t>Thyself?</t>
  </si>
  <si>
    <t>Shame.</t>
  </si>
  <si>
    <t>A hearty tinker.</t>
  </si>
  <si>
    <t>I am thinking of love’s part in sacrifice.</t>
  </si>
  <si>
    <t>Fine</t>
  </si>
  <si>
    <t>Love of others and the courage to face even death is self-sacrifice.</t>
  </si>
  <si>
    <t>Sacrifice is built upon the motive of love and the ability of courage.</t>
  </si>
  <si>
    <t>Serpent’s Hold</t>
  </si>
  <si>
    <t>Sentri</t>
  </si>
  <si>
    <t>Dost thou know the four cities of courage?</t>
  </si>
  <si>
    <t>They are Jhelom, Minoc, Trinsic and Skara Brae.</t>
  </si>
  <si>
    <t>Yes, these islands and much more.</t>
  </si>
  <si>
    <t>I know but one of three syllables-’cor’.</t>
  </si>
  <si>
    <t>Gate guard</t>
  </si>
  <si>
    <t>the gate guard.</t>
  </si>
  <si>
    <t>Art thou here to find courage?</t>
  </si>
  <si>
    <t>Then thou art at the right place.</t>
  </si>
  <si>
    <t>Then perhaps to become a guard!</t>
  </si>
  <si>
    <t>A very big guard.</t>
  </si>
  <si>
    <t>Guard the gates, of course.</t>
  </si>
  <si>
    <t>Very strong!</t>
  </si>
  <si>
    <t>These are the gates to Serpent castle.</t>
  </si>
  <si>
    <t>Guard, watch, protect.</t>
  </si>
  <si>
    <t>Lassorn</t>
  </si>
  <si>
    <t>Ever heard of her?</t>
  </si>
  <si>
    <t>She was a mighty vessel!</t>
  </si>
  <si>
    <t>A wounded sailor</t>
  </si>
  <si>
    <t>I am a sailor.</t>
  </si>
  <si>
    <t>I alone survived the shipwreck.</t>
  </si>
  <si>
    <t>SHIP</t>
  </si>
  <si>
    <t>The H.M.S. Cape.</t>
  </si>
  <si>
    <t>WHEE</t>
  </si>
  <si>
    <t>She went down in the deep waters of the bay in the Cape of Heroes!</t>
  </si>
  <si>
    <t>Roark</t>
  </si>
  <si>
    <t>Then strive to find the secrets of the abyss.</t>
  </si>
  <si>
    <t>Thou hast come to the right place.</t>
  </si>
  <si>
    <t>A seasoned fighter.</t>
  </si>
  <si>
    <t>I fight for Britannia!</t>
  </si>
  <si>
    <t>Just healed.</t>
  </si>
  <si>
    <t>The Great Stygian Abyss holds the codex of ultimate wisdom!</t>
  </si>
  <si>
    <t>CODE</t>
  </si>
  <si>
    <t>I know little.</t>
  </si>
  <si>
    <t>Ranger</t>
  </si>
  <si>
    <t>a ranger.</t>
  </si>
  <si>
    <t>Dost thou?</t>
  </si>
  <si>
    <t>Ask our teacher about the rooms for she knowns much!</t>
  </si>
  <si>
    <t>Wimp.</t>
  </si>
  <si>
    <t>A ranger engrossed in training.</t>
  </si>
  <si>
    <t>I am training!</t>
  </si>
  <si>
    <t>Excellent.</t>
  </si>
  <si>
    <t>TRAI</t>
  </si>
  <si>
    <t>I train so that I might survive the dungeons!</t>
  </si>
  <si>
    <t>DUNG</t>
  </si>
  <si>
    <t>I plan to conquer the secret of the altar rooms.</t>
  </si>
  <si>
    <t>Shyra</t>
  </si>
  <si>
    <t>Wilt thou train?</t>
  </si>
  <si>
    <t>Bravo!</t>
  </si>
  <si>
    <t>Pity.</t>
  </si>
  <si>
    <t>The training master.</t>
  </si>
  <si>
    <t>I train warriors to fight with courage!</t>
  </si>
  <si>
    <t>Prime.</t>
  </si>
  <si>
    <t>Train well and thy courage can grow with confidence.</t>
  </si>
  <si>
    <t>ROOM</t>
  </si>
  <si>
    <t>In the altar room of courage use the red, orange, purple and white stones!</t>
  </si>
  <si>
    <t>Baronial Guard</t>
  </si>
  <si>
    <t>a baronial guard</t>
  </si>
  <si>
    <t>Dost thou wish an audience with Sentri?</t>
  </si>
  <si>
    <t>Granted, enter.</t>
  </si>
  <si>
    <t>Then do not disturb him.</t>
  </si>
  <si>
    <t>A stern guard.</t>
  </si>
  <si>
    <t>I guard our lord</t>
  </si>
  <si>
    <t>LORD</t>
  </si>
  <si>
    <t>Sentri rules this castle.</t>
  </si>
  <si>
    <t>This castle is built on courage.</t>
  </si>
  <si>
    <t>a treasure guard</t>
  </si>
  <si>
    <t>Dost thou intend to steal our lord’s treasure?</t>
  </si>
  <si>
    <t>Fool!</t>
  </si>
  <si>
    <t>Wise move!</t>
  </si>
  <si>
    <t>We guard our lord’s treasure.</t>
  </si>
  <si>
    <t>This treasure is not for thee</t>
  </si>
  <si>
    <t>Seek out Durham for knowledge of dungeons.</t>
  </si>
  <si>
    <t>Garam</t>
  </si>
  <si>
    <t>Then train!</t>
  </si>
  <si>
    <t>A bold fighter.</t>
  </si>
  <si>
    <t>I fight with courage!</t>
  </si>
  <si>
    <t>Quite well.</t>
  </si>
  <si>
    <t>Courage makes kings out of knaves!</t>
  </si>
  <si>
    <t>BELL</t>
  </si>
  <si>
    <t>The bell of courage lies at the bottom of a deep well at sea found at lat-N’A" long-L’A"</t>
  </si>
  <si>
    <t>Durham</t>
  </si>
  <si>
    <t>Then thy life has meaning!</t>
  </si>
  <si>
    <t>What a loss.</t>
  </si>
  <si>
    <t>A tall fighter.</t>
  </si>
  <si>
    <t>I quest for glory!</t>
  </si>
  <si>
    <t>Fairly well.</t>
  </si>
  <si>
    <t>I feel that when on a quest my life has purpose!</t>
  </si>
  <si>
    <t>The altar room of courage gives the third part of a key.</t>
  </si>
  <si>
    <t>Lori</t>
  </si>
  <si>
    <t>Art thou looking for someone?</t>
  </si>
  <si>
    <t>Who?</t>
  </si>
  <si>
    <t>Then be on thy way!</t>
  </si>
  <si>
    <t>A buxom guard.</t>
  </si>
  <si>
    <t>I guard this passage.</t>
  </si>
  <si>
    <t>So far, so good.</t>
  </si>
  <si>
    <t>GARA</t>
  </si>
  <si>
    <t>He is in the west chamber.</t>
  </si>
  <si>
    <t>DURH</t>
  </si>
  <si>
    <t>He is in the east chamber.</t>
  </si>
  <si>
    <t>Samuel</t>
  </si>
  <si>
    <t>A handsome guard</t>
  </si>
  <si>
    <t>Roderick</t>
  </si>
  <si>
    <t>Wilt thou give me gold?</t>
  </si>
  <si>
    <t>Thou art kind.</t>
  </si>
  <si>
    <t>Stingy!</t>
  </si>
  <si>
    <t>A destitute, stinking beggar.</t>
  </si>
  <si>
    <t>I cannot work.</t>
  </si>
  <si>
    <t>I’ve lost a hand!</t>
  </si>
  <si>
    <t>HAND</t>
  </si>
  <si>
    <t>It was eaten by a zorn.</t>
  </si>
  <si>
    <t>ORBS</t>
  </si>
  <si>
    <t>An orb of blue light will raise thy strength, dexterity or intelligence, but at a cost!</t>
  </si>
  <si>
    <t>Sister Antos</t>
  </si>
  <si>
    <t>Then ask the fighter Garam for he knows where it lies!</t>
  </si>
  <si>
    <t>I have important information.</t>
  </si>
  <si>
    <t>Well enough.</t>
  </si>
  <si>
    <t>INFO</t>
  </si>
  <si>
    <t>On what subject?</t>
  </si>
  <si>
    <t>The bell of courage is needed to enter the abyss.</t>
  </si>
  <si>
    <t>Noxum</t>
  </si>
  <si>
    <t>Hast thou heard of the H.M.S. Cape?</t>
  </si>
  <si>
    <t>She had a magical wheel that would strengthen her hull!</t>
  </si>
  <si>
    <t>A great ship!</t>
  </si>
  <si>
    <t>A spiny nixie!</t>
  </si>
  <si>
    <t>I swim the seas!</t>
  </si>
  <si>
    <t>Nice and wet!</t>
  </si>
  <si>
    <t>SEAS</t>
  </si>
  <si>
    <t>There are many ships at the bottom!</t>
  </si>
  <si>
    <t>A survivor would know where to search.</t>
  </si>
  <si>
    <t>Michelle</t>
  </si>
  <si>
    <t>Very good, perhaps thou seeks Sentri.</t>
  </si>
  <si>
    <t>Then thou should visit our healer!</t>
  </si>
  <si>
    <t>A beautiful paladin!</t>
  </si>
  <si>
    <t>I welcome thee unto Serpent Castle!</t>
  </si>
  <si>
    <t>SENT</t>
  </si>
  <si>
    <t>He is the lord here, take the west passage.</t>
  </si>
  <si>
    <t>Take the east passage.</t>
  </si>
  <si>
    <t>Towns</t>
  </si>
  <si>
    <t>Moonglow</t>
  </si>
  <si>
    <t>Mariah</t>
  </si>
  <si>
    <t>I wish I could join thee!</t>
  </si>
  <si>
    <t>Wish thou were!</t>
  </si>
  <si>
    <t>A young mage</t>
  </si>
  <si>
    <t>I seek adventure!</t>
  </si>
  <si>
    <t>Quite good.</t>
  </si>
  <si>
    <t>ADVE</t>
  </si>
  <si>
    <t>Yes, I hope to go on a great quest!</t>
  </si>
  <si>
    <t>The quest of the avatar is noble indeed!</t>
  </si>
  <si>
    <t>Tracie</t>
  </si>
  <si>
    <t>Do you smoke?</t>
  </si>
  <si>
    <t>I can tell by the smell!</t>
  </si>
  <si>
    <t>Don’t start!</t>
  </si>
  <si>
    <t>Starving journalist</t>
  </si>
  <si>
    <t>I am a writer.</t>
  </si>
  <si>
    <t>I feel fine... if I could just quit smoking!</t>
  </si>
  <si>
    <t>WRIT</t>
  </si>
  <si>
    <t>It’s low paid, but glamorous!</t>
  </si>
  <si>
    <t>SMOK</t>
  </si>
  <si>
    <t>Cough...cough...</t>
  </si>
  <si>
    <t>Cromwell</t>
  </si>
  <si>
    <t>Dost thou strive to be honest?</t>
  </si>
  <si>
    <t>Then you will need the mantra.</t>
  </si>
  <si>
    <t>Shame!</t>
  </si>
  <si>
    <t>I speak of the virtues of honesty!</t>
  </si>
  <si>
    <t>Well indeed.</t>
  </si>
  <si>
    <t>A few honest men are better than numbers!</t>
  </si>
  <si>
    <t>MANT</t>
  </si>
  <si>
    <t>Rebelias</t>
  </si>
  <si>
    <t>Dost thou seek to conquer thine own evil?</t>
  </si>
  <si>
    <t>The quest of a lifetime!</t>
  </si>
  <si>
    <t>Wretch!</t>
  </si>
  <si>
    <t>A mystic wizard.</t>
  </si>
  <si>
    <t>I’ve been better</t>
  </si>
  <si>
    <t>Speak the truth and shame the evil forces!</t>
  </si>
  <si>
    <t>EVIL</t>
  </si>
  <si>
    <t>Evil still exists in our hearts and souls!</t>
  </si>
  <si>
    <t>Christen</t>
  </si>
  <si>
    <t>Art thou my friend?</t>
  </si>
  <si>
    <t>That makes me happy.</t>
  </si>
  <si>
    <t>I am sad.</t>
  </si>
  <si>
    <t>FRIE</t>
  </si>
  <si>
    <t>Honest friends are few!</t>
  </si>
  <si>
    <t>My friend William knows where the rune of honesty is.</t>
  </si>
  <si>
    <t>Patric the Humble Shepherd</t>
  </si>
  <si>
    <t>Art thou totally humble?</t>
  </si>
  <si>
    <t>Strive to be.</t>
  </si>
  <si>
    <t>A meek shepherd.</t>
  </si>
  <si>
    <t>HUMB</t>
  </si>
  <si>
    <t>Humility is not derived from the direct combination of truth, love or courage.</t>
  </si>
  <si>
    <t>Humility is to act and be humble.</t>
  </si>
  <si>
    <t>Shazom</t>
  </si>
  <si>
    <t>Hast thou met Nigel?</t>
  </si>
  <si>
    <t>Seek him out for he will teach thee.</t>
  </si>
  <si>
    <t>He lives at the Lycaeum.</t>
  </si>
  <si>
    <t>A dying young wizard.</t>
  </si>
  <si>
    <t>I am apprentice to the great wizard Nigel!</t>
  </si>
  <si>
    <t>I will soon die.</t>
  </si>
  <si>
    <t>NIGE</t>
  </si>
  <si>
    <t>I will soon need to use the spell he calls ’recall’.</t>
  </si>
  <si>
    <t>DIE</t>
  </si>
  <si>
    <t>Shakespeare</t>
  </si>
  <si>
    <t>Beware corruption!</t>
  </si>
  <si>
    <t>A wise wizard.</t>
  </si>
  <si>
    <t>I create tales of honesty.</t>
  </si>
  <si>
    <t>Getting on.</t>
  </si>
  <si>
    <t>Remember, there is no terror in threats for I am strong in honesty!</t>
  </si>
  <si>
    <t>CORR</t>
  </si>
  <si>
    <t>Corruption wins not more than honesty!</t>
  </si>
  <si>
    <t>Browning</t>
  </si>
  <si>
    <t>Hast thou never lied?</t>
  </si>
  <si>
    <t>That seems unlikely!</t>
  </si>
  <si>
    <t>Truth never hurts the teller!</t>
  </si>
  <si>
    <t>A tall mage.</t>
  </si>
  <si>
    <t>I strive to live an honest life!</t>
  </si>
  <si>
    <t>Been better.</t>
  </si>
  <si>
    <t>An honest soul need remember no lies!</t>
  </si>
  <si>
    <t>Truth is the root of honesty!</t>
  </si>
  <si>
    <t>Cosima</t>
  </si>
  <si>
    <t>Dost thou know how to best mix spells?</t>
  </si>
  <si>
    <t>The secret’s in the reagents!</t>
  </si>
  <si>
    <t>An elderly woman</t>
  </si>
  <si>
    <t>I am an alchemist.</t>
  </si>
  <si>
    <t>Tired, so tired.</t>
  </si>
  <si>
    <t>ALCH</t>
  </si>
  <si>
    <t>I know how best to mix reagents!</t>
  </si>
  <si>
    <t>REAG</t>
  </si>
  <si>
    <t>A sleep spell actually requires but one part spider silk!</t>
  </si>
  <si>
    <t>Daranor</t>
  </si>
  <si>
    <t>Do you believe my story!?!?...</t>
  </si>
  <si>
    <t>Then we must fell the moons!</t>
  </si>
  <si>
    <t>Idiot, you must think I am insane!</t>
  </si>
  <si>
    <t>A hunched, insane looking man!</t>
  </si>
  <si>
    <t>I move the sun!</t>
  </si>
  <si>
    <t>Health?</t>
  </si>
  <si>
    <t>SUN</t>
  </si>
  <si>
    <t>The moons are my enemies!</t>
  </si>
  <si>
    <t>MOON</t>
  </si>
  <si>
    <t>When I die the world will end!</t>
  </si>
  <si>
    <t>Inoo</t>
  </si>
  <si>
    <t>Dost thou wish thy destiny?</t>
  </si>
  <si>
    <t>A great quest will lead thee into the abyss where the codex awaits!</t>
  </si>
  <si>
    <t>Wise choice.</t>
  </si>
  <si>
    <t>An old gypsy.</t>
  </si>
  <si>
    <t>I am a fortune teller, I read palms.</t>
  </si>
  <si>
    <t>I predict I will be fine today!</t>
  </si>
  <si>
    <t>PALM</t>
  </si>
  <si>
    <t>Palms tell fortunes!</t>
  </si>
  <si>
    <t>FORT</t>
  </si>
  <si>
    <t>Give thy palm.</t>
  </si>
  <si>
    <t>Calabrini</t>
  </si>
  <si>
    <t>Dost thou seek an inn or healing?</t>
  </si>
  <si>
    <t>Which?</t>
  </si>
  <si>
    <t>Perhaps, the shrine which lies on an isle to the north!</t>
  </si>
  <si>
    <t>I bear greetings from the fair city of Moonglow.</t>
  </si>
  <si>
    <t>INN</t>
  </si>
  <si>
    <t>We have an excellent inn.</t>
  </si>
  <si>
    <t>Our healer is one of the best!</t>
  </si>
  <si>
    <t>Dekker</t>
  </si>
  <si>
    <t>We ought to exchange jokes sometime!</t>
  </si>
  <si>
    <t>Thou art probably a sourpuss!</t>
  </si>
  <si>
    <t>A bouncy jester</t>
  </si>
  <si>
    <t>I earn an honest living, jesting!</t>
  </si>
  <si>
    <t>Honest labor bears a lovely face!</t>
  </si>
  <si>
    <t>I love a good jest.</t>
  </si>
  <si>
    <t>William</t>
  </si>
  <si>
    <t>Wouldst thou like a bite?</t>
  </si>
  <si>
    <t>Yummy, huh!</t>
  </si>
  <si>
    <t>It’s awful yummy!</t>
  </si>
  <si>
    <t>Oh, not much.</t>
  </si>
  <si>
    <t>SAND</t>
  </si>
  <si>
    <t>It’s a peanut butter and grape jelly on lightly toasted bread!</t>
  </si>
  <si>
    <t>RUNE</t>
  </si>
  <si>
    <t>Tyrone</t>
  </si>
  <si>
    <t>Wilt thou search?</t>
  </si>
  <si>
    <t>Know its uses!</t>
  </si>
  <si>
    <t>A battered mage.</t>
  </si>
  <si>
    <t>I used to search for the blue stone.</t>
  </si>
  <si>
    <t>Fading.</t>
  </si>
  <si>
    <t>STON</t>
  </si>
  <si>
    <t>The stone of honesty is found on an altar in the dungeon of Deceit.</t>
  </si>
  <si>
    <t>USE</t>
  </si>
  <si>
    <t>It is used within the dungeon altar rooms and in the abyss.</t>
  </si>
  <si>
    <t>Britain</t>
  </si>
  <si>
    <t>Iolo</t>
  </si>
  <si>
    <t>Do you like my music?</t>
  </si>
  <si>
    <t>I would join thee!</t>
  </si>
  <si>
    <t>A shame.</t>
  </si>
  <si>
    <t>Charming bard</t>
  </si>
  <si>
    <t>I play for the people.</t>
  </si>
  <si>
    <t>PLAY</t>
  </si>
  <si>
    <t>I play my lute and receive the good wishes of the people.</t>
  </si>
  <si>
    <t>If you treat someone else well then they will have reason to do the same.</t>
  </si>
  <si>
    <t>Gwenno</t>
  </si>
  <si>
    <t>Do you give to the needy?</t>
  </si>
  <si>
    <t>Beggars are thankful for small donations.</t>
  </si>
  <si>
    <t>a charming jester</t>
  </si>
  <si>
    <t>I dance and sing for the children.</t>
  </si>
  <si>
    <t>DANC</t>
  </si>
  <si>
    <t>Dance is good for the soul.</t>
  </si>
  <si>
    <t>BEGG</t>
  </si>
  <si>
    <t>To give to a beggar shows compassion.</t>
  </si>
  <si>
    <t>Singing Child</t>
  </si>
  <si>
    <t>a child</t>
  </si>
  <si>
    <t>Do you like the song?</t>
  </si>
  <si>
    <t>Then help us spread the word!</t>
  </si>
  <si>
    <t>Too bad.</t>
  </si>
  <si>
    <t>a small child</t>
  </si>
  <si>
    <t>Singing</t>
  </si>
  <si>
    <t>Very happy.</t>
  </si>
  <si>
    <t>SING</t>
  </si>
  <si>
    <t>The song goes Ho eyo he hum!</t>
  </si>
  <si>
    <t>HO</t>
  </si>
  <si>
    <t>E     It means Love to one and all!</t>
  </si>
  <si>
    <t>Bridge Guard</t>
  </si>
  <si>
    <t>Would thou like to join them?</t>
  </si>
  <si>
    <t>Remember, an open heart is the first step on the path to wisdom!</t>
  </si>
  <si>
    <t>Then you have no business across the bridge.</t>
  </si>
  <si>
    <t>I guard the bridge.</t>
  </si>
  <si>
    <t>BRID</t>
  </si>
  <si>
    <t>Across the bridge our people dance and sing!</t>
  </si>
  <si>
    <t>Yep.</t>
  </si>
  <si>
    <t>Pepper</t>
  </si>
  <si>
    <t>Dost thou seek something?</t>
  </si>
  <si>
    <t>What might that be?</t>
  </si>
  <si>
    <t>Alas, I may have been able to help.</t>
  </si>
  <si>
    <t>A spicy woman.</t>
  </si>
  <si>
    <t>I am a fighting bard.</t>
  </si>
  <si>
    <t>Healthy.</t>
  </si>
  <si>
    <t>Bards know many things.</t>
  </si>
  <si>
    <t>The rune of compassion lies at the end of a hall somewhere in this towne.</t>
  </si>
  <si>
    <t>Thevel</t>
  </si>
  <si>
    <t>Hast thou seen him?</t>
  </si>
  <si>
    <t>Only he knows the orb’s gift!</t>
  </si>
  <si>
    <t>Find him in Serpent castle for he knows of orbs!</t>
  </si>
  <si>
    <t>I search for the mystery of the magic orbs.</t>
  </si>
  <si>
    <t>A one-handed beggar knows their secrets!</t>
  </si>
  <si>
    <t>MAGI</t>
  </si>
  <si>
    <t>Magic orbs.</t>
  </si>
  <si>
    <t>Joe</t>
  </si>
  <si>
    <t>Give me rum?...</t>
  </si>
  <si>
    <t>Thanxth... my friend Joe can help with the stones... hic...</t>
  </si>
  <si>
    <t>Ah, be a joe!</t>
  </si>
  <si>
    <t>A drunken fighter</t>
  </si>
  <si>
    <t>Yo ho ho... and a bottle... of rum... hic...</t>
  </si>
  <si>
    <t>And a bottle of...</t>
  </si>
  <si>
    <t>The yellow stone is in the dungeon Despise...</t>
  </si>
  <si>
    <t>RUM</t>
  </si>
  <si>
    <t>Rum... hic...</t>
  </si>
  <si>
    <t>Cricket</t>
  </si>
  <si>
    <t>Now wilt thou be quiet?</t>
  </si>
  <si>
    <t>Thanks.</t>
  </si>
  <si>
    <t>I am going to call the guards!</t>
  </si>
  <si>
    <t>A bard in green</t>
  </si>
  <si>
    <t>Shhh, I’m playing!</t>
  </si>
  <si>
    <t>Shhh</t>
  </si>
  <si>
    <t>SHHH</t>
  </si>
  <si>
    <t>Yes, shhh!</t>
  </si>
  <si>
    <t>The mantra for the shrine of compassion is ’MU’!</t>
  </si>
  <si>
    <t>Dost thou kill non-evil creatures?</t>
  </si>
  <si>
    <t>That does not show compassion!</t>
  </si>
  <si>
    <t>A cheerful guard.</t>
  </si>
  <si>
    <t>I am a guard of course!</t>
  </si>
  <si>
    <t>I am fully healed.</t>
  </si>
  <si>
    <t>We guards have a lot of compassion.</t>
  </si>
  <si>
    <t>We always say: Let all others’ troubles be as thine own!</t>
  </si>
  <si>
    <t>Child</t>
  </si>
  <si>
    <t>Know ye the mantra of compassion?</t>
  </si>
  <si>
    <t>Ask Cricket!</t>
  </si>
  <si>
    <t>A small child</t>
  </si>
  <si>
    <t>I am learning compassion.</t>
  </si>
  <si>
    <t>O.K.</t>
  </si>
  <si>
    <t>LEAR</t>
  </si>
  <si>
    <t>The solution to ones problems often lies in solving others!</t>
  </si>
  <si>
    <t>Never care so much for thyself that thou cannot care for others!</t>
  </si>
  <si>
    <t>Shalimar</t>
  </si>
  <si>
    <t>Have any kids?</t>
  </si>
  <si>
    <t>Thou dost know what I mean!</t>
  </si>
  <si>
    <t>A tired shepherd</t>
  </si>
  <si>
    <t>I watch over the children.</t>
  </si>
  <si>
    <t>CHIL</t>
  </si>
  <si>
    <t>It takes a good deal of compassion to deal with children!</t>
  </si>
  <si>
    <t>Compassion strengthens the soul as knowledge tempers the mind!</t>
  </si>
  <si>
    <t>Sebastian</t>
  </si>
  <si>
    <t>Wilt thou find and destroy it?</t>
  </si>
  <si>
    <t>Then ask at the pub there of the skull!</t>
  </si>
  <si>
    <t>An injured person.</t>
  </si>
  <si>
    <t>I know a terrible secret!</t>
  </si>
  <si>
    <t>Not so well.</t>
  </si>
  <si>
    <t>Mondain’s influence has not left the world!</t>
  </si>
  <si>
    <t>An artifact remains! I heard at Buccaneer’s Den!</t>
  </si>
  <si>
    <t>Shapero</t>
  </si>
  <si>
    <t>Art thou on the Quest of the Avatar?</t>
  </si>
  <si>
    <t>Find the shrine of compassion east across 2 bridges!</t>
  </si>
  <si>
    <t>A druid.</t>
  </si>
  <si>
    <t>I am looking for Julio.</t>
  </si>
  <si>
    <t>All right.</t>
  </si>
  <si>
    <t>JULI</t>
  </si>
  <si>
    <t>He knows the true nature of compassion.</t>
  </si>
  <si>
    <t>Seek out Julio and ask him of compassion!</t>
  </si>
  <si>
    <t>Julio</t>
  </si>
  <si>
    <t>Dost thou know the true nature of all things?</t>
  </si>
  <si>
    <t>Thou art a liar and a braggart.</t>
  </si>
  <si>
    <t>No mortal can.</t>
  </si>
  <si>
    <t>I seek the true nature of things!</t>
  </si>
  <si>
    <t>Solemn.</t>
  </si>
  <si>
    <t>NATU</t>
  </si>
  <si>
    <t>All things have a true nature!</t>
  </si>
  <si>
    <t>Compassion derives itself from unending love!</t>
  </si>
  <si>
    <t>Mentor</t>
  </si>
  <si>
    <t>That is not a virtue!</t>
  </si>
  <si>
    <t>Pride exists without truth, love, or courage!</t>
  </si>
  <si>
    <t>A wise shepherd.</t>
  </si>
  <si>
    <t>I escaped Magincia!</t>
  </si>
  <si>
    <t>Pride was too great in Magincia!</t>
  </si>
  <si>
    <t>The city was destroyed by daemons for its pride!</t>
  </si>
  <si>
    <t>Sprite</t>
  </si>
  <si>
    <t>Wilt thou help me?</t>
  </si>
  <si>
    <t>In return I shall tell thee that Pepper knows of the rune!</t>
  </si>
  <si>
    <t>I shall starve to death!</t>
  </si>
  <si>
    <t>A poor beggar.</t>
  </si>
  <si>
    <t>I have no job so now I beg!</t>
  </si>
  <si>
    <t>I fear I shall die of starvation!</t>
  </si>
  <si>
    <t>STAR</t>
  </si>
  <si>
    <t>I have not eaten in a week!</t>
  </si>
  <si>
    <t>Please! Help me!</t>
  </si>
  <si>
    <t>Jhelom</t>
  </si>
  <si>
    <t>Geoffrey</t>
  </si>
  <si>
    <t>Art thou valiant!</t>
  </si>
  <si>
    <t>Perhaps I could someday join thee!</t>
  </si>
  <si>
    <t>To flee battle shows cowardice!</t>
  </si>
  <si>
    <t>A 6 foot 5, great warrior.</t>
  </si>
  <si>
    <t>I lead into battle!</t>
  </si>
  <si>
    <t>I am good and strong!</t>
  </si>
  <si>
    <t>A great warrior is a valiant warrior!</t>
  </si>
  <si>
    <t>BATT</t>
  </si>
  <si>
    <t>I desire to fight again in battle!</t>
  </si>
  <si>
    <t>Are you a valiant warrior?</t>
  </si>
  <si>
    <t>Thou dost deserve the rune, ask Nostro!</t>
  </si>
  <si>
    <t>Thou art a wimp!</t>
  </si>
  <si>
    <t>A mysterious warrior.</t>
  </si>
  <si>
    <t>I battle for Lord British!</t>
  </si>
  <si>
    <t>Outstanding!</t>
  </si>
  <si>
    <t>Thou must battle long and hard to be a warrior.</t>
  </si>
  <si>
    <t>Battles are few and too many!</t>
  </si>
  <si>
    <t>Lady Donna</t>
  </si>
  <si>
    <t>Why, art thou the father?</t>
  </si>
  <si>
    <t>Wait till I tell my husband!</t>
  </si>
  <si>
    <t>Thank god!</t>
  </si>
  <si>
    <t>A 5 foot pregnant woman</t>
  </si>
  <si>
    <t>I watch over my sheep.</t>
  </si>
  <si>
    <t>Fine, all but the lump in my stomach.</t>
  </si>
  <si>
    <t>PREG</t>
  </si>
  <si>
    <t>It’s no fun to be pregnant.</t>
  </si>
  <si>
    <t>SHEE</t>
  </si>
  <si>
    <t>I can’t stand sheep!</t>
  </si>
  <si>
    <t>Bengrod</t>
  </si>
  <si>
    <t>Hast thou found its altar room?</t>
  </si>
  <si>
    <t>It connects with Covetous, Shame and Hythloth!</t>
  </si>
  <si>
    <t>Find it!</t>
  </si>
  <si>
    <t>A wounded fighter!</t>
  </si>
  <si>
    <t>I search the dungeons!</t>
  </si>
  <si>
    <t>Poor.</t>
  </si>
  <si>
    <t>I fell in the dungeon ’Destard’.</t>
  </si>
  <si>
    <t>Therein use the stones found in the connecting dungeons!</t>
  </si>
  <si>
    <t>Sir William</t>
  </si>
  <si>
    <t>Art thou valiant?</t>
  </si>
  <si>
    <t>Strive ye to defeat all evil!</t>
  </si>
  <si>
    <t>A noble fighter.</t>
  </si>
  <si>
    <t>I search for valiant fighters!</t>
  </si>
  <si>
    <t>Kill not non-evil creatures but still always stand thy ground!</t>
  </si>
  <si>
    <t>Sir Hrothgar</t>
  </si>
  <si>
    <t>Art thou the most valiant of souls?</t>
  </si>
  <si>
    <t>This is not likely!</t>
  </si>
  <si>
    <t>A mighty warrior!</t>
  </si>
  <si>
    <t>I fight for valor!</t>
  </si>
  <si>
    <t>The valiant soul fears not its own visage!</t>
  </si>
  <si>
    <t>The mantra need be known, ask Aesop!</t>
  </si>
  <si>
    <t>We guard the gates and these passages!</t>
  </si>
  <si>
    <t>The gates of Jhelom.</t>
  </si>
  <si>
    <t>These passages are restricted.</t>
  </si>
  <si>
    <t>Aesop</t>
  </si>
  <si>
    <t>Know what I mean?</t>
  </si>
  <si>
    <t>Thats my problem.</t>
  </si>
  <si>
    <t>Thou art brave!</t>
  </si>
  <si>
    <t>A small man.</t>
  </si>
  <si>
    <t>I search for valor!</t>
  </si>
  <si>
    <t>I find that ’tis easy to be brave from a safe distance!</t>
  </si>
  <si>
    <t>Gravnor</t>
  </si>
  <si>
    <t>No wonder I can’t find it!</t>
  </si>
  <si>
    <t>It lies in the dungeon Destard!</t>
  </si>
  <si>
    <t>A grave fighter.</t>
  </si>
  <si>
    <t>I search the dungeons.</t>
  </si>
  <si>
    <t>So so.</t>
  </si>
  <si>
    <t>I seek the red stone.</t>
  </si>
  <si>
    <t>It is found on an altar!</t>
  </si>
  <si>
    <t>Senora</t>
  </si>
  <si>
    <t>Dost thou have a ship?</t>
  </si>
  <si>
    <t>Then thou dost need a sextant ask the barkeep for he knows more!</t>
  </si>
  <si>
    <t>A beautiful mage</t>
  </si>
  <si>
    <t>I am locked up in this tower.</t>
  </si>
  <si>
    <t>TOWE</t>
  </si>
  <si>
    <t>I am being punished for my crimes.</t>
  </si>
  <si>
    <t>Does not matter, I can help thee!</t>
  </si>
  <si>
    <t>Nostro</t>
  </si>
  <si>
    <t>Wilt thou lead me out?</t>
  </si>
  <si>
    <t>I am saved!</t>
  </si>
  <si>
    <t>A withering soul</t>
  </si>
  <si>
    <t>I built these passages and they walled me in!</t>
  </si>
  <si>
    <t>Very near death!</t>
  </si>
  <si>
    <t>This passage runs around the city!</t>
  </si>
  <si>
    <t>The rune is buried in a tower!</t>
  </si>
  <si>
    <t>Luke</t>
  </si>
  <si>
    <t>Hast thou been to Skara Brae?</t>
  </si>
  <si>
    <t>A fine city!</t>
  </si>
  <si>
    <t>’tis a spiritual city!</t>
  </si>
  <si>
    <t>A ranger with a far away look.</t>
  </si>
  <si>
    <t>I seek the inner light!</t>
  </si>
  <si>
    <t>I come from Skara Brae and am on my way to Yew.</t>
  </si>
  <si>
    <t>YEW</t>
  </si>
  <si>
    <t>’tis a city based in the virtue of justice!</t>
  </si>
  <si>
    <t>Max</t>
  </si>
  <si>
    <t>Is there some problem with thy room?</t>
  </si>
  <si>
    <t>I am very sorry I will correct it right away!</t>
  </si>
  <si>
    <t>Oh, thou had me worried!</t>
  </si>
  <si>
    <t>The housekeeper.</t>
  </si>
  <si>
    <t>I am the housekeeper.</t>
  </si>
  <si>
    <t>HOUS</t>
  </si>
  <si>
    <t>I clean the rooms.</t>
  </si>
  <si>
    <t>That’s a strange one at the end. People often disappear.</t>
  </si>
  <si>
    <t>X</t>
  </si>
  <si>
    <t>Art thou an avatar?</t>
  </si>
  <si>
    <t>Wow!</t>
  </si>
  <si>
    <t>Then thou shalt need the red stone in one altar room to get the third part of a key!</t>
  </si>
  <si>
    <t>A strange person</t>
  </si>
  <si>
    <t>I seek the stone</t>
  </si>
  <si>
    <t>The red stone.</t>
  </si>
  <si>
    <t>RED</t>
  </si>
  <si>
    <t>Red is for valor a virtue of the avatar!</t>
  </si>
  <si>
    <t>Slithe</t>
  </si>
  <si>
    <t>Then never flee unless the need is dire!</t>
  </si>
  <si>
    <t>Coward.</t>
  </si>
  <si>
    <t>A valiant warrior.</t>
  </si>
  <si>
    <t>I fight battles!</t>
  </si>
  <si>
    <t>Only minor wounds!</t>
  </si>
  <si>
    <t>True valor is seen not in the force of arms, but in the force of will!</t>
  </si>
  <si>
    <t>I display my valor in battle.</t>
  </si>
  <si>
    <t>Timrod</t>
  </si>
  <si>
    <t>Art thou brave?</t>
  </si>
  <si>
    <t>Fortune helps the brave!</t>
  </si>
  <si>
    <t>A thin fighter.</t>
  </si>
  <si>
    <t>I fight with valor!</t>
  </si>
  <si>
    <t>There is no holier spot of ground than where defeated valor lies.</t>
  </si>
  <si>
    <t>BRAV</t>
  </si>
  <si>
    <t>Be brave for there is much to dare!</t>
  </si>
  <si>
    <t>Minoc</t>
  </si>
  <si>
    <t>Julia</t>
  </si>
  <si>
    <t>Wilt thou help?</t>
  </si>
  <si>
    <t>I would join thee.</t>
  </si>
  <si>
    <t>Bum.</t>
  </si>
  <si>
    <t>An agile tinker.</t>
  </si>
  <si>
    <t>I care for the poor.</t>
  </si>
  <si>
    <t>CARE</t>
  </si>
  <si>
    <t>Self preservation is the first law of nature; self sacrifice the highest rule of grace.</t>
  </si>
  <si>
    <t>POOR</t>
  </si>
  <si>
    <t>Within this house are many poor and destitute souls.</t>
  </si>
  <si>
    <t>Shentis</t>
  </si>
  <si>
    <t>Dost thou strive for virtue?</t>
  </si>
  <si>
    <t>Then perhaps thou shalt become an avatar!</t>
  </si>
  <si>
    <t>An avatar thou art not!</t>
  </si>
  <si>
    <t>A rotund tinker.</t>
  </si>
  <si>
    <t>I welcome thee unto Minoc, city of sacrifice!</t>
  </si>
  <si>
    <t>OK.</t>
  </si>
  <si>
    <t>Self-sacrifice is a needed virtue!</t>
  </si>
  <si>
    <t>Avatars strive to be virtuous.</t>
  </si>
  <si>
    <t>Alex</t>
  </si>
  <si>
    <t>Wilt thou give?</t>
  </si>
  <si>
    <t>I give out flowers. Here you are!</t>
  </si>
  <si>
    <t>Fine, thanks.</t>
  </si>
  <si>
    <t>FLOW</t>
  </si>
  <si>
    <t>The way I figure it, if thou art kind to others they will have reason to be kind in return!</t>
  </si>
  <si>
    <t>KIND</t>
  </si>
  <si>
    <t>Yes, give all that thou can unto the needy!</t>
  </si>
  <si>
    <t>Merida</t>
  </si>
  <si>
    <t>Know ye the mantra?</t>
  </si>
  <si>
    <t>The shrine is on a lake to the east!</t>
  </si>
  <si>
    <t>A wandering tinker.</t>
  </si>
  <si>
    <t>I seek the wisdom of the shrine of sacrifice.</t>
  </si>
  <si>
    <t>But first I need the mantra!</t>
  </si>
  <si>
    <t>I am told that a hidden shepherd knows the mantra.</t>
  </si>
  <si>
    <t>Damon</t>
  </si>
  <si>
    <t>Can’t a man just think to himself?</t>
  </si>
  <si>
    <t>Well I hope so!</t>
  </si>
  <si>
    <t>Oh, yes I can thou bandersnatch!</t>
  </si>
  <si>
    <t>I stand here and think.</t>
  </si>
  <si>
    <t>Oh, just about things.</t>
  </si>
  <si>
    <t>Listen to the bard’s song for in its verse lies the key!</t>
  </si>
  <si>
    <t>Singsong</t>
  </si>
  <si>
    <t>A cute bard.</t>
  </si>
  <si>
    <t>I sing songs!</t>
  </si>
  <si>
    <t>Very well indeed!</t>
  </si>
  <si>
    <t>Very well, the raven sings, the raven saw and in the corn he sayeth ’CAH’. query: Dost thou like it?</t>
  </si>
  <si>
    <t>Gimble</t>
  </si>
  <si>
    <t>Could thou spare a gold piece so I may buy a last drink?</t>
  </si>
  <si>
    <t>Remember Azure knows of the rune!</t>
  </si>
  <si>
    <t>I am saddened.</t>
  </si>
  <si>
    <t>A fading man.</t>
  </si>
  <si>
    <t>I shall die soon.</t>
  </si>
  <si>
    <t>I am barely conscious.</t>
  </si>
  <si>
    <t>I suffer from a tsetse byte!</t>
  </si>
  <si>
    <t>CONS</t>
  </si>
  <si>
    <t>I will soon sleep forever.</t>
  </si>
  <si>
    <t>Azure</t>
  </si>
  <si>
    <t>Dost thou seek a rune?</t>
  </si>
  <si>
    <t>A tinker at the table.</t>
  </si>
  <si>
    <t>I carve runes.</t>
  </si>
  <si>
    <t>I carve runes for passage into the shrines!</t>
  </si>
  <si>
    <t>Ask my sister, Mischief.</t>
  </si>
  <si>
    <t>Mischief</t>
  </si>
  <si>
    <t>Hast thou the rune?</t>
  </si>
  <si>
    <t>Return when thou dost find it!</t>
  </si>
  <si>
    <t>A happy tinker.</t>
  </si>
  <si>
    <t>This and that.</t>
  </si>
  <si>
    <t>O.K. I guess.</t>
  </si>
  <si>
    <t>The rune of sacrifice is hard to get. It lies within the fires of the forge!</t>
  </si>
  <si>
    <t>Alkerion</t>
  </si>
  <si>
    <t>Seeketh thou?</t>
  </si>
  <si>
    <t>Good luck.</t>
  </si>
  <si>
    <t>An old ragged man.</t>
  </si>
  <si>
    <t>I am a peasant, I hear many things.</t>
  </si>
  <si>
    <t>I am old and weak.</t>
  </si>
  <si>
    <t>HEAR</t>
  </si>
  <si>
    <t>What does thou wish to know?</t>
  </si>
  <si>
    <t>The stone of sacrifice is orange in color and used in the altar rooms of love and courage!</t>
  </si>
  <si>
    <t>Bob the Beggar</t>
  </si>
  <si>
    <t>Hast thou any money?</t>
  </si>
  <si>
    <t>Then please share it with me!</t>
  </si>
  <si>
    <t>Then join me and we can beg together!</t>
  </si>
  <si>
    <t>A sickly little man.</t>
  </si>
  <si>
    <t>I have none, help me.</t>
  </si>
  <si>
    <t>I am very sick, help me!</t>
  </si>
  <si>
    <t>I need money to cure my sickness.</t>
  </si>
  <si>
    <t>I have terminal leg rot.</t>
  </si>
  <si>
    <t>Linda Sue</t>
  </si>
  <si>
    <t>Could thou spare a nibble of food?</t>
  </si>
  <si>
    <t>I would greatly appreciate that.</t>
  </si>
  <si>
    <t>Oh, I see.</t>
  </si>
  <si>
    <t>A small muddy girl.</t>
  </si>
  <si>
    <t>I’m an undernourished beggar girl.</t>
  </si>
  <si>
    <t>I am hungry.</t>
  </si>
  <si>
    <t>HUNG</t>
  </si>
  <si>
    <t>I have not eaten in days.</t>
  </si>
  <si>
    <t>Oh, thou art a kind soul!</t>
  </si>
  <si>
    <t>Zircon</t>
  </si>
  <si>
    <t>Seek thee a weapon?</t>
  </si>
  <si>
    <t>Ask at the counter!</t>
  </si>
  <si>
    <t>A seasoned blacksmith.</t>
  </si>
  <si>
    <t>I forge weapons.</t>
  </si>
  <si>
    <t>WEAP</t>
  </si>
  <si>
    <t>I make the very best!</t>
  </si>
  <si>
    <t>MYST</t>
  </si>
  <si>
    <t>Ah, yes, the mystic weapons, and armour, my greatest work! Those I gave unto Sir Simon and Lady Tessa.</t>
  </si>
  <si>
    <t>Jude</t>
  </si>
  <si>
    <t>If I help thee wilt thou swear to only use it at the mouth of the abyss to destroy it?</t>
  </si>
  <si>
    <t>It can be found at lat-P’F" long-M’F" on the darkest night!</t>
  </si>
  <si>
    <t>To redeem myself!</t>
  </si>
  <si>
    <t>Ailing.</t>
  </si>
  <si>
    <t>REDE</t>
  </si>
  <si>
    <t>I will not speak of my sin!</t>
  </si>
  <si>
    <t>SKUL</t>
  </si>
  <si>
    <t>I used it!</t>
  </si>
  <si>
    <t>Mike Ward</t>
  </si>
  <si>
    <t>Know thee of the rune?</t>
  </si>
  <si>
    <t>It is the key to the shrine of spirituality!</t>
  </si>
  <si>
    <t>It is not in Skara Brae.</t>
  </si>
  <si>
    <t>A stocky ranger.</t>
  </si>
  <si>
    <t>I am trying to get a room.</t>
  </si>
  <si>
    <t>I have travelled clear from Skara Brae.</t>
  </si>
  <si>
    <t>SKAR</t>
  </si>
  <si>
    <t>The rune of our city is missing!</t>
  </si>
  <si>
    <t>Understand my dilemma?</t>
  </si>
  <si>
    <t>Of course, if it came down to it, I hope I would do it!</t>
  </si>
  <si>
    <t>A massive guard.</t>
  </si>
  <si>
    <t>To guard of course.</t>
  </si>
  <si>
    <t>Quite.</t>
  </si>
  <si>
    <t>I often wonder if I will ever have to give my life in the line of duty.</t>
  </si>
  <si>
    <t>LIFE</t>
  </si>
  <si>
    <t>One life for many!</t>
  </si>
  <si>
    <t>Yew</t>
  </si>
  <si>
    <t>Jaana</t>
  </si>
  <si>
    <t>Art thou just?</t>
  </si>
  <si>
    <t>Many a grave has been unjustly filled in the name of justice.</t>
  </si>
  <si>
    <t>A quiet druid</t>
  </si>
  <si>
    <t>I strive to understand justice.</t>
  </si>
  <si>
    <t>True justice satisfies all, false none.</t>
  </si>
  <si>
    <t>UNDE</t>
  </si>
  <si>
    <t>Let justice be thy calling not thy excuse!</t>
  </si>
  <si>
    <t>Dwp</t>
  </si>
  <si>
    <t>Dost thou like it?</t>
  </si>
  <si>
    <t>Let it be as thine!</t>
  </si>
  <si>
    <t>A pity.</t>
  </si>
  <si>
    <t>Welcome thee to Yew city of justice!</t>
  </si>
  <si>
    <t>Love no one more than the truth, for justice seeks no favors. Temper thy justice with understanding.</t>
  </si>
  <si>
    <t>Yes ’tis a fair city!</t>
  </si>
  <si>
    <t>Flamis</t>
  </si>
  <si>
    <t>Hast thou always been just?</t>
  </si>
  <si>
    <t>Unlikely.</t>
  </si>
  <si>
    <t>At least thou art honest.</t>
  </si>
  <si>
    <t>A burning fire.</t>
  </si>
  <si>
    <t>I hold the fabric of the true nature of justice.</t>
  </si>
  <si>
    <t>Bright.</t>
  </si>
  <si>
    <t>The virtue of justice draws its nature from the principles of truth and love!</t>
  </si>
  <si>
    <t>FABR</t>
  </si>
  <si>
    <t>Of justice.</t>
  </si>
  <si>
    <t>Pinrod</t>
  </si>
  <si>
    <t>Fight ye for justice?</t>
  </si>
  <si>
    <t>Good, the druids chant the mantra!</t>
  </si>
  <si>
    <t>Cad.</t>
  </si>
  <si>
    <t>A thin man.</t>
  </si>
  <si>
    <t>I take council.</t>
  </si>
  <si>
    <t>On justice.</t>
  </si>
  <si>
    <t>Justice is hardest to find at the point of a sword, the steel is an agent of justice, humanity the perpetrator!</t>
  </si>
  <si>
    <t>Silent</t>
  </si>
  <si>
    <t>A chanting druid</t>
  </si>
  <si>
    <t>Beh... Beh... Beh... Beh...</t>
  </si>
  <si>
    <t>BEH. Beh... Beh...</t>
  </si>
  <si>
    <t>BEH</t>
  </si>
  <si>
    <t>Beh... Beh...</t>
  </si>
  <si>
    <t>Druid</t>
  </si>
  <si>
    <t>Dost thou have the rune?</t>
  </si>
  <si>
    <t>Now learn the mantra, and seek the green stone in ’Wrong’!</t>
  </si>
  <si>
    <t>Ask Talfourd for he knows of the rune.</t>
  </si>
  <si>
    <t>A wandering druid.</t>
  </si>
  <si>
    <t>I seek justice.</t>
  </si>
  <si>
    <t>Learn at the shrine!</t>
  </si>
  <si>
    <t>The shrine is to the east then north!</t>
  </si>
  <si>
    <t>Talfourd</t>
  </si>
  <si>
    <t>Can thou honestly claim to be guilty of no crime ever?</t>
  </si>
  <si>
    <t>Doubtful.</t>
  </si>
  <si>
    <t>Then do thy penance in a cell, and with the felon search ye well.</t>
  </si>
  <si>
    <t>A wise judge.</t>
  </si>
  <si>
    <t>I decide justice.</t>
  </si>
  <si>
    <t>It is hidden well!</t>
  </si>
  <si>
    <t>Beggar</t>
  </si>
  <si>
    <t>a poor beggar.</t>
  </si>
  <si>
    <t>Should thou be in with the felon?</t>
  </si>
  <si>
    <t>Thou art in the wrong cell.</t>
  </si>
  <si>
    <t>I have sinned.</t>
  </si>
  <si>
    <t>I have gotten chests in the townes and killed non-evil creatures.</t>
  </si>
  <si>
    <t>FELO</t>
  </si>
  <si>
    <t>Vorpal</t>
  </si>
  <si>
    <t>Art thou here to bug me?</t>
  </si>
  <si>
    <t>Eat death, scum puppy!</t>
  </si>
  <si>
    <t>Well thou art!</t>
  </si>
  <si>
    <t>A mean nasty ugly villain!</t>
  </si>
  <si>
    <t>I eat people who bug me!</t>
  </si>
  <si>
    <t>Hungry!</t>
  </si>
  <si>
    <t>VILL</t>
  </si>
  <si>
    <t>That’s me alright!</t>
  </si>
  <si>
    <t>PEOP</t>
  </si>
  <si>
    <t>Like thee!</t>
  </si>
  <si>
    <t>Frida</t>
  </si>
  <si>
    <t>Wilt thou give me money so that I can get my baby healed?</t>
  </si>
  <si>
    <t>Thou art kind and just!</t>
  </si>
  <si>
    <t>Evil wretch, curse thee!</t>
  </si>
  <si>
    <t>A withered form.</t>
  </si>
  <si>
    <t>I am starving and sick.</t>
  </si>
  <si>
    <t>BABY</t>
  </si>
  <si>
    <t>Oh, no, my baby is dying!</t>
  </si>
  <si>
    <t>Jaana may join thee!</t>
  </si>
  <si>
    <t>Calumny</t>
  </si>
  <si>
    <t>Can thou cast it?</t>
  </si>
  <si>
    <t>It requires but one bloodmoss!</t>
  </si>
  <si>
    <t>Adept.</t>
  </si>
  <si>
    <t>A solemn druid.</t>
  </si>
  <si>
    <t>I make spells.</t>
  </si>
  <si>
    <t>I invented quickness!</t>
  </si>
  <si>
    <t>MAND</t>
  </si>
  <si>
    <t>Mandrake root is found only in the Fens of the Dead and in the Bloody Plains where the ground is always damp.</t>
  </si>
  <si>
    <t>a ranger</t>
  </si>
  <si>
    <t>Ever heard of such a place?</t>
  </si>
  <si>
    <t>Seldom is heard a discouraging word!</t>
  </si>
  <si>
    <t>Ah, what’ya have to ruin it for!</t>
  </si>
  <si>
    <t>A sleek ranger.</t>
  </si>
  <si>
    <t>I search for a home.</t>
  </si>
  <si>
    <t>HOME</t>
  </si>
  <si>
    <t>On the range!</t>
  </si>
  <si>
    <t>RANG</t>
  </si>
  <si>
    <t>Where the deer and the antelope play.</t>
  </si>
  <si>
    <t>Short Round</t>
  </si>
  <si>
    <t>Art thou having fun?</t>
  </si>
  <si>
    <t>Write to Lord British and tell him!!!</t>
  </si>
  <si>
    <t>I am so sorry we all wish you would!</t>
  </si>
  <si>
    <t>I work for Jones.</t>
  </si>
  <si>
    <t>I am fine.</t>
  </si>
  <si>
    <t>JONE</t>
  </si>
  <si>
    <t>I think Indi’s on a quest!</t>
  </si>
  <si>
    <t>I’m not so sure, but it should be fun!</t>
  </si>
  <si>
    <t>Art thou always just?</t>
  </si>
  <si>
    <t>Unlikely!</t>
  </si>
  <si>
    <t>Strive to be!</t>
  </si>
  <si>
    <t>A big guard</t>
  </si>
  <si>
    <t>To preserve the peace and insure justice!</t>
  </si>
  <si>
    <t>A good life is inspired by love and guided by truth!</t>
  </si>
  <si>
    <t>Justice means not only to punish the bad but also to reward the good!</t>
  </si>
  <si>
    <t>Court Guard</t>
  </si>
  <si>
    <t>Dost thou have business before the court?</t>
  </si>
  <si>
    <t>Then enter.</t>
  </si>
  <si>
    <t>Then do not disturb the proceedings!</t>
  </si>
  <si>
    <t>A tall guard</t>
  </si>
  <si>
    <t>To guard the court.</t>
  </si>
  <si>
    <t>Yes.</t>
  </si>
  <si>
    <t>A good life is inspired by love and guided by knowledge.</t>
  </si>
  <si>
    <t>Within this chamber justice is served.</t>
  </si>
  <si>
    <t>Jail Guard</t>
  </si>
  <si>
    <t>Hast thou come to turn thyself in?</t>
  </si>
  <si>
    <t>In which cell dost thou belong, felonies or misdemeanors.</t>
  </si>
  <si>
    <t>Just visiting, eh.</t>
  </si>
  <si>
    <t>A big guard.</t>
  </si>
  <si>
    <t>We guard the jail.</t>
  </si>
  <si>
    <t>Fit.</t>
  </si>
  <si>
    <t>MISD</t>
  </si>
  <si>
    <t>Trinsic</t>
  </si>
  <si>
    <t>Dupre</t>
  </si>
  <si>
    <t>Dost thou try to live honorably?</t>
  </si>
  <si>
    <t>It is a constant quest. Honor is like finely polished armour. Without constant care, it will soon tarnish!</t>
  </si>
  <si>
    <t>Handsome fighter</t>
  </si>
  <si>
    <t>Rigmore</t>
  </si>
  <si>
    <t>Dost thou seek this wisdom?</t>
  </si>
  <si>
    <t>Enter and find thy path.</t>
  </si>
  <si>
    <t>This is the wrong place!</t>
  </si>
  <si>
    <t>A strong paladin.</t>
  </si>
  <si>
    <t>Extra good.</t>
  </si>
  <si>
    <t>Wisdom on the virtue of honor is found throughout this towne.</t>
  </si>
  <si>
    <t>Publius</t>
  </si>
  <si>
    <t>Dost thou strive to live an honorable life?</t>
  </si>
  <si>
    <t>Honor gives greatness.</t>
  </si>
  <si>
    <t>No honor, no meaning!</t>
  </si>
  <si>
    <t>A sleepy fighter</t>
  </si>
  <si>
    <t>I drink a toast to honor!</t>
  </si>
  <si>
    <t>Tired.</t>
  </si>
  <si>
    <t>What is left when honor is lost?</t>
  </si>
  <si>
    <t>Aristotle</t>
  </si>
  <si>
    <t>Art thou honorable at all times?</t>
  </si>
  <si>
    <t>That is impressive.</t>
  </si>
  <si>
    <t>Strive to be as such.</t>
  </si>
  <si>
    <t>A dignified paladin.</t>
  </si>
  <si>
    <t>I search for honor.</t>
  </si>
  <si>
    <t>Dignity consists not in possessing honors, but in deserving them.</t>
  </si>
  <si>
    <t>DIGN</t>
  </si>
  <si>
    <t>Honor no one, but honor itself!</t>
  </si>
  <si>
    <t>Lexington</t>
  </si>
  <si>
    <t>Strive ye for honor?</t>
  </si>
  <si>
    <t>Then solve quests but attack not non-evil creatures, and get not others gold!</t>
  </si>
  <si>
    <t>A shining paladin.</t>
  </si>
  <si>
    <t>I am warlord of Trinsic.</t>
  </si>
  <si>
    <t>Superb.</t>
  </si>
  <si>
    <t>WARL</t>
  </si>
  <si>
    <t>I have solved many quests!</t>
  </si>
  <si>
    <t>The solving of quests brings ye honor!</t>
  </si>
  <si>
    <t>Kline</t>
  </si>
  <si>
    <t>Know ye the two requirements to enter and use the shrine?</t>
  </si>
  <si>
    <t>What are they?</t>
  </si>
  <si>
    <t>What dost thou think?</t>
  </si>
  <si>
    <t>A searching paladin!</t>
  </si>
  <si>
    <t>A man named Winthrop knows of the rune!</t>
  </si>
  <si>
    <t>Winthrop</t>
  </si>
  <si>
    <t>Dost thou know him?</t>
  </si>
  <si>
    <t>Ask him of the rune.</t>
  </si>
  <si>
    <t>Find him and ask of the rune!</t>
  </si>
  <si>
    <t>A scruffy merchant.</t>
  </si>
  <si>
    <t>A bit ragged out.</t>
  </si>
  <si>
    <t>RUMO</t>
  </si>
  <si>
    <t>Terrin</t>
  </si>
  <si>
    <t>Is it gone yet?</t>
  </si>
  <si>
    <t>Whew, I thought it would get me!</t>
  </si>
  <si>
    <t>Save me!</t>
  </si>
  <si>
    <t>Scared!</t>
  </si>
  <si>
    <t>Dergin</t>
  </si>
  <si>
    <t>Art thou enlightened in honor?</t>
  </si>
  <si>
    <t>The shrine lies to the south and west beyond the swamps!</t>
  </si>
  <si>
    <t>A soulful fighter.</t>
  </si>
  <si>
    <t>I seek a place to rest.</t>
  </si>
  <si>
    <t>REST</t>
  </si>
  <si>
    <t>I have quested long and hard.</t>
  </si>
  <si>
    <t>I seek enlightenment at the shrine of honor!</t>
  </si>
  <si>
    <t>Quix</t>
  </si>
  <si>
    <t>Dost thou have the purple stone?</t>
  </si>
  <si>
    <t>Use it wisely!</t>
  </si>
  <si>
    <t>Seek it for it is very useful!</t>
  </si>
  <si>
    <t>A wandering mage</t>
  </si>
  <si>
    <t>I seek the skeleton!</t>
  </si>
  <si>
    <t>Adequate.</t>
  </si>
  <si>
    <t>SKEL</t>
  </si>
  <si>
    <t>It knows a great secret.</t>
  </si>
  <si>
    <t>About the purple stone of honor!</t>
  </si>
  <si>
    <t>Skitle</t>
  </si>
  <si>
    <t>Ever been there?</t>
  </si>
  <si>
    <t>It holds items thou shalt need.</t>
  </si>
  <si>
    <t>A bony skeleton</t>
  </si>
  <si>
    <t>I hail from dungeon deep.</t>
  </si>
  <si>
    <t>What do you mean?</t>
  </si>
  <si>
    <t>I come from the dungeon ’Shame’!</t>
  </si>
  <si>
    <t>I have seen the purple stone used in the altars of truth and courage!</t>
  </si>
  <si>
    <t>Sailor Sam</t>
  </si>
  <si>
    <t>Is it thy specialty?</t>
  </si>
  <si>
    <t>Good show mate!</t>
  </si>
  <si>
    <t>Thou must not own a sextant, eh?</t>
  </si>
  <si>
    <t>An ugly sailor.</t>
  </si>
  <si>
    <t>I sail the the seas of Britannia!</t>
  </si>
  <si>
    <t>A bit waterlogged.</t>
  </si>
  <si>
    <t>My specialty is navigation!</t>
  </si>
  <si>
    <t>SEXT</t>
  </si>
  <si>
    <t>Go to the pub in Jhelom and ask of sextants.</t>
  </si>
  <si>
    <t>Virgil</t>
  </si>
  <si>
    <t>’tis it thine?</t>
  </si>
  <si>
    <t>Well I don’t care!</t>
  </si>
  <si>
    <t>I create magical fields.</t>
  </si>
  <si>
    <t>FIEL</t>
  </si>
  <si>
    <t>Poison is my favorite.</t>
  </si>
  <si>
    <t>NIGH</t>
  </si>
  <si>
    <t>Nightshade may be found only near lat-J’F" long-C’O" only on the darkest of nights!</t>
  </si>
  <si>
    <t>Swindrik</t>
  </si>
  <si>
    <t>Dost thou cast spells of great power?</t>
  </si>
  <si>
    <t>What is the most powerful reagent?</t>
  </si>
  <si>
    <t>Dost thou know their main ingredient?</t>
  </si>
  <si>
    <t>A tall wizard.</t>
  </si>
  <si>
    <t>Fully healed.</t>
  </si>
  <si>
    <t>Ask at the Folley tavern of mandrake.</t>
  </si>
  <si>
    <t>Dost thou strive to bring honor upon the peers?</t>
  </si>
  <si>
    <t>Dupre, the leader of our towne, joins many honorable quests!</t>
  </si>
  <si>
    <t>Dolt.</t>
  </si>
  <si>
    <t>We guard the gate.</t>
  </si>
  <si>
    <t>Into and out of Trinsic.</t>
  </si>
  <si>
    <t>’tis an honorable job!</t>
  </si>
  <si>
    <t>To guard.</t>
  </si>
  <si>
    <t>Guarded.</t>
  </si>
  <si>
    <t>Guarding.</t>
  </si>
  <si>
    <t>STRO</t>
  </si>
  <si>
    <t>Skara Brae</t>
  </si>
  <si>
    <t>Shamino</t>
  </si>
  <si>
    <t>Dost thou seek this "truth"?</t>
  </si>
  <si>
    <t>Some things take forever but brick by brick mountains can be built!</t>
  </si>
  <si>
    <t>I seek the inner light.</t>
  </si>
  <si>
    <t>I seek the "one great truth"!</t>
  </si>
  <si>
    <t>That which lies within the codex!</t>
  </si>
  <si>
    <t>Emerson</t>
  </si>
  <si>
    <t>Art thou good in spirit?</t>
  </si>
  <si>
    <t>A good path.</t>
  </si>
  <si>
    <t>An evil path!</t>
  </si>
  <si>
    <t>An injured man.</t>
  </si>
  <si>
    <t>I seek the spiritual path.</t>
  </si>
  <si>
    <t>I am grievously wounded.</t>
  </si>
  <si>
    <t>Spiritual is stronger than any material force.</t>
  </si>
  <si>
    <t>Nothing can bring thee peace but the triumph of principles!</t>
  </si>
  <si>
    <t>Santayana</t>
  </si>
  <si>
    <t>Dost thou always tread the right path?</t>
  </si>
  <si>
    <t>Few can, but strive to do so!</t>
  </si>
  <si>
    <t>A tall ranger.</t>
  </si>
  <si>
    <t>I carry the light within my heart.</t>
  </si>
  <si>
    <t>I am alive.</t>
  </si>
  <si>
    <t>The light of philosophy.</t>
  </si>
  <si>
    <t>PHIL</t>
  </si>
  <si>
    <t>In philosophical minds the familiar excites wonder!</t>
  </si>
  <si>
    <t>Presto</t>
  </si>
  <si>
    <t>Dost thou know what these spells have in common?</t>
  </si>
  <si>
    <t>What?</t>
  </si>
  <si>
    <t>Guess!</t>
  </si>
  <si>
    <t>A very small wizard.</t>
  </si>
  <si>
    <t>I cast great big spells!</t>
  </si>
  <si>
    <t>Superior!</t>
  </si>
  <si>
    <t>I can cast jinx, kill, and view!</t>
  </si>
  <si>
    <t>Yes, ask the barkeep at ’The Axe-n-Ale’ in Vesper about nightshade.</t>
  </si>
  <si>
    <t>Granted</t>
  </si>
  <si>
    <t>Wilt thou give me food or money?</t>
  </si>
  <si>
    <t>In return I will tell thee that the ankh knows of the rune and my friend Ambule knows the mantra!</t>
  </si>
  <si>
    <t>Jerk!</t>
  </si>
  <si>
    <t>A hungry beggar.</t>
  </si>
  <si>
    <t>I beg for food and money.</t>
  </si>
  <si>
    <t>I am not at all well.</t>
  </si>
  <si>
    <t>To eat!</t>
  </si>
  <si>
    <t>MONE</t>
  </si>
  <si>
    <t>To buy food!</t>
  </si>
  <si>
    <t>Mitre</t>
  </si>
  <si>
    <t>Wilt thou try to recover it?</t>
  </si>
  <si>
    <t>Ask of the stone at the Tap in Trinsic!</t>
  </si>
  <si>
    <t>A radiant ranger.</t>
  </si>
  <si>
    <t>I am reading the wizard’s journal.</t>
  </si>
  <si>
    <t>JOUR</t>
  </si>
  <si>
    <t>It tells of the white stone.</t>
  </si>
  <si>
    <t>It is no longer in the dungeon Hythloth, it is gone!</t>
  </si>
  <si>
    <t>Buddha</t>
  </si>
  <si>
    <t>BL    If one speaks or acts with pure thought, happiness will follow like a shadow that never leaves.</t>
  </si>
  <si>
    <t>A great philosopher.</t>
  </si>
  <si>
    <t>I teach.</t>
  </si>
  <si>
    <t>TEAC</t>
  </si>
  <si>
    <t>When one has pity on all living creatures then is one noble.</t>
  </si>
  <si>
    <t>Michaelangelo</t>
  </si>
  <si>
    <t>Art thou far along the path?</t>
  </si>
  <si>
    <t>This is good.</t>
  </si>
  <si>
    <t>Fear not thou shalt be.</t>
  </si>
  <si>
    <t>A skilled ranger</t>
  </si>
  <si>
    <t>I strive along the path.</t>
  </si>
  <si>
    <t>PATH</t>
  </si>
  <si>
    <t>Success is a journey, not a destination.</t>
  </si>
  <si>
    <t>May thou always desire more than thou can accomplish!</t>
  </si>
  <si>
    <t>Romasco</t>
  </si>
  <si>
    <t>Know ye of the abyss?</t>
  </si>
  <si>
    <t>A word of passage is needed at the last gate!</t>
  </si>
  <si>
    <t>Learn!</t>
  </si>
  <si>
    <t>A short dumpy man with a book.</t>
  </si>
  <si>
    <t>I am a teacher, I enrich young minds.</t>
  </si>
  <si>
    <t>I teach of the abyss.</t>
  </si>
  <si>
    <t>Seek Zair the Wise in Paws for more on the word.</t>
  </si>
  <si>
    <t>Carlyle</t>
  </si>
  <si>
    <t>Dost thou believe in magic?</t>
  </si>
  <si>
    <t>Magic missiles need but 1 part ash!</t>
  </si>
  <si>
    <t>I write magic.</t>
  </si>
  <si>
    <t>One lives by believing in something.</t>
  </si>
  <si>
    <t>BELI</t>
  </si>
  <si>
    <t>Great discoveries are made by those whose feelings run ahead of their thinking.</t>
  </si>
  <si>
    <t>Dickens</t>
  </si>
  <si>
    <t>Art thou good in nature?</t>
  </si>
  <si>
    <t>Be sure thy net good well exceeds thy net evil!</t>
  </si>
  <si>
    <t>A wise bard.</t>
  </si>
  <si>
    <t>I write stories.</t>
  </si>
  <si>
    <t>STOR</t>
  </si>
  <si>
    <t>Stories are good for the spirit!</t>
  </si>
  <si>
    <t>Remember, no one is useless in this world who lightens the burdens of others!</t>
  </si>
  <si>
    <t>White</t>
  </si>
  <si>
    <t>Art thou fearless in all thing?</t>
  </si>
  <si>
    <t>Boastful fool!</t>
  </si>
  <si>
    <t>Danger is real!</t>
  </si>
  <si>
    <t>A gallant fighter.</t>
  </si>
  <si>
    <t>I quest.</t>
  </si>
  <si>
    <t>Excellent!</t>
  </si>
  <si>
    <t>Many quests are very dangerous!</t>
  </si>
  <si>
    <t>I am not afraid of tomorrow; I have seen yesterday and I love today.</t>
  </si>
  <si>
    <t>Ankh of Spirituality</t>
  </si>
  <si>
    <t>the Ankh of Spirituality</t>
  </si>
  <si>
    <t>Hast thou found the shrine?</t>
  </si>
  <si>
    <t>Enter the gate of full moons!</t>
  </si>
  <si>
    <t>A silver ankh.</t>
  </si>
  <si>
    <t>I keep the secret of the rune.</t>
  </si>
  <si>
    <t>Strong.</t>
  </si>
  <si>
    <t>Mantra?</t>
  </si>
  <si>
    <t>OM</t>
  </si>
  <si>
    <t>Search for the rune of spirituality in the treasure chamber of Britannia!</t>
  </si>
  <si>
    <t>Ambule</t>
  </si>
  <si>
    <t>Wilt thou please give me a gold piece?</t>
  </si>
  <si>
    <t>Dear kind soul.</t>
  </si>
  <si>
    <t>Stingy, I know thou hast many!</t>
  </si>
  <si>
    <t>A grimy beggar.</t>
  </si>
  <si>
    <t>I beg for but for a single gold piece!</t>
  </si>
  <si>
    <t>So-so.</t>
  </si>
  <si>
    <t>Oh, please... Oh, please...</t>
  </si>
  <si>
    <t>Barren</t>
  </si>
  <si>
    <t>I know it well, it is ’OM’.</t>
  </si>
  <si>
    <t>Isaac</t>
  </si>
  <si>
    <t>Hope!</t>
  </si>
  <si>
    <t>A ghostly figure</t>
  </si>
  <si>
    <t>I haunt this inn!</t>
  </si>
  <si>
    <t>I am many years dead.</t>
  </si>
  <si>
    <t>HAUN</t>
  </si>
  <si>
    <t>The quest is not complete!</t>
  </si>
  <si>
    <t>The white stone sits atop the Serpent’s Spine. It can only be reached by one who floats within the clouds.</t>
  </si>
  <si>
    <t>Magincia</t>
  </si>
  <si>
    <t>Katrina</t>
  </si>
  <si>
    <t>Thy efforts are meaningless.</t>
  </si>
  <si>
    <t>Humility is the virtue that must overcome pride!</t>
  </si>
  <si>
    <t>A shepherd.</t>
  </si>
  <si>
    <t>A survivor.</t>
  </si>
  <si>
    <t>SURV</t>
  </si>
  <si>
    <t>Magincia was destroyed by its pride.</t>
  </si>
  <si>
    <t>Pride flourishes in the absence of truth, love and courage.</t>
  </si>
  <si>
    <t>Ghostly</t>
  </si>
  <si>
    <t>A shadowy ghost.</t>
  </si>
  <si>
    <t>I haunt Magincia</t>
  </si>
  <si>
    <t>Undead in search of peace.</t>
  </si>
  <si>
    <t>Peace I can never find, forever banished unto the realm of earthbound spirits.</t>
  </si>
  <si>
    <t>Be not proud of thy little deeds lest ye too fall from the light!</t>
  </si>
  <si>
    <t>Skullface</t>
  </si>
  <si>
    <t>Thou hast heard of us of course, yes?</t>
  </si>
  <si>
    <t>I thought so.</t>
  </si>
  <si>
    <t>You must not be from near these parts!</t>
  </si>
  <si>
    <t>A jabbering skeleton.</t>
  </si>
  <si>
    <t>I am a nobleman of great birth.</t>
  </si>
  <si>
    <t>Most superb.</t>
  </si>
  <si>
    <t>Casperin</t>
  </si>
  <si>
    <t>Know thee why?</t>
  </si>
  <si>
    <t>Pride is the surest measure of goals never attained!</t>
  </si>
  <si>
    <t>Pride!</t>
  </si>
  <si>
    <t>A small ghost.</t>
  </si>
  <si>
    <t>To haunt this shop.</t>
  </si>
  <si>
    <t>Feeling a bit translucent.</t>
  </si>
  <si>
    <t>A lot of haunting goes on round here.</t>
  </si>
  <si>
    <t>Seek ye the mantra for humility, ask ye Heywood!</t>
  </si>
  <si>
    <t>Faultless</t>
  </si>
  <si>
    <t>A grave sin!</t>
  </si>
  <si>
    <t>Pride is evil’s favorite sin!</t>
  </si>
  <si>
    <t>A tall ghost.</t>
  </si>
  <si>
    <t>Oh, I just hang around!</t>
  </si>
  <si>
    <t>HANG</t>
  </si>
  <si>
    <t>I was hung for my sin of pride!</t>
  </si>
  <si>
    <t>The mantra for pride, being the antithesis of humility, is ’MUL’.</t>
  </si>
  <si>
    <t>Heywood</t>
  </si>
  <si>
    <t>Thou shalt find shame!</t>
  </si>
  <si>
    <t>A proud soul surely knows not its worth!</t>
  </si>
  <si>
    <t>Haunt eternally.</t>
  </si>
  <si>
    <t>As well as can be expected.</t>
  </si>
  <si>
    <t>Pride goeth before, shame cometh after!</t>
  </si>
  <si>
    <t>Faultless knows the mantra of pride ask him!</t>
  </si>
  <si>
    <t>Slim</t>
  </si>
  <si>
    <t>Art thou always humble?</t>
  </si>
  <si>
    <t>Take no pride in humility, lest ye destroy it!</t>
  </si>
  <si>
    <t>A skinny skeleton.</t>
  </si>
  <si>
    <t>I rattle my bones.</t>
  </si>
  <si>
    <t>A bit on the thin side.</t>
  </si>
  <si>
    <t>BONE</t>
  </si>
  <si>
    <t>I did value myself far too greatly, that pride was my downfall.</t>
  </si>
  <si>
    <t>A terrible thing!</t>
  </si>
  <si>
    <t>Banter</t>
  </si>
  <si>
    <t>Seek ye the horn?</t>
  </si>
  <si>
    <t>Ask Demitry!</t>
  </si>
  <si>
    <t>A crumbling skeleton.</t>
  </si>
  <si>
    <t>I once held the silver horn.</t>
  </si>
  <si>
    <t>A bit bony.</t>
  </si>
  <si>
    <t>The silver horn must be used to pass the daemon guard of the shrine.</t>
  </si>
  <si>
    <t>Wierdrum has been to the shrine of humility!</t>
  </si>
  <si>
    <t>Demitry</t>
  </si>
  <si>
    <t>Art thou dead?</t>
  </si>
  <si>
    <t>Ah, too bad!</t>
  </si>
  <si>
    <t>Watch out for Nate!</t>
  </si>
  <si>
    <t>A thin skeleton.</t>
  </si>
  <si>
    <t>’bout the same as yesterday.</t>
  </si>
  <si>
    <t>Bones, them bones, them dry bones...</t>
  </si>
  <si>
    <t>The queen of love has a lady in waiting, she can tell thee more of the horn!</t>
  </si>
  <si>
    <t>Wierdrum</t>
  </si>
  <si>
    <t>Rattling bones.</t>
  </si>
  <si>
    <t>I haunt, and I haunt, and I haunt!</t>
  </si>
  <si>
    <t>Haunted.</t>
  </si>
  <si>
    <t>A haunting job takes more than a lifetime, it takes forever!</t>
  </si>
  <si>
    <t>Yes, I have been to the shrine, it lies on the north bank in the isle of the abyss!</t>
  </si>
  <si>
    <t>Boozer</t>
  </si>
  <si>
    <t>Dost thou see?</t>
  </si>
  <si>
    <t>The world goes on without me.</t>
  </si>
  <si>
    <t>A dumpy ghost.</t>
  </si>
  <si>
    <t>I was once a powerful merchant!</t>
  </si>
  <si>
    <t>Hic...</t>
  </si>
  <si>
    <t>MERC</t>
  </si>
  <si>
    <t>My wealth was boundless, I held great power!</t>
  </si>
  <si>
    <t>POWE</t>
  </si>
  <si>
    <t>A proud soul surely knows not it’s worth!</t>
  </si>
  <si>
    <t>Bulbous</t>
  </si>
  <si>
    <t>Can I interest thee in some rations?</t>
  </si>
  <si>
    <t>Hmmm, our stock seems to have spoiled....</t>
  </si>
  <si>
    <t>I sell only the very best.</t>
  </si>
  <si>
    <t>A fat skeleton.</t>
  </si>
  <si>
    <t>I run this shop.</t>
  </si>
  <si>
    <t>Couldn’t be better.</t>
  </si>
  <si>
    <t>SHOP</t>
  </si>
  <si>
    <t>Why, the food shop of course.</t>
  </si>
  <si>
    <t>SPOI</t>
  </si>
  <si>
    <t>Well, we’re expecting more any day!</t>
  </si>
  <si>
    <t>Splot</t>
  </si>
  <si>
    <t>Dost thou seek purity?</t>
  </si>
  <si>
    <t>Then ask the snake of the rune and stone!</t>
  </si>
  <si>
    <t>A weeping skeleton.</t>
  </si>
  <si>
    <t>I regret.</t>
  </si>
  <si>
    <t>REGR</t>
  </si>
  <si>
    <t>I was proud, strip thyself of conceits, only the humble are pure!</t>
  </si>
  <si>
    <t>The root from which all virtues grow!</t>
  </si>
  <si>
    <t>Ruskin</t>
  </si>
  <si>
    <t>Dost thou seek to know humility?</t>
  </si>
  <si>
    <t>Thou shalt need the rune!</t>
  </si>
  <si>
    <t>A blue ghost.</t>
  </si>
  <si>
    <t>I now try to understand humility.</t>
  </si>
  <si>
    <t>Not well.</t>
  </si>
  <si>
    <t>The first test of a great soul is humility!</t>
  </si>
  <si>
    <t>Ask the snake of the rune, just before it strikes!</t>
  </si>
  <si>
    <t>Nate the Snake</t>
  </si>
  <si>
    <t>Nate</t>
  </si>
  <si>
    <t>A mean looking viper!</t>
  </si>
  <si>
    <t>I bring death to all life in Magincia!</t>
  </si>
  <si>
    <t>Bloodthirsty!</t>
  </si>
  <si>
    <t>Those who seek the black stone need ask at the pub in Britain!</t>
  </si>
  <si>
    <t>The sacred rune of humility was banished from this city. Ask Barren in Paws!</t>
  </si>
  <si>
    <t>Virtuebane</t>
  </si>
  <si>
    <t>Ah.</t>
  </si>
  <si>
    <t>A horrible ghastly devil!</t>
  </si>
  <si>
    <t>I welcome thee to Magincia! Proud city of the high seas!</t>
  </si>
  <si>
    <t>Devilish!</t>
  </si>
  <si>
    <t>Magincia fell unto the realm of darkness for the foundation of their virtue was ill-placed in pride!</t>
  </si>
  <si>
    <t>Villages</t>
  </si>
  <si>
    <t>Paws</t>
  </si>
  <si>
    <t>Wilmoore</t>
  </si>
  <si>
    <t>Dost thou mean to cause trouble?</t>
  </si>
  <si>
    <t>Then thou had best leave!</t>
  </si>
  <si>
    <t>I am the chief guard in the village of Paws!</t>
  </si>
  <si>
    <t>Paws is a great village and we keep it safe!</t>
  </si>
  <si>
    <t>TROU</t>
  </si>
  <si>
    <t>Pirates come from an isle to the east!</t>
  </si>
  <si>
    <t>Francesca</t>
  </si>
  <si>
    <t>Ya haven’t come to steal a horse I hope?</t>
  </si>
  <si>
    <t>Well the master ain’t gonna like that much!</t>
  </si>
  <si>
    <t>Then must be to see Smith!</t>
  </si>
  <si>
    <t>A tough girl.</t>
  </si>
  <si>
    <t>I am the stable hand.</t>
  </si>
  <si>
    <t>Right good.</t>
  </si>
  <si>
    <t>STAB</t>
  </si>
  <si>
    <t>I saw the way ya dealt with ol’ Red Eye!</t>
  </si>
  <si>
    <t>SMIT</t>
  </si>
  <si>
    <t>The talking horse!</t>
  </si>
  <si>
    <t>Sven</t>
  </si>
  <si>
    <t>Art ya a lumberjack?</t>
  </si>
  <si>
    <t>Good for you, ya.</t>
  </si>
  <si>
    <t>Build up those arms, ya!</t>
  </si>
  <si>
    <t>A tall burly man.</t>
  </si>
  <si>
    <t>I’m a lumberjack, ya.</t>
  </si>
  <si>
    <t>LUMB</t>
  </si>
  <si>
    <t>Wit’ my axe, I can chop’m down quick, ya.</t>
  </si>
  <si>
    <t>AXE</t>
  </si>
  <si>
    <t>It’s a big axe, ya.</t>
  </si>
  <si>
    <t>Zair the Wise</t>
  </si>
  <si>
    <t>Seen it?</t>
  </si>
  <si>
    <t>A man of many years.</t>
  </si>
  <si>
    <t>I’ve been near the codex!</t>
  </si>
  <si>
    <t>Its secrets are boundless!</t>
  </si>
  <si>
    <t>A three part key and a word of passage are needed to enter the chamber. Ask my brother beyond Lock Lake of the word!</t>
  </si>
  <si>
    <t>Sal</t>
  </si>
  <si>
    <t>Dost thou favor Folley?</t>
  </si>
  <si>
    <t>A great mug if I may say so!</t>
  </si>
  <si>
    <t>Too bad, it’s the best!</t>
  </si>
  <si>
    <t>A very large woman.</t>
  </si>
  <si>
    <t>I am the barmaid I serve the ale!</t>
  </si>
  <si>
    <t>Stronger every day!</t>
  </si>
  <si>
    <t>ALE</t>
  </si>
  <si>
    <t>We have the finest brew in Britannia!</t>
  </si>
  <si>
    <t>BREW</t>
  </si>
  <si>
    <t>We serve only Folley on tap!</t>
  </si>
  <si>
    <t>Jingles</t>
  </si>
  <si>
    <t>He lives in a hidden village in Lock Lake reachable only by ship, ask of the gate spell!</t>
  </si>
  <si>
    <t>A young mage!</t>
  </si>
  <si>
    <t>I seek the wisdom of magic.</t>
  </si>
  <si>
    <t>My master knows the gate travel spell!</t>
  </si>
  <si>
    <t>MAST</t>
  </si>
  <si>
    <t>My master is Mentorian.</t>
  </si>
  <si>
    <t>Sir Hobie</t>
  </si>
  <si>
    <t>’tis thy quest also?</t>
  </si>
  <si>
    <t>We are as one.</t>
  </si>
  <si>
    <t>A shame it is!</t>
  </si>
  <si>
    <t>A tall muscular knight.</t>
  </si>
  <si>
    <t>I serve Lord British.</t>
  </si>
  <si>
    <t>Tired and hungry but always faithful.</t>
  </si>
  <si>
    <t>FAIT</t>
  </si>
  <si>
    <t>I quest always for Britannia!</t>
  </si>
  <si>
    <t>My quest is to defeat the evils of the world.</t>
  </si>
  <si>
    <t>Damsel</t>
  </si>
  <si>
    <t>Dost thou travel in the depths?</t>
  </si>
  <si>
    <t>In the great castle there is a secret entrance!</t>
  </si>
  <si>
    <t>Probably a wimp.</t>
  </si>
  <si>
    <t>A small druid.</t>
  </si>
  <si>
    <t>I am here to buy food.</t>
  </si>
  <si>
    <t>A bit hungry.</t>
  </si>
  <si>
    <t>Yes, I hear they have the best rations here.</t>
  </si>
  <si>
    <t>RATI</t>
  </si>
  <si>
    <t>Rations are used in dungeons.</t>
  </si>
  <si>
    <t>Wheatpin</t>
  </si>
  <si>
    <t>Art thou looking for something?</t>
  </si>
  <si>
    <t>I just sit here.</t>
  </si>
  <si>
    <t>Around there in the nook of the mountains!</t>
  </si>
  <si>
    <t>Art thou dim?</t>
  </si>
  <si>
    <t>We shall see.</t>
  </si>
  <si>
    <t>A hooded ranger.</t>
  </si>
  <si>
    <t>I travel the land.</t>
  </si>
  <si>
    <t>LAND</t>
  </si>
  <si>
    <t>Search the hills in the south-east corner of town!</t>
  </si>
  <si>
    <t>Pix</t>
  </si>
  <si>
    <t>A small girl.</t>
  </si>
  <si>
    <t>What’s a job?</t>
  </si>
  <si>
    <t>Sir Simon</t>
  </si>
  <si>
    <t>Hast thou attained enlightenment in all eight virtues?</t>
  </si>
  <si>
    <t>The mystic armour lies in the center of the oak grove!</t>
  </si>
  <si>
    <t>A wise lord.</t>
  </si>
  <si>
    <t>I am the keeper.</t>
  </si>
  <si>
    <t>KEEP</t>
  </si>
  <si>
    <t>Of what I cannot say!</t>
  </si>
  <si>
    <t>Mystics can be found by an eight parts avatar!</t>
  </si>
  <si>
    <t>Lady Tessa</t>
  </si>
  <si>
    <t>The mystic weapons lie in the training room of Serpent castle!</t>
  </si>
  <si>
    <t>A wise lady.</t>
  </si>
  <si>
    <t>I cannot say.</t>
  </si>
  <si>
    <t>Asemly</t>
  </si>
  <si>
    <t>Does that interest thee?</t>
  </si>
  <si>
    <t>Well then, I guess I’m no help at all then.</t>
  </si>
  <si>
    <t>A short jester.</t>
  </si>
  <si>
    <t>I am here to serve thee.</t>
  </si>
  <si>
    <t>Jolly good.</t>
  </si>
  <si>
    <t>SERV</t>
  </si>
  <si>
    <t>Well, I can dance and sing!</t>
  </si>
  <si>
    <t>And sing, tra la la...</t>
  </si>
  <si>
    <t>Little Jon</t>
  </si>
  <si>
    <t>I hear that thou art from another world?</t>
  </si>
  <si>
    <t>What is it called?</t>
  </si>
  <si>
    <t>Just a rumor.</t>
  </si>
  <si>
    <t>A singing bard.</t>
  </si>
  <si>
    <t>I sing of Britannia.</t>
  </si>
  <si>
    <t>Quite well indeed!</t>
  </si>
  <si>
    <t>Britannia is a land so fair, to other lands I would not dare!</t>
  </si>
  <si>
    <t>EART</t>
  </si>
  <si>
    <t>I hope someday thou may return!</t>
  </si>
  <si>
    <t>Smith the Horse</t>
  </si>
  <si>
    <t>Smith</t>
  </si>
  <si>
    <t>A white stallion</t>
  </si>
  <si>
    <t>Good, good.</t>
  </si>
  <si>
    <t>Vesper</t>
  </si>
  <si>
    <t>Twin Gates</t>
  </si>
  <si>
    <t>Hast thou come a long way?</t>
  </si>
  <si>
    <t>We are honored by the visit of one on the quest!</t>
  </si>
  <si>
    <t>We welcome thee to Vesper.</t>
  </si>
  <si>
    <t>VESP</t>
  </si>
  <si>
    <t>Yes, Vesper is a fair village.</t>
  </si>
  <si>
    <t>Welcome, unto Vesper!</t>
  </si>
  <si>
    <t>Ug, thee tough?</t>
  </si>
  <si>
    <t>Ug, thee tough!</t>
  </si>
  <si>
    <t>Ug, me tough!</t>
  </si>
  <si>
    <t>A hulk.</t>
  </si>
  <si>
    <t>TOUG</t>
  </si>
  <si>
    <t>UG</t>
  </si>
  <si>
    <t>Me tough!</t>
  </si>
  <si>
    <t>Servile</t>
  </si>
  <si>
    <t>Hast thou heard of it?</t>
  </si>
  <si>
    <t>It is an evil artifact!</t>
  </si>
  <si>
    <t>I can help thee!</t>
  </si>
  <si>
    <t>Well for now.</t>
  </si>
  <si>
    <t>I know of the skull of Mondain the Wizard!</t>
  </si>
  <si>
    <t>To use it for any reason is a sign of great evil, and no virtue!</t>
  </si>
  <si>
    <t>Traveling Dan</t>
  </si>
  <si>
    <t>Been to the guild shop?</t>
  </si>
  <si>
    <t>Great selection!</t>
  </si>
  <si>
    <t>Best prices!</t>
  </si>
  <si>
    <t>Short rotund man with a hat and vest.</t>
  </si>
  <si>
    <t>Traveling dan, the tinker man.</t>
  </si>
  <si>
    <t>I am fine, thank thee.</t>
  </si>
  <si>
    <t>TINK</t>
  </si>
  <si>
    <t>I am here to repair goods at the guild shop.</t>
  </si>
  <si>
    <t>TRAV</t>
  </si>
  <si>
    <t>I know the world is round!</t>
  </si>
  <si>
    <t>Balthasar</t>
  </si>
  <si>
    <t>Dost thou have a master?</t>
  </si>
  <si>
    <t>I hope he or she is a kind one!</t>
  </si>
  <si>
    <t>Thou art lucky indeed!</t>
  </si>
  <si>
    <t>A sturdy peasant.</t>
  </si>
  <si>
    <t>I am a serf.</t>
  </si>
  <si>
    <t>I’m pooped.</t>
  </si>
  <si>
    <t>SERF</t>
  </si>
  <si>
    <t>Serfs work hard for little pay!</t>
  </si>
  <si>
    <t>WORK</t>
  </si>
  <si>
    <t>I work the fields for my master!</t>
  </si>
  <si>
    <t>Plain</t>
  </si>
  <si>
    <t>I seek humility.</t>
  </si>
  <si>
    <t>When the 3 principles of virtue combine in eight ways pride has no virtue!</t>
  </si>
  <si>
    <t>To be proud is not a virtue, and so Magincia was destroyed! Humility is the virtue that remains!</t>
  </si>
  <si>
    <t>Simple</t>
  </si>
  <si>
    <t>Know the isle?</t>
  </si>
  <si>
    <t>Southeast of Britannia!</t>
  </si>
  <si>
    <t>A slender shepherdess.</t>
  </si>
  <si>
    <t>I seek the shrine.</t>
  </si>
  <si>
    <t>The shrine of humility!</t>
  </si>
  <si>
    <t>The shrine lies on the north bank of the isle of the abyss and is guarded by endless hoards of daemons!</t>
  </si>
  <si>
    <t>Gem</t>
  </si>
  <si>
    <t>Know ye the mantra of pride?</t>
  </si>
  <si>
    <t>Then reverse it for humility!</t>
  </si>
  <si>
    <t>When thou dost, reverse it!</t>
  </si>
  <si>
    <t>A fair woman.</t>
  </si>
  <si>
    <t>I do humble works.</t>
  </si>
  <si>
    <t>I am doing well.</t>
  </si>
  <si>
    <t>I can help thee with the mantra!</t>
  </si>
  <si>
    <t>Since humility is the opposite of pride, so is its mantra!</t>
  </si>
  <si>
    <t>Joseph</t>
  </si>
  <si>
    <t>Did thou know that there is no shrine of pride?</t>
  </si>
  <si>
    <t>Pride is not a virtue of the avatar!</t>
  </si>
  <si>
    <t>I am but a humble shepherd.</t>
  </si>
  <si>
    <t>SHEP</t>
  </si>
  <si>
    <t>I am on a pilgrimage unto the shrine of humility!</t>
  </si>
  <si>
    <t>It is on the dark island!</t>
  </si>
  <si>
    <t>Friday</t>
  </si>
  <si>
    <t>Dost thou intend to take it?</t>
  </si>
  <si>
    <t>That would not reflect well upon thy virtues!</t>
  </si>
  <si>
    <t>A beautiful and impressive guard.</t>
  </si>
  <si>
    <t>I shall warn thee against taking this gold!</t>
  </si>
  <si>
    <t>I am well enough!</t>
  </si>
  <si>
    <t>GOLD</t>
  </si>
  <si>
    <t>It is not thine!</t>
  </si>
  <si>
    <t>Randal</t>
  </si>
  <si>
    <t>Dost thou visit them often?</t>
  </si>
  <si>
    <t>Make that the first goal along thy path to avatarhood!</t>
  </si>
  <si>
    <t>I teach of the shrines.</t>
  </si>
  <si>
    <t>One &gt;must&lt; visit each shrine for 1, 2 &amp; 3 cycles each for thy paths to be clear!</t>
  </si>
  <si>
    <t>Dirgen</t>
  </si>
  <si>
    <t>Thou shalt surely stray from the path!</t>
  </si>
  <si>
    <t>A wise man.</t>
  </si>
  <si>
    <t>I give wise counsel.</t>
  </si>
  <si>
    <t>Strive ye to know and develop the virtue within thee.</t>
  </si>
  <si>
    <t>The Seer Hawkwind should be consulted &gt;often&lt; for he can see within thee!</t>
  </si>
  <si>
    <t>Shazbot</t>
  </si>
  <si>
    <t>Don’t thou?</t>
  </si>
  <si>
    <t>Well good, I try to be!</t>
  </si>
  <si>
    <t>Ah, too bad, I thought I was.</t>
  </si>
  <si>
    <t>A funny jester.</t>
  </si>
  <si>
    <t>Thou thinks I’m funny!</t>
  </si>
  <si>
    <t>I’ve a slight tickle!</t>
  </si>
  <si>
    <t>FUNN</t>
  </si>
  <si>
    <t>I dare thee to ask me about Nate the snake!</t>
  </si>
  <si>
    <t>NATE</t>
  </si>
  <si>
    <t>Well, it’s a long story and we haven’t the time.</t>
  </si>
  <si>
    <t>Flatbush</t>
  </si>
  <si>
    <t>Hast thou been to Yew?</t>
  </si>
  <si>
    <t>Calumny knows the quickness spell!</t>
  </si>
  <si>
    <t>Calumny knows the quickness spell! Seek him out!</t>
  </si>
  <si>
    <t>A slender youth.</t>
  </si>
  <si>
    <t>I am an apprentice mage!</t>
  </si>
  <si>
    <t>I am very powerful!</t>
  </si>
  <si>
    <t>MAGE</t>
  </si>
  <si>
    <t>I am the Calumny’s favorite!</t>
  </si>
  <si>
    <t>CALU</t>
  </si>
  <si>
    <t>He lives in Yew!</t>
  </si>
  <si>
    <t>Corkrin</t>
  </si>
  <si>
    <t>Dost thou do this?</t>
  </si>
  <si>
    <t>Thou must or thou may stray!</t>
  </si>
  <si>
    <t>I travel these fair lands to spread the virtues!</t>
  </si>
  <si>
    <t>I am fully healed!</t>
  </si>
  <si>
    <t>To know thy progress on the paths of virtue one &gt;must&lt; visit the Seer Hawkwind often!</t>
  </si>
  <si>
    <t>Dyka</t>
  </si>
  <si>
    <t>Art thou a thief?</t>
  </si>
  <si>
    <t>Watch out for the bull in the corral!</t>
  </si>
  <si>
    <t>Likely, thou art a wimp!</t>
  </si>
  <si>
    <t>A tall nimble man.</t>
  </si>
  <si>
    <t>I am a thief, I like to borrow!</t>
  </si>
  <si>
    <t>I am very well!</t>
  </si>
  <si>
    <t>BORR</t>
  </si>
  <si>
    <t>My favorite things to borrow are horses!</t>
  </si>
  <si>
    <t>HORS</t>
  </si>
  <si>
    <t>You can steal horses in the townwe Paws!</t>
  </si>
  <si>
    <t>Buccaneer’s Den</t>
  </si>
  <si>
    <t>Roofus</t>
  </si>
  <si>
    <t>Art thou a wise &amp;##!?</t>
  </si>
  <si>
    <t>Thou had best ditch it then!</t>
  </si>
  <si>
    <t>Then just buzz off!</t>
  </si>
  <si>
    <t>A mean looking guard.</t>
  </si>
  <si>
    <t>We guard the bridge slime!</t>
  </si>
  <si>
    <t>What’s it to ya scumpuppy!</t>
  </si>
  <si>
    <t>This bridge ya stupid jerk!</t>
  </si>
  <si>
    <t>Rankbreath</t>
  </si>
  <si>
    <t>Art thou here to feed me?</t>
  </si>
  <si>
    <t>I am grateful.</t>
  </si>
  <si>
    <t>Then thou had better run!!!</t>
  </si>
  <si>
    <t>A tall, muscular, impressive guard.</t>
  </si>
  <si>
    <t>I am a guard.</t>
  </si>
  <si>
    <t>Very hungry!</t>
  </si>
  <si>
    <t>I guard the city!</t>
  </si>
  <si>
    <t>Yes, I am very hungry!</t>
  </si>
  <si>
    <t>Sailor</t>
  </si>
  <si>
    <t>The rest?</t>
  </si>
  <si>
    <t>And never ever ever do I worry ’bout the weather, for the weather never ever did a thing for me!</t>
  </si>
  <si>
    <t>A scruffy sailor</t>
  </si>
  <si>
    <t>I am a sailor!</t>
  </si>
  <si>
    <t>Salty.</t>
  </si>
  <si>
    <t>SAIL</t>
  </si>
  <si>
    <t>Oh, a sailor’s life is the life for me,</t>
  </si>
  <si>
    <t>As I sail across the bounding sea!</t>
  </si>
  <si>
    <t>Silver John</t>
  </si>
  <si>
    <t>Art thou a pirate?</t>
  </si>
  <si>
    <t>Good matey!</t>
  </si>
  <si>
    <t>Thou had best leave this place ’fore there’s any trouble!</t>
  </si>
  <si>
    <t>A tall sailor.</t>
  </si>
  <si>
    <t>I’m a pirate matey!</t>
  </si>
  <si>
    <t>Good enough, eh!</t>
  </si>
  <si>
    <t>PIRA</t>
  </si>
  <si>
    <t>We raid the coasts of Britannia, fun eh!</t>
  </si>
  <si>
    <t>RAID</t>
  </si>
  <si>
    <t>Pillage and burn!</t>
  </si>
  <si>
    <t>Slysam</t>
  </si>
  <si>
    <t>Oh, I’d better watch out!</t>
  </si>
  <si>
    <t>Just as I thought</t>
  </si>
  <si>
    <t>A nimble thief.</t>
  </si>
  <si>
    <t>What’s it to thee?</t>
  </si>
  <si>
    <t>As good as I need be!</t>
  </si>
  <si>
    <t>THIE</t>
  </si>
  <si>
    <t>Yea, and clever too.</t>
  </si>
  <si>
    <t>CLEV</t>
  </si>
  <si>
    <t>Thou dost ask too many questions!</t>
  </si>
  <si>
    <t>Ragnar</t>
  </si>
  <si>
    <t>Art thou here looking for information?</t>
  </si>
  <si>
    <t>On what?</t>
  </si>
  <si>
    <t>Then buzz off.</t>
  </si>
  <si>
    <t>I travel.</t>
  </si>
  <si>
    <t>The lands of Britannia.</t>
  </si>
  <si>
    <t>Be warned that if thou dost ever use the skull, except to destroy it, all thy virtues will be lost!</t>
  </si>
  <si>
    <t>Seanna</t>
  </si>
  <si>
    <t>My dear friend, may I help you?</t>
  </si>
  <si>
    <t>How about with thy magic?</t>
  </si>
  <si>
    <t>Ah</t>
  </si>
  <si>
    <t>A slinky mage.</t>
  </si>
  <si>
    <t>I am a sorceress.</t>
  </si>
  <si>
    <t>How about the sleep spell... sleep... sleep....</t>
  </si>
  <si>
    <t>SLEE</t>
  </si>
  <si>
    <t>A sleep spell requires but one part silk! sleep... sleep... sleep...</t>
  </si>
  <si>
    <t>Jeremy James Scirlock</t>
  </si>
  <si>
    <t>Dost thou seek a special dungeon?</t>
  </si>
  <si>
    <t>I cannot help thee.</t>
  </si>
  <si>
    <t>A sneaky thief!</t>
  </si>
  <si>
    <t>At thy service!</t>
  </si>
  <si>
    <t>Very well!</t>
  </si>
  <si>
    <t>How about information?</t>
  </si>
  <si>
    <t>HYTH</t>
  </si>
  <si>
    <t>The dungeon Hythloth can only be reached by a secret entrance in the great castle.</t>
  </si>
  <si>
    <t>Starlight</t>
  </si>
  <si>
    <t>Thou should try my mix of reagents!</t>
  </si>
  <si>
    <t>A mage dressed all in black.</t>
  </si>
  <si>
    <t>I use black magic!</t>
  </si>
  <si>
    <t>Dark indeed.</t>
  </si>
  <si>
    <t>I cast powerful magic missile spells.</t>
  </si>
  <si>
    <t>MIX</t>
  </si>
  <si>
    <t>Try one black pearl and one part sulfurous ash!</t>
  </si>
  <si>
    <t>Brigant</t>
  </si>
  <si>
    <t>Did thou hear me?</t>
  </si>
  <si>
    <t>Then do it!</t>
  </si>
  <si>
    <t>I said shove it!</t>
  </si>
  <si>
    <t>A big fat troll.</t>
  </si>
  <si>
    <t>Aw, buzz off!</t>
  </si>
  <si>
    <t>Shove it!</t>
  </si>
  <si>
    <t>IT</t>
  </si>
  <si>
    <t>Thy face! A        A</t>
  </si>
  <si>
    <t>Boris</t>
  </si>
  <si>
    <t>Dost thou need such an item?</t>
  </si>
  <si>
    <t>I just gave the guild shop a new supply!</t>
  </si>
  <si>
    <t>Ah well, maybe next time.</t>
  </si>
  <si>
    <t>An ugly orc!</t>
  </si>
  <si>
    <t>I smuggle black market items.</t>
  </si>
  <si>
    <t>Good’n smelly.</t>
  </si>
  <si>
    <t>ITEM</t>
  </si>
  <si>
    <t>Magic keys, magic gems, that sort of thing.</t>
  </si>
  <si>
    <t>Ignap</t>
  </si>
  <si>
    <t>Shalt thou go on?</t>
  </si>
  <si>
    <t>Evil shall consume thee!</t>
  </si>
  <si>
    <t>Wise decision!</t>
  </si>
  <si>
    <t>A towering wizard.</t>
  </si>
  <si>
    <t>I must warn thee!</t>
  </si>
  <si>
    <t>To step into those woods will seal thy doom!</t>
  </si>
  <si>
    <t>DOOM</t>
  </si>
  <si>
    <t>In there lies the dark side, enter not!</t>
  </si>
  <si>
    <t>Green Beard</t>
  </si>
  <si>
    <t>Know where to buy mystic armour?</t>
  </si>
  <si>
    <t>Where?</t>
  </si>
  <si>
    <t>Wish I did!</t>
  </si>
  <si>
    <t>A tall pirate with a green beard!</t>
  </si>
  <si>
    <t>I’m buying armour for my crew!</t>
  </si>
  <si>
    <t>Jolly good mate!</t>
  </si>
  <si>
    <t>I hope to get some magical plate!</t>
  </si>
  <si>
    <t>Marsor</t>
  </si>
  <si>
    <t>Dost thou like wine?</t>
  </si>
  <si>
    <t>Ah, then join me in a glass!</t>
  </si>
  <si>
    <t>Don’t know what thou art missing!</t>
  </si>
  <si>
    <t>A plump merchant</t>
  </si>
  <si>
    <t>I sell wine!</t>
  </si>
  <si>
    <t>WINE</t>
  </si>
  <si>
    <t>I have some good vintages.</t>
  </si>
  <si>
    <t>VINT</t>
  </si>
  <si>
    <t>I own my own vineyards, they are on an isle northeast of here!</t>
  </si>
  <si>
    <t>Dancek</t>
  </si>
  <si>
    <t>Dost thou own a ship!</t>
  </si>
  <si>
    <t>Good odds I built the cannons!</t>
  </si>
  <si>
    <t>Thou really should get one!</t>
  </si>
  <si>
    <t>A jolly old soul.</t>
  </si>
  <si>
    <t>I am a tinker by trade.</t>
  </si>
  <si>
    <t>Jolly good, thanks.</t>
  </si>
  <si>
    <t>I create projectile machinery.</t>
  </si>
  <si>
    <t>MACH</t>
  </si>
  <si>
    <t>Primarily ship cannons!</t>
  </si>
  <si>
    <t>Sniflet</t>
  </si>
  <si>
    <t>Wilt thou promise to use it only to aid the powers of good?</t>
  </si>
  <si>
    <t>The lighter than air device that was stolen lies near the dungeon Hythloth!</t>
  </si>
  <si>
    <t>Oh, no.</t>
  </si>
  <si>
    <t>A cowering man.</t>
  </si>
  <si>
    <t>I am hiding.</t>
  </si>
  <si>
    <t>O.K. for now.</t>
  </si>
  <si>
    <t>HIDE</t>
  </si>
  <si>
    <t>I know something others want!</t>
  </si>
  <si>
    <t>SOME</t>
  </si>
  <si>
    <t>I... I...</t>
  </si>
  <si>
    <t>Cove</t>
  </si>
  <si>
    <t>Allen</t>
  </si>
  <si>
    <t>Hast thou such a vessel?</t>
  </si>
  <si>
    <t>Ask Blissful of the abyss.</t>
  </si>
  <si>
    <t>A small boy.</t>
  </si>
  <si>
    <t>I know how to enter the abyss!</t>
  </si>
  <si>
    <t>The abyss may only be approached by ship!</t>
  </si>
  <si>
    <t>The ship must have a magically strengthened hull!</t>
  </si>
  <si>
    <t>Frontis</t>
  </si>
  <si>
    <t>Visit our healers, I am sure they can help thee!</t>
  </si>
  <si>
    <t>Welcome to Cove, the hidden city of wisdom.</t>
  </si>
  <si>
    <t>Herein is found much wisdom and peace.</t>
  </si>
  <si>
    <t>Find peace in our shrine.</t>
  </si>
  <si>
    <t>Sloven</t>
  </si>
  <si>
    <t>Ask him!</t>
  </si>
  <si>
    <t>Stay at the inn until he shows himself!</t>
  </si>
  <si>
    <t>An old hermit.</t>
  </si>
  <si>
    <t>I am a recluse.</t>
  </si>
  <si>
    <t>RECL</t>
  </si>
  <si>
    <t>I have withdrawn from society.</t>
  </si>
  <si>
    <t>Only the ghost of Isaac who haunts the inn at Skara Brae can tell thee.</t>
  </si>
  <si>
    <t>Mentorian</t>
  </si>
  <si>
    <t>Dost thou disagree?</t>
  </si>
  <si>
    <t>Well then, begone!</t>
  </si>
  <si>
    <t>I study the magical arts.</t>
  </si>
  <si>
    <t>ARTS</t>
  </si>
  <si>
    <t>There is truth in magic!</t>
  </si>
  <si>
    <t>Since thou dost bear the ankh I shall tell thee. A gate spell requires ash, pearl, and mandrake root!</t>
  </si>
  <si>
    <t>Ankh</t>
  </si>
  <si>
    <t>the ankh</t>
  </si>
  <si>
    <t>Dost thou seek help?</t>
  </si>
  <si>
    <t>A shining ankh!</t>
  </si>
  <si>
    <t>I resonate with thoughts.</t>
  </si>
  <si>
    <t>To enter the codex chamber.</t>
  </si>
  <si>
    <t>CHAM</t>
  </si>
  <si>
    <t>One must be 8 parts avatar, have the key of 3 parts, the word of passage and know the pure axiom!</t>
  </si>
  <si>
    <t>Paul</t>
  </si>
  <si>
    <t>Wilt thou listen?</t>
  </si>
  <si>
    <t>About love.</t>
  </si>
  <si>
    <t>A strangely familiar bard.</t>
  </si>
  <si>
    <t>I play of love.</t>
  </si>
  <si>
    <t>I light a candle to our love, in love our problems disappear.</t>
  </si>
  <si>
    <t>PROB</t>
  </si>
  <si>
    <t>But all in all we soon discover that one and one is all we long to hear!</t>
  </si>
  <si>
    <t>Linda</t>
  </si>
  <si>
    <t>Teach them songs of joy!</t>
  </si>
  <si>
    <t>A singer.</t>
  </si>
  <si>
    <t>I sing of the children.</t>
  </si>
  <si>
    <t>All round the world, little children being born to the world.</t>
  </si>
  <si>
    <t>WORL</t>
  </si>
  <si>
    <t>Got to give them all we can ’til the quest is won, then will the work be done!</t>
  </si>
  <si>
    <t>Merlin</t>
  </si>
  <si>
    <t>Dost thou study magic?</t>
  </si>
  <si>
    <t>Best of luck with thy studies!</t>
  </si>
  <si>
    <t>A mystical wizard.</t>
  </si>
  <si>
    <t>I use magic.</t>
  </si>
  <si>
    <t>The black stone is caught in a moon gate!</t>
  </si>
  <si>
    <t>Stand where the gate of both moons dark shall appear. Search when the moons go dark!</t>
  </si>
  <si>
    <t>Draconian</t>
  </si>
  <si>
    <t>Knew ye this?</t>
  </si>
  <si>
    <t>Very good!</t>
  </si>
  <si>
    <t>Learn the towns and castles!</t>
  </si>
  <si>
    <t>An old druid.</t>
  </si>
  <si>
    <t>I teach the relation.</t>
  </si>
  <si>
    <t>RELA</t>
  </si>
  <si>
    <t>There are eight possible combinations of truth, love and courage. Each of the eight virtues is one of those combinations!</t>
  </si>
  <si>
    <t>Blissful</t>
  </si>
  <si>
    <t>A majestic seahorse!</t>
  </si>
  <si>
    <t>I know much of the codex!</t>
  </si>
  <si>
    <t>The shrine ankh knows how to enter the chamber of the codex!</t>
  </si>
  <si>
    <t>Meditate at the shrines of honesty, compassion and valor for 3 cycles to know how to enter!</t>
  </si>
  <si>
    <t>Rabindranath Tagore</t>
  </si>
  <si>
    <t>Dost thou seek to carry love in thy heart?</t>
  </si>
  <si>
    <t>Thou art a good soul.</t>
  </si>
  <si>
    <t>Thou art a fool.</t>
  </si>
  <si>
    <t>I speak of love.</t>
  </si>
  <si>
    <t>I am old but strong!</t>
  </si>
  <si>
    <t>In love, all life’s contradictions dissolve and disappear.</t>
  </si>
  <si>
    <t>Carry love within it!</t>
  </si>
  <si>
    <t>Brother Zair</t>
  </si>
  <si>
    <t>Agree?</t>
  </si>
  <si>
    <t>Indeed.</t>
  </si>
  <si>
    <t>I sit and watch the river.</t>
  </si>
  <si>
    <t>RIVE</t>
  </si>
  <si>
    <t>It flows endlessly.</t>
  </si>
  <si>
    <t>The kings of the castles which represent the three principles of virtue each know but one syllable of the word of passage!</t>
  </si>
  <si>
    <t>Spellbind</t>
  </si>
  <si>
    <t>A slender mage.</t>
  </si>
  <si>
    <t>I know of the codex.</t>
  </si>
  <si>
    <t>One must know the combination of the three principles of virtue!</t>
  </si>
  <si>
    <t>COMB</t>
  </si>
  <si>
    <t>The combination of the three principles of virtue equals the measure of time and space!</t>
  </si>
  <si>
    <t>Shaman</t>
  </si>
  <si>
    <t>I study the ’one’ thing that is the secret to the codex!</t>
  </si>
  <si>
    <t>STUD</t>
  </si>
  <si>
    <t>I study of the codex!</t>
  </si>
  <si>
    <t>The one pure axiom is more endless than the changing tides, more eternal than day and night!</t>
  </si>
  <si>
    <t>Charm</t>
  </si>
  <si>
    <t>Know ye what they are?</t>
  </si>
  <si>
    <t>The truths of the universe, the love of the heart, and the courage of the soul!</t>
  </si>
  <si>
    <t>A fair sorceress.</t>
  </si>
  <si>
    <t>I ponder the key to the axiom.</t>
  </si>
  <si>
    <t>KEY</t>
  </si>
  <si>
    <t>To the axiom.</t>
  </si>
  <si>
    <t>AXIO</t>
  </si>
  <si>
    <t>The 1 pure axiom encompasses all things.</t>
  </si>
  <si>
    <t>Circe</t>
  </si>
  <si>
    <t>I teach of the axiom!</t>
  </si>
  <si>
    <t>The whole of the axiom is greater than all its parts!</t>
  </si>
  <si>
    <t>PART</t>
  </si>
  <si>
    <t>The measure of unending love, the limitless courage needed to face all obstacles, the truth which encompasses all things!</t>
  </si>
  <si>
    <t>Bartender</t>
  </si>
  <si>
    <t>(intro)</t>
  </si>
  <si>
    <t>The bartender will give helpful advice if the Stranger overpays for ale.</t>
  </si>
  <si>
    <t>Black stone (20 gold)</t>
  </si>
  <si>
    <t>Ah, the Black Stone. Yes I’ve heard of it. But, the only one who knows where it lies is the wizard Merlin.</t>
  </si>
  <si>
    <t>Sextant (30 gold)</t>
  </si>
  <si>
    <t>For navigation a Sextant is vital... Ask for item "D" in the Guild shops!</t>
  </si>
  <si>
    <t>White stone (10 gold)</t>
  </si>
  <si>
    <t>Now let me see... Yes it was the old Hermit... Sloven! He is tough to find, lives near Lock Lake I hear.</t>
  </si>
  <si>
    <t>Mandrake (40 gold)</t>
  </si>
  <si>
    <t>The last person I knew that had any Mandrake was an old alchemist named Calumny.</t>
  </si>
  <si>
    <t>Skull (99 gold)</t>
  </si>
  <si>
    <t>If thou must know of that evilest of all things... find the beggar Jude. He is very very poor!</t>
  </si>
  <si>
    <t>Nightshade (25 gold)</t>
  </si>
  <si>
    <t>Of Nightshade I know but this... Seek out Virgil or thou shalt miss! Try in Trinsic!</t>
  </si>
  <si>
    <t>Earth</t>
  </si>
  <si>
    <t>The Gypsy</t>
  </si>
  <si>
    <t>The Gypsy gives ethical challenges, to which the Stranger responds by choosing between two Virtues.</t>
  </si>
  <si>
    <t>Honesty vs. Compassion</t>
  </si>
  <si>
    <t>Entrusted to deliver an uncounted purse of gold, thou dost meet a poor beggar. Dost thou A) deliver the gold knowing the Trust in thee was well-placed; or B) show Compassion, giving the Beggar a coin, knowing it won’t be missed?</t>
  </si>
  <si>
    <t>Honesty vs. Valor</t>
  </si>
  <si>
    <t>Thou hast been prohibited by thy absent Lord from joining thy friends in a close pitched battle. Dost thou A) refrain, so thou may Honestly claim obedience; or B) show Valor, and aid thy comrades, knowing thou may deny it later?</t>
  </si>
  <si>
    <t>Honesty vs. Justice</t>
  </si>
  <si>
    <t>A merchant owes thy friend money, now long past due. Thou dost see the same merchant drop a purse of gold. Dost thou A) Honestly return the purse intact; or B) Justly give thy friend a portion of the gold first?</t>
  </si>
  <si>
    <t>Honesty vs. Sacrifice</t>
  </si>
  <si>
    <t>Thee and thy friend are valiant but penniless warriors. Thou both go out to slay a mighty dragon. Thy friend thinks he slew it, thee did. When asked, dost thou A) Truthfully claim the gold; or B) Allow thy friend the large reward?</t>
  </si>
  <si>
    <t>Honesty vs. Honor</t>
  </si>
  <si>
    <t>Thou art sworn to protect thy Lord at any cost, yet thou knowest he hath committed a crime. Authorities ask thee of the affair, dost thou A) break thine oath by Honestly speaking; or B) uphold Honor by silently keeping thine oath?</t>
  </si>
  <si>
    <t>Honesty vs. Spirituality</t>
  </si>
  <si>
    <t>Thy friend seeks admittance to thy Spiritual order. Thou art asked to vouch for his purity of Spirit, of which thou art unsure. Dost thou A) Honestly express thy doubt; or B) Vouch for him, hoping for his Spiritual improvement?</t>
  </si>
  <si>
    <t>Honesty vs. Humility</t>
  </si>
  <si>
    <t>Thy Lord mistakenly believes he slew a dragon. Thou hast proof that thy lance felled the beast. When asked, dost thou A) Honestly claim the kill and the prize; or B) Humbly permit thy Lord his belief?</t>
  </si>
  <si>
    <t>Compassion vs. Valor</t>
  </si>
  <si>
    <t>Thou dost manage to disarm thy mortal enemy in a duel. He is at thy mercy. Dost thou A) show Compassion by permitting him to yield; or B) slay him as expected of a Valiant duelist?</t>
  </si>
  <si>
    <t>Compassion vs. Justice</t>
  </si>
  <si>
    <t>After 20 years thou hast found the slayer of thy best friends. The villain proves to be a man who provides the sole support for a young girl. Dost thou A) spare him in Compassion for the girl; or B) slay him in the name of Justice?</t>
  </si>
  <si>
    <t>Compassion vs. Sacrifice</t>
  </si>
  <si>
    <t>Thee and thy friends have been routed and ordered to retreat. In defiance of thy orders, dost thou A) stop in Compassion to aid a wounded companion; or B) Sacrifice thyself to slow the pursuing enemy, so others can escape?</t>
  </si>
  <si>
    <t>Compassion vs. Honor</t>
  </si>
  <si>
    <t>Thou art sworn to uphold a Lord who participates in the forbidden torture of prisoners. Each night their cries of pain reach thee. Dost thou A) Show Compassion by reporting the deeds; or B) Honor thy oath and ignore the deeds?</t>
  </si>
  <si>
    <t>Compassion vs. Spirituality</t>
  </si>
  <si>
    <t>Thou hast been taught to preserve all life as sacred. A man lies fatally stung by a venomous serpent. He pleads for a merciful death. Dost thou A) show Compassion and end his pain; or B) heed thy Spiritual beliefs and refuse?</t>
  </si>
  <si>
    <t>Compassion vs. Humility</t>
  </si>
  <si>
    <t>As one of the King’s Guard, thy Captain has asked that one amongst you visit a hospital to cheer the children with tales of thy valiant deeds. Dost thou A) Show thy Compassion and play the braggart; or B) Humbly let another go?</t>
  </si>
  <si>
    <t>Valor vs. Justice</t>
  </si>
  <si>
    <t>Thou hast been sent to secure a needed treaty with a distant Lord. Thy host is agreeable to the proposal but insults thy country at dinner. Dost thou A) Valiantly bear the slurs; or B) Justly rise and demand an apology?</t>
  </si>
  <si>
    <t>Valor vs. Sacrifice</t>
  </si>
  <si>
    <t>A mighty knight accosts thee and demands thy food. Dost thou A) Valiantly refuse and engage the knight; or B) Sacrifice thy food unto the hungry knight?</t>
  </si>
  <si>
    <t>Valor vs. Honor</t>
  </si>
  <si>
    <t>During battle thou art ordered to guard thy commander’s empty tent. The battle goes poorly and thou dost yearn to aid thy fellows. Dost thou A) Valiantly enter the battle to aid thy companions; or B) Honor thy post as guard?</t>
  </si>
  <si>
    <t>Valor vs. Spirituality</t>
  </si>
  <si>
    <t>A local bully pushes for a fight. Dost thou A) Valiantly trounce the rogue; or B) Decline, knowing in thy Spirit that no lasting good will come of it?</t>
  </si>
  <si>
    <t>Valor vs. Humility</t>
  </si>
  <si>
    <t>Although a teacher of music, thou art a skillful wrestler. Thou hast been asked to fight in a local championship. Dost thou A) accept the invitation and Valiantly fight to win; or B) Humbly decline knowing thou art sure to win?</t>
  </si>
  <si>
    <t>Justice vs. Sacrifice</t>
  </si>
  <si>
    <t>During a pitched battle, thou dost see a fellow desert his post, endangering many. As he flees, he is set upon by several enemies. Dost thou A) Justly let him fight alone; or B) Risk Sacrificing thine own life to aid him?</t>
  </si>
  <si>
    <t>Justice vs. Honor</t>
  </si>
  <si>
    <t>Thou hast sworn to do thy Lord’s bidding in all. He covets a piece of land and orders the owner removed. Dost thou A) serve Justice, refusing to act, thus being disgraced; or B) Honor thine oath and unfairly evict the landowner?</t>
  </si>
  <si>
    <t>Justice vs. Spirituality</t>
  </si>
  <si>
    <t>Thou dost believe that virtue resides in all people. Thou dost see a rogue steal from thy Lord. Dost thou A) call him to Justice; or B) personally try to sway him back to the Spiritual path of good?</t>
  </si>
  <si>
    <t>Justice vs. Humility</t>
  </si>
  <si>
    <t>Unwitnessed, thou hast slain a great dragon in self defense. A poor warrior claims the offered reward. Dost thou A) Justly step forward to claim the reward; or B) Humbly go about life, secure in thy self-esteem?</t>
  </si>
  <si>
    <t>Sacrifice vs. Honor</t>
  </si>
  <si>
    <t>Thou art a bounty hunter sworn to return an alleged murderer. After his capture, thou believest him to be innocent. Dost thou A) Sacrifice thy sizeable bounty for thy belief; or B) Honor thy oath to return him as thou hast promised?</t>
  </si>
  <si>
    <t>Sacrifice vs. Spirituality</t>
  </si>
  <si>
    <t>Thou hast spent thy life in charitable and righteous work. Thine uncle the innkeeper lies ill and asks you to take over his tavern. Dost thou A) Sacrifice thy life of purity to aid thy kin; or B) decline &amp; follow thy Spirit’s call?</t>
  </si>
  <si>
    <t>Sacrifice vs. Humility</t>
  </si>
  <si>
    <t>Thou art an elderly, wealthy eccentric. Thy end is near. Dost thou A) donate all thy wealth to feed hundreds of starving children, and receive public adulation; or B) Humbly live out thy life, willing thy fortune to thy heirs?</t>
  </si>
  <si>
    <t>Honor vs. Spirituality</t>
  </si>
  <si>
    <t>In thy youth thou pledged to marry thy sweetheart. Now thou art on a sacred quest in distant lands. Thy sweetheart asks thee to keep thy vow. Dost thou A) Honor thy pledge to wed; or B) follow thy Spiritual crusade?</t>
  </si>
  <si>
    <t>Honor vs. Humility</t>
  </si>
  <si>
    <t>Thou art at a crossroads in thy life. Dost thou A) Choose the Honorable life of a Paladin, striving for Truth and Courage; or B) Choose the Humble life of a Shepherd, and a world of simplicity and peace?</t>
  </si>
  <si>
    <t>Spirituality vs. Humility</t>
  </si>
  <si>
    <t>Thy parents wish thee to become an apprentice. Two positions are available. Dost thou A) Become an acolyte in the Spiritual order; or B) Become an assistant to a humble village cobbler?</t>
  </si>
  <si>
    <t>ALL</t>
  </si>
  <si>
    <t>Bucaneer's Den</t>
  </si>
  <si>
    <t>trigger_word</t>
  </si>
  <si>
    <t>NOTH</t>
  </si>
  <si>
    <t>NOBL</t>
  </si>
  <si>
    <t>NOWH</t>
  </si>
  <si>
    <t>category</t>
  </si>
  <si>
    <t>virtue_or_color</t>
  </si>
  <si>
    <t>location(s)</t>
  </si>
  <si>
    <t>how_to_obtain_chain</t>
  </si>
  <si>
    <t>answer</t>
  </si>
  <si>
    <t>Rune</t>
  </si>
  <si>
    <t>Search by Mariah's gold, in Moonglow</t>
  </si>
  <si>
    <t>End of a hall somewhere in Britain</t>
  </si>
  <si>
    <t>Buried in a tower in Jhelom</t>
  </si>
  <si>
    <t>Azure the tinker carves it; Mischief says it lies within the fires of the forge (Minoc)</t>
  </si>
  <si>
    <t>Hidden well (no exact spot given) - ask Talfourd, the judge, in Yew</t>
  </si>
  <si>
    <t>Buried in the southwest corner of Trinsic</t>
  </si>
  <si>
    <t>Skara Brae / Castle Britannia</t>
  </si>
  <si>
    <t>Treasure chamber of Castle Britannia (must know mantra OM first - see Mantras)</t>
  </si>
  <si>
    <t>Magincia / Paws</t>
  </si>
  <si>
    <t>South-east corner of Paws, in the hills/mountains</t>
  </si>
  <si>
    <t>Mantra</t>
  </si>
  <si>
    <t>Cromwell states it directly: "The mantra of the shrine of honesty is 'AHM'."</t>
  </si>
  <si>
    <t>AHM</t>
  </si>
  <si>
    <t>MU</t>
  </si>
  <si>
    <t>RA</t>
  </si>
  <si>
    <t>CAH (hidden in Singsong's riddle-song)</t>
  </si>
  <si>
    <t>BEH (spelled out via Silent's chant)</t>
  </si>
  <si>
    <t>Kline states it directly: "The mantra is 'SUMM'."</t>
  </si>
  <si>
    <t>SUMM</t>
  </si>
  <si>
    <t>Humility / Pride</t>
  </si>
  <si>
    <t>Magincia / Vesper</t>
  </si>
  <si>
    <t>LUM for Humility (MUL for Pride, reversed)</t>
  </si>
  <si>
    <t>Stone</t>
  </si>
  <si>
    <t>Blue - Honesty</t>
  </si>
  <si>
    <t>Moonglow / Dungeon Deceit</t>
  </si>
  <si>
    <t>Tyrone ("I used to search for the blue stone.", STON: "The stone of honesty is found on an altar in the dungeon of Deceit.")</t>
  </si>
  <si>
    <t>On an altar pedestal in the dungeon Deceit</t>
  </si>
  <si>
    <t>Yellow</t>
  </si>
  <si>
    <t>Britain / Dungeon Despise</t>
  </si>
  <si>
    <t>Joe, the drunk ("The yellow stone is in the dungeon Despise...")</t>
  </si>
  <si>
    <t>On an altar pedestal in the dungeon Despise</t>
  </si>
  <si>
    <t>Red - Valor</t>
  </si>
  <si>
    <t>Jhelom / Dungeon Destard</t>
  </si>
  <si>
    <t>Gravnor ("I seek the red stone.", STON: "It is found on an altar!", NO: "It lies in the dungeon Destard!"). X confirms colour meaning: "Red is for valor a virtue of the avatar!"</t>
  </si>
  <si>
    <t>On an altar pedestal in the dungeon Destard</t>
  </si>
  <si>
    <t>Orange - Sacrifice</t>
  </si>
  <si>
    <t>Orange; used in the Love and Courage altar rooms</t>
  </si>
  <si>
    <t>Green - Justice</t>
  </si>
  <si>
    <t>Yew / Dungeon Wrong</t>
  </si>
  <si>
    <t>Druid, answered YES ("Now learn the mantra, and seek the green stone in 'Wrong'!")</t>
  </si>
  <si>
    <t>In the dungeon Wrong</t>
  </si>
  <si>
    <t>Purple - Honor</t>
  </si>
  <si>
    <t>Trinsic / Dungeon Shame</t>
  </si>
  <si>
    <t>From the dungeon Shame; used in Truth and Courage altar rooms</t>
  </si>
  <si>
    <t>Skara Brae / formerly Dungeon Hythloth</t>
  </si>
  <si>
    <t>Atop the Serpent's Spine (reachable only by floating/flying) - formerly in Hythloth</t>
  </si>
  <si>
    <t>Black</t>
  </si>
  <si>
    <t>Cove / a Moongate</t>
  </si>
  <si>
    <t>Caught in a moongate when both moons are dark</t>
  </si>
  <si>
    <t>Christen ("My friend William knows where the rune of honesty is.") 
-&gt; William ("Search for the rune of honesty by Mariah's gold!")</t>
  </si>
  <si>
    <t>Sprite, if given help/food ("In return I shall tell thee that Pepper knows of the rune!") 
-&gt; Pepper ("The rune of compassion lies at the end of a hall somewhere in this towne.")</t>
  </si>
  <si>
    <t>Lord Robert, if answered YES ("Thou dost deserve the rune, ask Nostro!") 
-&gt; Nostro ("The rune is buried in a tower!")</t>
  </si>
  <si>
    <t>Gimble, if given a coin ("Remember Azure knows of the rune!") 
-&gt; Azure ("I carve runes for passage into the shrines!", SACR: "Ask my sister, Mischief.") 
-&gt; Mischief ("The rune of sacrifice is hard to get. It lies within the fires of the forge!")</t>
  </si>
  <si>
    <t>Druid, answered NO to "Dost thou have the rune?" ("Ask Talfourd for he knows of the rune.") 
-&gt; Talfourd ("It is hidden well!")</t>
  </si>
  <si>
    <t>Kline ("A man named Winthrop knows of the rune!") 
-&gt; Winthrop ("There is a small child who knew named... Terrin.") 
-&gt; Terrin ("It is buried in the southwest corner of towne.")</t>
  </si>
  <si>
    <t>Granted, if given food/money ("the ankh knows of the rune... my friend Ambule knows the mantra!") 
-&gt; the Ankh of Spirituality (needs the mantra 'OM' spoken to it first 
-&gt; "Search for the rune of spirituality in the treasure chamber of Britannia!")</t>
  </si>
  <si>
    <t>Splot / Ruskin ("ask the snake of the rune...") 
-&gt; Nate the Snake ("The sacred rune of humility was banished from this city. Ask Barren in Paws!") 
-&gt; Barren, in Paws ("Search the hills in the south-east corner of town!") [Wheatpin also hints: "Around there in the nook of the mountains!"]</t>
  </si>
  <si>
    <t>Child (quiz - answer NO: "Ask Cricket!") 
-&gt; Cricket states it directly: "The mantra for the shrine of compassion is 'MU'!"</t>
  </si>
  <si>
    <t>Sir Hrothgar ("The mantra need be known, ask Aesop!") 
-&gt; Aesop ("The mantra of valor is 'RA' use it in the shrine on the next isle!")</t>
  </si>
  <si>
    <t>Merida ("I am told that a hidden shepherd knows the mantra.") 
-&gt; Damon, the meek shepherd ("Listen to the bard's song for in its verse lies the key!") 
-&gt; Singsong the bard sings: "...the raven sings, the raven saw and in the corn he sayeth 'CAH'."</t>
  </si>
  <si>
    <t>Pinrod ("Good, the druids chant the mantra!") 
-&gt; Silent, the chanting druid, literally chants it: JOB/HEALTH lines are "Beh... Beh..." with the capitalized instances spelling "BEH"</t>
  </si>
  <si>
    <t>Granted ("my friend Ambule knows the mantra!") 
-&gt; Ambule ("Ask the child named Barren.") 
-&gt; Barren ("I know it well, it is 'OM'.")</t>
  </si>
  <si>
    <t>Casperin ("Seek ye the mantra for humility, ask ye Heywood!") 
-&gt; Heywood ("Faultless knows the mantra of pride ask him!") 
-&gt; Faultless ("The mantra for pride... is 'MUL'.") 
-&gt; Gem, in Vesper, confirms: "Since humility is the opposite of pride, so is its mantra!... reverse it for humility!"</t>
  </si>
  <si>
    <t>Mischief ("Then ask Alkerion of the stone!") 
-&gt; Alkerion ("The stone of sacrifice is orange in color and used in the altar rooms of love and courage!") - exact dungeon not stated</t>
  </si>
  <si>
    <t>Quix ("About the purple stone of honor!") 
-&gt; Skitle the skeleton ("I come from the dungeon 'Shame'!", STON: "I have seen the purple stone used in the altars of truth and courage!")</t>
  </si>
  <si>
    <t>Mitre ("It is no longer in the dungeon Hythloth, it is gone!... Ask of the stone at the Tap in Trinsic!") 
-&gt; Isaac ("The white stone sits atop the Serpent's Spine. It can only be reached by one who floats within the clouds.") 
-&gt; Bartender in Pubs, for 10 gold ("it was the old Hermit... Sloven! He is tough to find, lives near Lock Lake I hear.")</t>
  </si>
  <si>
    <t>Nate the Snake ("Those who seek the black stone need ask at the pub in Britain!") 
-&gt; Bartender in Pubs, for 20 gold ("the only one who knows where it lies is the wizard Merlin.") 
-&gt; Merlin, in Cove ("The black stone is caught in a moon gate!... Stand where the gate of both moons dark shall appear. Search when the moons go dark!")</t>
  </si>
  <si>
    <t>key</t>
  </si>
  <si>
    <t>TriggersQuestion</t>
  </si>
  <si>
    <t>PreciousItem-MC</t>
  </si>
  <si>
    <t>Town</t>
  </si>
  <si>
    <t>Needs</t>
  </si>
  <si>
    <t>Has</t>
  </si>
  <si>
    <t>Oak Leaves (for druids/potions)</t>
  </si>
  <si>
    <t>Notes</t>
  </si>
  <si>
    <t>L1 trade to bring in a lot of Oak Leaves unlocks JusticePotion</t>
  </si>
  <si>
    <t>&lt;skara?&gt;</t>
  </si>
  <si>
    <t>Hoe with Silk Touch</t>
  </si>
  <si>
    <t>Proprietor of Moonglow Inn</t>
  </si>
  <si>
    <t>_town_name</t>
  </si>
  <si>
    <t>Name-the-NPC</t>
  </si>
  <si>
    <t>InvisiTag-the-NPC</t>
  </si>
  <si>
    <t>LOOK_value</t>
  </si>
  <si>
    <t>Tagging Villagers as NPCs</t>
  </si>
  <si>
    <t>-------------------------</t>
  </si>
  <si>
    <t>/data merge entity @e[type=minecraft:villager,limit=1,sort=nearest] {CustomName:"Sasha"}</t>
  </si>
  <si>
    <t>/tag @e[type=minecraft:villager,name="Tyrone",limit=1] add npc_sasha</t>
  </si>
  <si>
    <t>REMOVING TAGS APPLIED INCORRECTLY:</t>
  </si>
  <si>
    <t>-----------------</t>
  </si>
  <si>
    <t>Make a villager a NITWIT:</t>
  </si>
  <si>
    <t>/data merge entity @e[type=minecraft:villager,limit=1,sort=nearest] {VillagerData:{profession:"minecraft:nitwit"}}</t>
  </si>
  <si>
    <r>
      <t xml:space="preserve">/tag @e[type=minecraft:villager,name="Patric the Humble Shepherd",limit=1] add </t>
    </r>
    <r>
      <rPr>
        <b/>
        <sz val="8"/>
        <color theme="3" tint="0.39997558519241921"/>
        <rFont val="Calibri"/>
        <family val="2"/>
        <scheme val="minor"/>
      </rPr>
      <t>npc_patric_the_humble_shepherd</t>
    </r>
  </si>
  <si>
    <t>/tag @e[type=minecraft:villager,name="Mariah",limit=1] remove npc_shazom</t>
  </si>
  <si>
    <t>Harmony</t>
  </si>
  <si>
    <t>Margot</t>
  </si>
  <si>
    <t>Search for the rune of honesty near Mariah’s gold chest!</t>
  </si>
  <si>
    <t>I shall die.</t>
  </si>
  <si>
    <t>Imma feeling good.</t>
  </si>
  <si>
    <t>A Nitwit eating a sandwich.</t>
  </si>
  <si>
    <t>The housekeeping nitwit.</t>
  </si>
  <si>
    <t>I am a regal palladin.</t>
  </si>
  <si>
    <t>I am your FRIEND. Hello, Friend!</t>
  </si>
  <si>
    <t>The mantra for Honesty is ’AHM’.</t>
  </si>
  <si>
    <t>I am a meek shepherd.</t>
  </si>
  <si>
    <t>I live an honest life as a mystic wizard.</t>
  </si>
  <si>
    <t>I am the Proprietor of Inn</t>
  </si>
  <si>
    <t>I am the Propriety of Magical Herbs</t>
  </si>
  <si>
    <t>I am the Proprietor of The Healer shoppe.</t>
  </si>
  <si>
    <t>I am the Proprietor of Sage Deli, here.</t>
  </si>
  <si>
    <t>Our mantra's INTRINSIC to our CODE of honor!</t>
  </si>
  <si>
    <t>I seek enlightenment in honor!</t>
  </si>
  <si>
    <t>My passion?</t>
  </si>
  <si>
    <t>What am I up to?</t>
  </si>
  <si>
    <t>I craft potions!</t>
  </si>
  <si>
    <t>My job…?</t>
  </si>
  <si>
    <t>Jean</t>
  </si>
  <si>
    <t>I am the Proprietor of Duelling Weapons, here.</t>
  </si>
  <si>
    <t>Jumar</t>
  </si>
  <si>
    <t>I am the Proprietor of Duelling Armour, here.</t>
  </si>
  <si>
    <t>Terran</t>
  </si>
  <si>
    <t>I am the Proprietor of The Keg Tap, here.</t>
  </si>
  <si>
    <t>I am the Proprietor of the Honorable Inn, here.</t>
  </si>
  <si>
    <t xml:space="preserve">this is U4's mechanic for needing to know how the colors matter.  </t>
  </si>
  <si>
    <t>add this to game for HONOR scoreboard (for various mini-quests, in-game)</t>
  </si>
  <si>
    <t>Potions of great power.</t>
  </si>
  <si>
    <t>A BIG one...with a sword!</t>
  </si>
  <si>
    <t>A scared, cowering nitwit</t>
  </si>
  <si>
    <t>I heard it is buried in the SOUTHEAST corner of towne, in the MAZE.</t>
  </si>
  <si>
    <t>I had been looking for the rune when a skeleton appeared!</t>
  </si>
  <si>
    <t>Honor gives life meaning!</t>
  </si>
  <si>
    <t>For random, non-magenta shulkers, there's a 20% chance a skeleton will pop out!  For the  black one, there's a wither skeleton egg and wither may also pop out…?</t>
  </si>
  <si>
    <t>To welcome is an honor!</t>
  </si>
  <si>
    <t>The rune..?</t>
  </si>
  <si>
    <t>The mantra..?</t>
  </si>
  <si>
    <t>Honor..?</t>
  </si>
  <si>
    <t>Welcome!</t>
  </si>
  <si>
    <t>Honor!</t>
  </si>
  <si>
    <t>Dignity</t>
  </si>
  <si>
    <t>Mandrake</t>
  </si>
  <si>
    <t>Potions</t>
  </si>
  <si>
    <t>I saw a skeleton!</t>
  </si>
  <si>
    <t>Yes, welcome to Trinsic: Town of Honor!</t>
  </si>
  <si>
    <t>You see..</t>
  </si>
  <si>
    <t>MC Profession</t>
  </si>
  <si>
    <t>Butcher</t>
  </si>
  <si>
    <t>Nitwit</t>
  </si>
  <si>
    <t>Fisherman</t>
  </si>
  <si>
    <t>Cleric</t>
  </si>
  <si>
    <t>Armorer</t>
  </si>
  <si>
    <t>Weaponsmith</t>
  </si>
  <si>
    <t>Cartographer</t>
  </si>
  <si>
    <t>Librarian</t>
  </si>
  <si>
    <t>Shepherd</t>
  </si>
  <si>
    <t>I am towne leader! Say, you look weary. Rest at our inn!</t>
  </si>
  <si>
    <t>Good day, Stranger. You look weary! Rest at our inn!</t>
  </si>
  <si>
    <t>There is a nitwit who knew named... Terrin.</t>
  </si>
  <si>
    <t>I trade in rumors.</t>
  </si>
  <si>
    <t>I heard that crazy maze is worth investigating…</t>
  </si>
  <si>
    <t>The mantra of valor is ’RA’.</t>
  </si>
  <si>
    <t>VALOR</t>
  </si>
  <si>
    <t>Thou art a cad!</t>
  </si>
  <si>
    <t>Thou should seek enlightenment in valor!</t>
  </si>
  <si>
    <t>That other felon is a mean nasty ugly villain!</t>
  </si>
  <si>
    <t>They treat me judicially, here, though.</t>
  </si>
  <si>
    <t>DWP</t>
  </si>
  <si>
    <t>Misdemeanors are jailed in the the left cell.</t>
  </si>
  <si>
    <t>Felons are jailed in the right hand cell.</t>
  </si>
  <si>
    <t>Leathermaker</t>
  </si>
  <si>
    <t>The virtue of justice draws its nature from the principles of Trust and Wisdom!</t>
  </si>
  <si>
    <t>I beg and live hand-to-mouth every day.</t>
  </si>
  <si>
    <t>Fletcher</t>
  </si>
  <si>
    <t>Ranger Rick</t>
  </si>
  <si>
    <t>Librarian  - Welcomer</t>
  </si>
  <si>
    <t>Nitwit - in Healer</t>
  </si>
  <si>
    <t>Leathermaker - near Welcomer</t>
  </si>
  <si>
    <t>Fletcher - a courtier near Talfourd</t>
  </si>
  <si>
    <t>Donnar</t>
  </si>
  <si>
    <t>Justin</t>
  </si>
  <si>
    <r>
      <t>P</t>
    </r>
    <r>
      <rPr>
        <sz val="8"/>
        <color rgb="FF202122"/>
        <rFont val="Arial"/>
        <family val="2"/>
      </rPr>
      <t>roprietor of </t>
    </r>
    <r>
      <rPr>
        <sz val="8"/>
        <color rgb="FF0645AD"/>
        <rFont val="Arial"/>
        <family val="2"/>
      </rPr>
      <t>Just Healing</t>
    </r>
  </si>
  <si>
    <r>
      <t>P</t>
    </r>
    <r>
      <rPr>
        <sz val="8"/>
        <color rgb="FF202122"/>
        <rFont val="Arial"/>
        <family val="2"/>
      </rPr>
      <t>roprietor of </t>
    </r>
    <r>
      <rPr>
        <sz val="8"/>
        <color rgb="FF0645AD"/>
        <rFont val="Arial"/>
        <family val="2"/>
      </rPr>
      <t>The Dry Goods</t>
    </r>
  </si>
  <si>
    <t>Cartographer - at DryGoods</t>
  </si>
  <si>
    <t>Nitwit - outside east side of Dry Goods</t>
  </si>
  <si>
    <t>Cleric - south side of fire</t>
  </si>
  <si>
    <t>Shepherd - north side of Fire</t>
  </si>
  <si>
    <t>Librarian - wandering around the grounds</t>
  </si>
  <si>
    <t>Librarian - inside eastern tree</t>
  </si>
  <si>
    <t>A.Druid</t>
  </si>
  <si>
    <t>Cy Lent</t>
  </si>
  <si>
    <t>_npc_name</t>
  </si>
  <si>
    <t>Swen</t>
  </si>
  <si>
    <t>Hero</t>
  </si>
  <si>
    <t>Horse</t>
  </si>
  <si>
    <t>Nitwit in Bar</t>
  </si>
  <si>
    <t>In Hero's Lounge</t>
  </si>
  <si>
    <r>
      <t>Celestial</t>
    </r>
    <r>
      <rPr>
        <sz val="8"/>
        <color rgb="FF202122"/>
        <rFont val="Arial"/>
        <family val="2"/>
      </rPr>
      <t>: tavern keeper of </t>
    </r>
    <r>
      <rPr>
        <sz val="8"/>
        <color rgb="FF0645AD"/>
        <rFont val="Arial"/>
        <family val="2"/>
      </rPr>
      <t>The Bloody Pub</t>
    </r>
  </si>
  <si>
    <r>
      <t>Smirk</t>
    </r>
    <r>
      <rPr>
        <sz val="8"/>
        <color rgb="FF202122"/>
        <rFont val="Arial"/>
        <family val="2"/>
      </rPr>
      <t>: proprietor of </t>
    </r>
    <r>
      <rPr>
        <sz val="8"/>
        <color rgb="FF0645AD"/>
        <rFont val="Arial"/>
        <family val="2"/>
      </rPr>
      <t>The Inn of Ends</t>
    </r>
  </si>
  <si>
    <r>
      <t>Triplet</t>
    </r>
    <r>
      <rPr>
        <sz val="8"/>
        <color rgb="FF202122"/>
        <rFont val="Arial"/>
        <family val="2"/>
      </rPr>
      <t>: proprietor of </t>
    </r>
    <r>
      <rPr>
        <sz val="8"/>
        <color rgb="FF0645AD"/>
        <rFont val="Arial"/>
        <family val="2"/>
      </rPr>
      <t>Heal and Health</t>
    </r>
  </si>
  <si>
    <r>
      <t>Valiant</t>
    </r>
    <r>
      <rPr>
        <sz val="8"/>
        <color rgb="FF202122"/>
        <rFont val="Arial"/>
        <family val="2"/>
      </rPr>
      <t>: proprietor of </t>
    </r>
    <r>
      <rPr>
        <sz val="8"/>
        <color rgb="FF0645AD"/>
        <rFont val="Arial"/>
        <family val="2"/>
      </rPr>
      <t>Valiant's Armour</t>
    </r>
  </si>
  <si>
    <r>
      <t>Willard</t>
    </r>
    <r>
      <rPr>
        <sz val="8"/>
        <color rgb="FF202122"/>
        <rFont val="Arial"/>
        <family val="2"/>
      </rPr>
      <t>: proprietor of </t>
    </r>
    <r>
      <rPr>
        <sz val="8"/>
        <color rgb="FF0645AD"/>
        <rFont val="Arial"/>
        <family val="2"/>
      </rPr>
      <t>Willard's Weaponry</t>
    </r>
  </si>
  <si>
    <t>Celestial</t>
  </si>
  <si>
    <t>Smirk</t>
  </si>
  <si>
    <t>Triplet</t>
  </si>
  <si>
    <t>Valiant</t>
  </si>
  <si>
    <t>Willard</t>
  </si>
  <si>
    <t>At the Inn; a cartographer</t>
  </si>
  <si>
    <t>FEAR</t>
  </si>
  <si>
    <t>In the weapon shop; a Fletcher</t>
  </si>
  <si>
    <r>
      <t>In the library there is one bookshelf which looks different --</t>
    </r>
    <r>
      <rPr>
        <b/>
        <sz val="11"/>
        <color theme="1"/>
        <rFont val="Calibri"/>
        <family val="2"/>
        <scheme val="minor"/>
      </rPr>
      <t xml:space="preserve"> 4.N.(4,8).2.1</t>
    </r>
    <r>
      <rPr>
        <sz val="11"/>
        <color theme="1"/>
        <rFont val="Calibri"/>
        <family val="2"/>
        <scheme val="minor"/>
      </rPr>
      <t xml:space="preserve"> -- it's missing a book. If you look to the right on floor thru grating you'll find a grey shulker box containing the missing book</t>
    </r>
  </si>
  <si>
    <t>Welcomer</t>
  </si>
  <si>
    <t>Jho Velkum</t>
  </si>
  <si>
    <t>outside heal shop; cartographer</t>
  </si>
  <si>
    <t>A cleric; in corner of castle nearest Avatar's room (near Hero).</t>
  </si>
  <si>
    <t>In the corner nearest healing shop</t>
  </si>
  <si>
    <t>Weaponsmith, in bed, In healing store.</t>
  </si>
  <si>
    <t>Mintol</t>
  </si>
  <si>
    <t>Sasha</t>
  </si>
  <si>
    <t>Spiran</t>
  </si>
  <si>
    <r>
      <t>Mintol</t>
    </r>
    <r>
      <rPr>
        <sz val="8"/>
        <color rgb="FF202122"/>
        <rFont val="Arial"/>
        <family val="2"/>
      </rPr>
      <t>: proprietor of </t>
    </r>
    <r>
      <rPr>
        <sz val="8"/>
        <color rgb="FF0645AD"/>
        <rFont val="Arial"/>
        <family val="2"/>
      </rPr>
      <t>Food for Thought</t>
    </r>
  </si>
  <si>
    <r>
      <t>Sasha</t>
    </r>
    <r>
      <rPr>
        <sz val="8"/>
        <color rgb="FF202122"/>
        <rFont val="Arial"/>
        <family val="2"/>
      </rPr>
      <t>: proprietor of </t>
    </r>
    <r>
      <rPr>
        <sz val="8"/>
        <color rgb="FF0645AD"/>
        <rFont val="Arial"/>
        <family val="2"/>
      </rPr>
      <t>Herbs and Spice</t>
    </r>
  </si>
  <si>
    <r>
      <t>Spiran</t>
    </r>
    <r>
      <rPr>
        <sz val="8"/>
        <color rgb="FF202122"/>
        <rFont val="Arial"/>
        <family val="2"/>
      </rPr>
      <t>: proprietor of </t>
    </r>
    <r>
      <rPr>
        <sz val="8"/>
        <color rgb="FF0645AD"/>
        <rFont val="Arial"/>
        <family val="2"/>
      </rPr>
      <t>The Mystic Heal</t>
    </r>
  </si>
  <si>
    <r>
      <t>Tyrone</t>
    </r>
    <r>
      <rPr>
        <sz val="8"/>
        <color rgb="FF202122"/>
        <rFont val="Arial"/>
        <family val="2"/>
      </rPr>
      <t>: proprietor of </t>
    </r>
    <r>
      <rPr>
        <sz val="8"/>
        <color rgb="FF0645AD"/>
        <rFont val="Arial"/>
        <family val="2"/>
      </rPr>
      <t>The Inn of the Spirits</t>
    </r>
  </si>
  <si>
    <t>In Herbs shop</t>
  </si>
  <si>
    <t>In Healers.  A leathermaker.</t>
  </si>
  <si>
    <t>In HEALER shop</t>
  </si>
  <si>
    <t>In herbs shop (buying)</t>
  </si>
  <si>
    <t>Butcher (begging outside herbs shop)</t>
  </si>
  <si>
    <t>In Food shoppe; Cartographer</t>
  </si>
  <si>
    <t>Thule</t>
  </si>
  <si>
    <t>Tool shoppe Proprietor</t>
  </si>
  <si>
    <t>Tool seller</t>
  </si>
  <si>
    <t>Butcher; begs outside town near herbs shop</t>
  </si>
  <si>
    <t>A beekeeper</t>
  </si>
  <si>
    <t>Farmer; beekeeper</t>
  </si>
  <si>
    <t>Ask the beekeeper named Barren about the Mantra.</t>
  </si>
  <si>
    <t>I collect honey.  There's a ton over there I can share.</t>
  </si>
  <si>
    <t>In healer shop (buying); a librarian</t>
  </si>
  <si>
    <t>Disembodied Voice in Inn (maybe a nitwit, hidden somewhere?)</t>
  </si>
  <si>
    <t>FORGE</t>
  </si>
  <si>
    <t>I've heard you can buy Fire Resistance Potion!</t>
  </si>
  <si>
    <t>Peter</t>
  </si>
  <si>
    <t>Proprietor of the Iron Works</t>
  </si>
  <si>
    <t>Proprietor of the Inn</t>
  </si>
  <si>
    <t>A nitwit with flowers.</t>
  </si>
  <si>
    <t>Butch</t>
  </si>
  <si>
    <t>Chef of the Inn</t>
  </si>
  <si>
    <t>At the inn; a toolsmith</t>
  </si>
  <si>
    <t>Then ask Merida of the mantra!</t>
  </si>
  <si>
    <t>Welcomer; Toolsmith</t>
  </si>
  <si>
    <t>shepherd</t>
  </si>
  <si>
    <t>Pierre</t>
  </si>
  <si>
    <t>Piedro</t>
  </si>
  <si>
    <t>Weapon seller</t>
  </si>
  <si>
    <t>Toosmith</t>
  </si>
  <si>
    <t>Armor seller</t>
  </si>
  <si>
    <t>Celest</t>
  </si>
  <si>
    <t>Jason</t>
  </si>
  <si>
    <t>Tween</t>
  </si>
  <si>
    <t>Winston A.</t>
  </si>
  <si>
    <t>Winston L.</t>
  </si>
  <si>
    <t>Winston M.</t>
  </si>
  <si>
    <t>Winston T.</t>
  </si>
  <si>
    <t>Winston W.</t>
  </si>
  <si>
    <t>NPC TAG</t>
  </si>
  <si>
    <t>We'll have to put these Vesperian clues into other towns:</t>
  </si>
  <si>
    <t>Nitwit; in the old weapons shoppe</t>
  </si>
  <si>
    <t>No Trades set up yet in Minoc  -- remember to add Fire Protection Potion to one of them! (to retrieve rune from forge)</t>
  </si>
  <si>
    <t>Scatuu</t>
  </si>
  <si>
    <t>Starfire</t>
  </si>
  <si>
    <t>Proprietor of The Truth Healer</t>
  </si>
  <si>
    <t>At top of tower.</t>
  </si>
  <si>
    <t>On top of library</t>
  </si>
  <si>
    <t>Seek ye the book of truth where other books lie...in the 4th Stack.</t>
  </si>
  <si>
    <t>Herein is the largest store of knowledge except the codex!</t>
  </si>
  <si>
    <t>In library's lounge.</t>
  </si>
  <si>
    <t>In inner library.</t>
  </si>
  <si>
    <t>Nearly A Corpse</t>
  </si>
  <si>
    <t>Nothin' but a tube.</t>
  </si>
  <si>
    <t>In Healer Bed. Fletcher. He walks around (NoAI/SLEEPING tick function didn’t work)</t>
  </si>
  <si>
    <t>My Lady Beth can tell thee more about our wainscotting!</t>
  </si>
  <si>
    <t>We just got the new wainscotting.  It's OK.  We wallpapered over that hole.</t>
  </si>
  <si>
    <t>Has 1-2 of the three metallurgists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</si>
</sst>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b/>
      <sz val="10"/>
      <name val="Arial"/>
      <family val="2"/>
    </font>
    <font>
      <sz val="10"/>
      <name val="Arial"/>
      <family val="2"/>
    </font>
    <font>
      <b/>
      <sz val="11"/>
      <color rgb="FFFFFFFF"/>
      <name val="Arial"/>
      <family val="2"/>
    </font>
    <font>
      <b/>
      <sz val="10"/>
      <color theme="3" tint="0.39997558519241921"/>
      <name val="Arial"/>
      <family val="2"/>
    </font>
    <font>
      <b/>
      <sz val="11"/>
      <color theme="3" tint="0.39997558519241921"/>
      <name val="Calibri"/>
      <family val="2"/>
      <scheme val="minor"/>
    </font>
    <font>
      <strike/>
      <sz val="10"/>
      <name val="Arial"/>
      <family val="2"/>
    </font>
    <font>
      <b/>
      <strike/>
      <sz val="10"/>
      <name val="Arial"/>
      <family val="2"/>
    </font>
    <font>
      <strike/>
      <sz val="11"/>
      <color theme="1"/>
      <name val="Calibri"/>
      <family val="2"/>
      <scheme val="minor"/>
    </font>
    <font>
      <b/>
      <sz val="8"/>
      <color theme="1"/>
      <name val="Calibri"/>
      <family val="2"/>
      <scheme val="minor"/>
    </font>
    <font>
      <sz val="8"/>
      <color theme="1"/>
      <name val="Calibri"/>
      <family val="2"/>
      <scheme val="minor"/>
    </font>
    <font>
      <strike/>
      <sz val="8"/>
      <name val="Arial"/>
      <family val="2"/>
    </font>
    <font>
      <strike/>
      <sz val="8"/>
      <color theme="1"/>
      <name val="Calibri"/>
      <family val="2"/>
      <scheme val="minor"/>
    </font>
    <font>
      <sz val="10"/>
      <color theme="3" tint="0.39997558519241921"/>
      <name val="Arial"/>
      <family val="2"/>
    </font>
    <font>
      <sz val="11"/>
      <color theme="3" tint="0.39997558519241921"/>
      <name val="Calibri"/>
      <family val="2"/>
      <scheme val="minor"/>
    </font>
    <font>
      <b/>
      <sz val="8"/>
      <color theme="3" tint="0.39997558519241921"/>
      <name val="Calibri"/>
      <family val="2"/>
      <scheme val="minor"/>
    </font>
    <font>
      <sz val="8"/>
      <color theme="3" tint="0.39997558519241921"/>
      <name val="Calibri"/>
      <family val="2"/>
      <scheme val="minor"/>
    </font>
    <font>
      <b/>
      <sz val="10"/>
      <color rgb="FF007BB8"/>
      <name val="Arial"/>
      <family val="2"/>
    </font>
    <font>
      <sz val="11"/>
      <color theme="7" tint="0.39997558519241921"/>
      <name val="Calibri"/>
      <family val="2"/>
      <scheme val="minor"/>
    </font>
    <font>
      <b/>
      <sz val="11"/>
      <color theme="7" tint="0.39997558519241921"/>
      <name val="Calibri"/>
      <family val="2"/>
      <scheme val="minor"/>
    </font>
    <font>
      <sz val="11"/>
      <color rgb="FF007BB8"/>
      <name val="Calibri"/>
      <family val="2"/>
      <scheme val="minor"/>
    </font>
    <font>
      <b/>
      <sz val="8"/>
      <color rgb="FF7030A0"/>
      <name val="Calibri"/>
      <family val="2"/>
      <scheme val="minor"/>
    </font>
    <font>
      <sz val="8"/>
      <color rgb="FF7030A0"/>
      <name val="Calibri"/>
      <family val="2"/>
      <scheme val="minor"/>
    </font>
    <font>
      <b/>
      <sz val="8"/>
      <name val="Calibri"/>
      <family val="2"/>
      <scheme val="minor"/>
    </font>
    <font>
      <b/>
      <u/>
      <sz val="8"/>
      <color rgb="FF7030A0"/>
      <name val="Calibri"/>
      <family val="2"/>
      <scheme val="minor"/>
    </font>
    <font>
      <sz val="8"/>
      <color rgb="FF202122"/>
      <name val="Arial"/>
      <family val="2"/>
    </font>
    <font>
      <sz val="8"/>
      <color rgb="FF0645AD"/>
      <name val="Arial"/>
      <family val="2"/>
    </font>
    <font>
      <b/>
      <sz val="8"/>
      <color rgb="FF007BB8"/>
      <name val="Calibri"/>
      <family val="2"/>
      <scheme val="minor"/>
    </font>
    <font>
      <sz val="8"/>
      <color rgb="FF007BB8"/>
      <name val="Calibri"/>
      <family val="2"/>
      <scheme val="minor"/>
    </font>
    <font>
      <b/>
      <u/>
      <sz val="11"/>
      <color theme="1"/>
      <name val="Calibri"/>
      <family val="2"/>
      <scheme val="minor"/>
    </font>
  </fonts>
  <fills count="15">
    <fill>
      <patternFill patternType="none"/>
    </fill>
    <fill>
      <patternFill patternType="gray125"/>
    </fill>
    <fill>
      <patternFill patternType="solid">
        <fgColor rgb="FF4472C4"/>
        <bgColor rgb="FF4472C4"/>
      </patternFill>
    </fill>
    <fill>
      <patternFill patternType="solid">
        <fgColor rgb="FFF6C3FF"/>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rgb="FF975CCB"/>
        <bgColor indexed="64"/>
      </patternFill>
    </fill>
    <fill>
      <patternFill patternType="solid">
        <fgColor rgb="FF00B050"/>
        <bgColor indexed="64"/>
      </patternFill>
    </fill>
    <fill>
      <patternFill patternType="solid">
        <fgColor theme="0" tint="-0.34998626667073579"/>
        <bgColor indexed="64"/>
      </patternFill>
    </fill>
    <fill>
      <patternFill patternType="solid">
        <fgColor rgb="FFA2A2A2"/>
        <bgColor indexed="64"/>
      </patternFill>
    </fill>
    <fill>
      <patternFill patternType="solid">
        <fgColor rgb="FFE5B0FF"/>
        <bgColor indexed="64"/>
      </patternFill>
    </fill>
    <fill>
      <patternFill patternType="solid">
        <fgColor rgb="FF92D050"/>
        <bgColor indexed="64"/>
      </patternFill>
    </fill>
    <fill>
      <patternFill patternType="solid">
        <fgColor rgb="FF7CEB99"/>
        <bgColor indexed="64"/>
      </patternFill>
    </fill>
    <fill>
      <patternFill patternType="solid">
        <fgColor theme="5"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4" fillId="0" borderId="0" xfId="0" applyFont="1" applyAlignment="1">
      <alignment vertical="top" wrapText="1"/>
    </xf>
    <xf numFmtId="0" fontId="3" fillId="0" borderId="0" xfId="0" applyFont="1"/>
    <xf numFmtId="0" fontId="3" fillId="3" borderId="0" xfId="0" applyFont="1" applyFill="1"/>
    <xf numFmtId="0" fontId="5" fillId="0" borderId="0" xfId="0" applyFont="1" applyAlignment="1">
      <alignment vertical="top" wrapText="1"/>
    </xf>
    <xf numFmtId="0" fontId="6" fillId="2" borderId="0" xfId="0" applyFont="1" applyFill="1" applyAlignment="1">
      <alignment horizontal="center" vertical="center"/>
    </xf>
    <xf numFmtId="0" fontId="4" fillId="0" borderId="0" xfId="0" applyFont="1" applyAlignment="1">
      <alignment horizontal="center" vertical="top" wrapText="1"/>
    </xf>
    <xf numFmtId="0" fontId="3" fillId="0" borderId="0" xfId="0" applyFont="1" applyAlignment="1">
      <alignment horizontal="center"/>
    </xf>
    <xf numFmtId="0" fontId="3" fillId="5" borderId="0" xfId="0" applyFont="1" applyFill="1"/>
    <xf numFmtId="0" fontId="3" fillId="6" borderId="0" xfId="0" applyFont="1" applyFill="1"/>
    <xf numFmtId="0" fontId="7" fillId="0" borderId="0" xfId="0" applyFont="1" applyAlignment="1">
      <alignment vertical="top" wrapText="1"/>
    </xf>
    <xf numFmtId="0" fontId="7" fillId="0" borderId="0" xfId="0" applyFont="1" applyAlignment="1">
      <alignment horizontal="center" vertical="top" wrapText="1"/>
    </xf>
    <xf numFmtId="0" fontId="8" fillId="0" borderId="0" xfId="0" applyFont="1"/>
    <xf numFmtId="0" fontId="9" fillId="0" borderId="0" xfId="0" applyFont="1" applyAlignment="1">
      <alignment vertical="top" wrapText="1"/>
    </xf>
    <xf numFmtId="0" fontId="10" fillId="0" borderId="0" xfId="0" applyFont="1" applyAlignment="1">
      <alignment horizontal="center" vertical="top" wrapText="1"/>
    </xf>
    <xf numFmtId="0" fontId="11" fillId="0" borderId="0" xfId="0" applyFont="1"/>
    <xf numFmtId="0" fontId="9" fillId="0" borderId="0" xfId="0" applyFont="1" applyAlignment="1">
      <alignment horizontal="center" vertical="top" wrapText="1"/>
    </xf>
    <xf numFmtId="0" fontId="13" fillId="0" borderId="0" xfId="0" applyFont="1" applyAlignment="1">
      <alignment horizontal="left" wrapText="1"/>
    </xf>
    <xf numFmtId="0" fontId="13" fillId="0" borderId="0" xfId="0" applyFont="1"/>
    <xf numFmtId="0" fontId="12" fillId="0" borderId="0" xfId="0" applyFont="1" applyAlignment="1">
      <alignment wrapText="1"/>
    </xf>
    <xf numFmtId="0" fontId="13" fillId="0" borderId="0" xfId="0" applyFont="1" applyAlignment="1">
      <alignment wrapText="1"/>
    </xf>
    <xf numFmtId="0" fontId="12" fillId="8" borderId="0" xfId="0" applyFont="1" applyFill="1" applyAlignment="1">
      <alignment horizontal="left" wrapText="1"/>
    </xf>
    <xf numFmtId="0" fontId="12" fillId="8" borderId="0" xfId="0" applyFont="1" applyFill="1" applyAlignment="1">
      <alignment wrapText="1"/>
    </xf>
    <xf numFmtId="0" fontId="12" fillId="8" borderId="0" xfId="0" applyFont="1" applyFill="1"/>
    <xf numFmtId="0" fontId="9" fillId="9" borderId="0" xfId="0" applyFont="1" applyFill="1" applyAlignment="1">
      <alignment vertical="top" wrapText="1"/>
    </xf>
    <xf numFmtId="0" fontId="14" fillId="9" borderId="0" xfId="0" applyFont="1" applyFill="1" applyAlignment="1">
      <alignment wrapText="1"/>
    </xf>
    <xf numFmtId="0" fontId="15" fillId="9" borderId="0" xfId="0" applyFont="1" applyFill="1" applyAlignment="1">
      <alignment wrapText="1"/>
    </xf>
    <xf numFmtId="0" fontId="16" fillId="0" borderId="0" xfId="0" applyFont="1" applyAlignment="1">
      <alignment vertical="top" wrapText="1"/>
    </xf>
    <xf numFmtId="0" fontId="17" fillId="0" borderId="0" xfId="0" applyFont="1"/>
    <xf numFmtId="0" fontId="12" fillId="4" borderId="0" xfId="0" applyFont="1" applyFill="1" applyAlignment="1">
      <alignment wrapText="1"/>
    </xf>
    <xf numFmtId="0" fontId="15" fillId="9" borderId="0" xfId="0" applyFont="1" applyFill="1" applyAlignment="1">
      <alignment vertical="top" wrapText="1"/>
    </xf>
    <xf numFmtId="0" fontId="8" fillId="0" borderId="0" xfId="0" applyFont="1" applyAlignment="1">
      <alignment horizontal="center"/>
    </xf>
    <xf numFmtId="0" fontId="2" fillId="10" borderId="0" xfId="0" applyFont="1" applyFill="1" applyAlignment="1">
      <alignment vertical="top" wrapText="1"/>
    </xf>
    <xf numFmtId="0" fontId="5" fillId="10" borderId="0" xfId="0" applyFont="1" applyFill="1" applyAlignment="1">
      <alignment vertical="top" wrapText="1"/>
    </xf>
    <xf numFmtId="0" fontId="19" fillId="0" borderId="0" xfId="0" applyFont="1" applyAlignment="1">
      <alignment wrapText="1"/>
    </xf>
    <xf numFmtId="0" fontId="18" fillId="0" borderId="0" xfId="0" applyFont="1" applyAlignment="1">
      <alignment wrapText="1"/>
    </xf>
    <xf numFmtId="0" fontId="0" fillId="9" borderId="0" xfId="0" applyFill="1"/>
    <xf numFmtId="0" fontId="2" fillId="9" borderId="0" xfId="0" applyFont="1" applyFill="1" applyAlignment="1">
      <alignment vertical="top" wrapText="1"/>
    </xf>
    <xf numFmtId="0" fontId="4" fillId="9" borderId="0" xfId="0" applyFont="1" applyFill="1" applyAlignment="1">
      <alignment horizontal="center" vertical="top" wrapText="1"/>
    </xf>
    <xf numFmtId="0" fontId="20" fillId="0" borderId="0" xfId="0" applyFont="1" applyAlignment="1">
      <alignment vertical="top" wrapText="1"/>
    </xf>
    <xf numFmtId="0" fontId="21" fillId="7" borderId="0" xfId="0" applyFont="1" applyFill="1"/>
    <xf numFmtId="0" fontId="21" fillId="0" borderId="0" xfId="0" applyFont="1"/>
    <xf numFmtId="0" fontId="22" fillId="0" borderId="0" xfId="0" applyFont="1"/>
    <xf numFmtId="0" fontId="23" fillId="0" borderId="0" xfId="0" applyFont="1"/>
    <xf numFmtId="0" fontId="5" fillId="9" borderId="0" xfId="0" applyFont="1" applyFill="1" applyAlignment="1">
      <alignment vertical="top" wrapText="1"/>
    </xf>
    <xf numFmtId="0" fontId="0" fillId="0" borderId="0" xfId="0" applyAlignment="1">
      <alignment wrapText="1"/>
    </xf>
    <xf numFmtId="0" fontId="4" fillId="9" borderId="0" xfId="0" applyFont="1" applyFill="1" applyAlignment="1">
      <alignment vertical="top" wrapText="1"/>
    </xf>
    <xf numFmtId="0" fontId="3" fillId="0" borderId="0" xfId="0" applyFont="1" applyAlignment="1">
      <alignment wrapText="1"/>
    </xf>
    <xf numFmtId="0" fontId="25" fillId="0" borderId="0" xfId="0" applyFont="1" applyAlignment="1">
      <alignment wrapText="1"/>
    </xf>
    <xf numFmtId="0" fontId="26" fillId="11" borderId="0" xfId="0" applyFont="1" applyFill="1" applyAlignment="1">
      <alignment wrapText="1"/>
    </xf>
    <xf numFmtId="0" fontId="13" fillId="12" borderId="0" xfId="0" applyFont="1" applyFill="1" applyAlignment="1">
      <alignment wrapText="1"/>
    </xf>
    <xf numFmtId="0" fontId="18" fillId="12" borderId="0" xfId="0" applyFont="1" applyFill="1" applyAlignment="1">
      <alignment wrapText="1"/>
    </xf>
    <xf numFmtId="0" fontId="24" fillId="12" borderId="0" xfId="0" applyFont="1" applyFill="1" applyAlignment="1">
      <alignment wrapText="1"/>
    </xf>
    <xf numFmtId="0" fontId="12" fillId="12" borderId="0" xfId="0" applyFont="1" applyFill="1" applyAlignment="1">
      <alignment wrapText="1"/>
    </xf>
    <xf numFmtId="0" fontId="27" fillId="12" borderId="0" xfId="0" applyFont="1" applyFill="1" applyAlignment="1">
      <alignment wrapText="1"/>
    </xf>
    <xf numFmtId="0" fontId="18" fillId="12" borderId="0" xfId="0" applyFont="1" applyFill="1" applyAlignment="1">
      <alignment horizontal="left" wrapText="1"/>
    </xf>
    <xf numFmtId="0" fontId="29" fillId="12" borderId="0" xfId="0" applyFont="1" applyFill="1" applyAlignment="1">
      <alignment horizontal="left" vertical="center" wrapText="1" indent="1"/>
    </xf>
    <xf numFmtId="0" fontId="24" fillId="0" borderId="0" xfId="0" applyFont="1" applyAlignment="1">
      <alignment wrapText="1"/>
    </xf>
    <xf numFmtId="0" fontId="12" fillId="0" borderId="0" xfId="0" applyFont="1"/>
    <xf numFmtId="0" fontId="29" fillId="0" borderId="0" xfId="0" applyFont="1" applyAlignment="1">
      <alignment horizontal="left" vertical="center" wrapText="1" indent="1"/>
    </xf>
    <xf numFmtId="0" fontId="0" fillId="0" borderId="0" xfId="0" applyAlignment="1">
      <alignment horizontal="center"/>
    </xf>
    <xf numFmtId="0" fontId="2" fillId="12" borderId="0" xfId="0" applyFont="1" applyFill="1" applyAlignment="1">
      <alignment vertical="top" wrapText="1"/>
    </xf>
    <xf numFmtId="0" fontId="26" fillId="12" borderId="0" xfId="0" applyFont="1" applyFill="1" applyAlignment="1">
      <alignment wrapText="1"/>
    </xf>
    <xf numFmtId="0" fontId="30" fillId="12" borderId="0" xfId="0" applyFont="1" applyFill="1" applyAlignment="1">
      <alignment wrapText="1"/>
    </xf>
    <xf numFmtId="0" fontId="31" fillId="0" borderId="0" xfId="0" applyFont="1" applyAlignment="1">
      <alignment wrapText="1"/>
    </xf>
    <xf numFmtId="0" fontId="30" fillId="0" borderId="0" xfId="0" applyFont="1" applyAlignment="1">
      <alignment wrapText="1"/>
    </xf>
    <xf numFmtId="0" fontId="12" fillId="13" borderId="0" xfId="0" applyFont="1" applyFill="1" applyAlignment="1">
      <alignment wrapText="1"/>
    </xf>
    <xf numFmtId="0" fontId="26" fillId="13" borderId="0" xfId="0" applyFont="1" applyFill="1" applyAlignment="1">
      <alignment wrapText="1"/>
    </xf>
    <xf numFmtId="0" fontId="25" fillId="13" borderId="0" xfId="0" applyFont="1" applyFill="1" applyAlignment="1">
      <alignment wrapText="1"/>
    </xf>
    <xf numFmtId="0" fontId="25" fillId="12" borderId="0" xfId="0" applyFont="1" applyFill="1" applyAlignment="1">
      <alignment wrapText="1"/>
    </xf>
    <xf numFmtId="0" fontId="26" fillId="14" borderId="0" xfId="0" applyFont="1" applyFill="1" applyAlignment="1">
      <alignment wrapText="1"/>
    </xf>
    <xf numFmtId="0" fontId="32" fillId="0" borderId="0" xfId="0" applyFont="1"/>
    <xf numFmtId="0" fontId="2" fillId="0" borderId="1" xfId="0" applyFont="1" applyBorder="1"/>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K1610"/>
  <sheetViews>
    <sheetView topLeftCell="E1" zoomScale="85" zoomScaleNormal="85" workbookViewId="0">
      <pane ySplit="1" topLeftCell="A1551" activePane="bottomLeft" state="frozen"/>
      <selection pane="bottomLeft" activeCell="B1" sqref="B1:J1610"/>
    </sheetView>
  </sheetViews>
  <sheetFormatPr defaultRowHeight="14.4" x14ac:dyDescent="0.3"/>
  <cols>
    <col min="1" max="1" width="23.33203125" style="43" customWidth="1"/>
    <col min="2" max="2" width="14.88671875" customWidth="1"/>
    <col min="3" max="3" width="20" customWidth="1"/>
    <col min="4" max="4" width="18" customWidth="1"/>
    <col min="5" max="5" width="14" customWidth="1"/>
    <col min="6" max="6" width="65" customWidth="1"/>
    <col min="7" max="7" width="22.44140625" style="9" customWidth="1"/>
    <col min="8" max="8" width="34" customWidth="1"/>
    <col min="9" max="9" width="39.77734375" customWidth="1"/>
    <col min="10" max="10" width="30" customWidth="1"/>
    <col min="11" max="11" width="26" customWidth="1"/>
  </cols>
  <sheetData>
    <row r="1" spans="1:11" x14ac:dyDescent="0.3">
      <c r="A1" s="42" t="s">
        <v>2268</v>
      </c>
      <c r="B1" s="1" t="s">
        <v>0</v>
      </c>
      <c r="C1" s="1" t="s">
        <v>1</v>
      </c>
      <c r="D1" s="1" t="s">
        <v>2551</v>
      </c>
      <c r="E1" s="1" t="s">
        <v>3</v>
      </c>
      <c r="F1" s="1" t="s">
        <v>4</v>
      </c>
      <c r="G1" s="7" t="s">
        <v>2431</v>
      </c>
      <c r="H1" s="1" t="s">
        <v>5</v>
      </c>
      <c r="I1" s="1" t="s">
        <v>6</v>
      </c>
      <c r="J1" s="1" t="s">
        <v>7</v>
      </c>
      <c r="K1" s="1" t="s">
        <v>8</v>
      </c>
    </row>
    <row r="2" spans="1:11" ht="26.4" hidden="1" x14ac:dyDescent="0.3">
      <c r="A2" t="str">
        <f>C2&amp;"|"&amp;D2&amp;"|"&amp;E2</f>
        <v>Britain|Bartender|Black stone (20 gold)</v>
      </c>
      <c r="B2" s="2" t="s">
        <v>713</v>
      </c>
      <c r="C2" s="2" t="s">
        <v>858</v>
      </c>
      <c r="D2" s="2" t="s">
        <v>2277</v>
      </c>
      <c r="E2" s="2" t="s">
        <v>2280</v>
      </c>
      <c r="F2" s="2" t="s">
        <v>2281</v>
      </c>
      <c r="G2" s="8" t="str">
        <f>IF(ISNA(VLOOKUP(B2&amp;"|"&amp;C2&amp;"|"&amp;D2&amp;"|"&amp;E2,QuestionTriggers!A:F,6,FALSE)),"","---&gt;")</f>
        <v/>
      </c>
    </row>
    <row r="3" spans="1:11" ht="26.4" hidden="1" x14ac:dyDescent="0.3">
      <c r="A3" t="str">
        <f t="shared" ref="A3:A66" si="0">C3&amp;"|"&amp;D3&amp;"|"&amp;E3</f>
        <v>Britain|Bridge Guard|BRID</v>
      </c>
      <c r="B3" s="2" t="s">
        <v>713</v>
      </c>
      <c r="C3" s="2" t="s">
        <v>858</v>
      </c>
      <c r="D3" s="2" t="s">
        <v>889</v>
      </c>
      <c r="E3" s="2" t="s">
        <v>894</v>
      </c>
      <c r="F3" s="2" t="s">
        <v>895</v>
      </c>
      <c r="G3" s="8" t="str">
        <f>IF(ISNA(VLOOKUP(B3&amp;"|"&amp;C3&amp;"|"&amp;D3&amp;"|"&amp;E3,QuestionTriggers!A:F,6,FALSE)),"","---&gt;")</f>
        <v/>
      </c>
      <c r="H3" s="2" t="s">
        <v>890</v>
      </c>
      <c r="I3" s="2" t="s">
        <v>891</v>
      </c>
      <c r="J3" s="2" t="s">
        <v>892</v>
      </c>
      <c r="K3" s="2"/>
    </row>
    <row r="4" spans="1:11" ht="26.4" hidden="1" x14ac:dyDescent="0.3">
      <c r="A4" t="str">
        <f t="shared" si="0"/>
        <v>Britain|Bridge Guard|GUAR</v>
      </c>
      <c r="B4" s="2" t="s">
        <v>713</v>
      </c>
      <c r="C4" s="2" t="s">
        <v>858</v>
      </c>
      <c r="D4" s="2" t="s">
        <v>889</v>
      </c>
      <c r="E4" s="2" t="s">
        <v>34</v>
      </c>
      <c r="F4" s="2" t="s">
        <v>896</v>
      </c>
      <c r="G4" s="8" t="str">
        <f>IF(ISNA(VLOOKUP(B4&amp;"|"&amp;C4&amp;"|"&amp;D4&amp;"|"&amp;E4,QuestionTriggers!A:F,6,FALSE)),"","---&gt;")</f>
        <v>---&gt;</v>
      </c>
      <c r="H4" s="2" t="s">
        <v>890</v>
      </c>
      <c r="I4" s="2" t="s">
        <v>891</v>
      </c>
      <c r="J4" s="2" t="s">
        <v>892</v>
      </c>
      <c r="K4" s="2"/>
    </row>
    <row r="5" spans="1:11" ht="26.4" hidden="1" x14ac:dyDescent="0.3">
      <c r="A5" t="str">
        <f t="shared" si="0"/>
        <v>Britain|Bridge Guard|HEALTH</v>
      </c>
      <c r="B5" s="2" t="s">
        <v>713</v>
      </c>
      <c r="C5" s="2" t="s">
        <v>858</v>
      </c>
      <c r="D5" s="2" t="s">
        <v>889</v>
      </c>
      <c r="E5" s="2" t="s">
        <v>20</v>
      </c>
      <c r="F5" s="2" t="s">
        <v>177</v>
      </c>
      <c r="G5" s="8" t="str">
        <f>IF(ISNA(VLOOKUP(B5&amp;"|"&amp;C5&amp;"|"&amp;D5&amp;"|"&amp;E5,QuestionTriggers!A:F,6,FALSE)),"","---&gt;")</f>
        <v/>
      </c>
      <c r="H5" s="2" t="s">
        <v>890</v>
      </c>
      <c r="I5" s="2" t="s">
        <v>891</v>
      </c>
      <c r="J5" s="2" t="s">
        <v>892</v>
      </c>
      <c r="K5" s="2"/>
    </row>
    <row r="6" spans="1:11" ht="26.4" hidden="1" x14ac:dyDescent="0.3">
      <c r="A6" t="str">
        <f t="shared" si="0"/>
        <v>Britain|Bridge Guard|JOB</v>
      </c>
      <c r="B6" s="2" t="s">
        <v>713</v>
      </c>
      <c r="C6" s="2" t="s">
        <v>858</v>
      </c>
      <c r="D6" s="2" t="s">
        <v>889</v>
      </c>
      <c r="E6" s="2" t="s">
        <v>18</v>
      </c>
      <c r="F6" s="2" t="s">
        <v>893</v>
      </c>
      <c r="G6" s="8" t="str">
        <f>IF(ISNA(VLOOKUP(B6&amp;"|"&amp;C6&amp;"|"&amp;D6&amp;"|"&amp;E6,QuestionTriggers!A:F,6,FALSE)),"","---&gt;")</f>
        <v/>
      </c>
      <c r="H6" s="2" t="s">
        <v>890</v>
      </c>
      <c r="I6" s="2" t="s">
        <v>891</v>
      </c>
      <c r="J6" s="2" t="s">
        <v>892</v>
      </c>
      <c r="K6" s="2"/>
    </row>
    <row r="7" spans="1:11" ht="26.4" hidden="1" x14ac:dyDescent="0.3">
      <c r="A7" t="str">
        <f t="shared" si="0"/>
        <v>Britain|Bridge Guard|LOOK</v>
      </c>
      <c r="B7" s="2" t="s">
        <v>713</v>
      </c>
      <c r="C7" s="2" t="s">
        <v>858</v>
      </c>
      <c r="D7" s="2" t="s">
        <v>889</v>
      </c>
      <c r="E7" s="2" t="s">
        <v>16</v>
      </c>
      <c r="F7" s="2" t="s">
        <v>42</v>
      </c>
      <c r="G7" s="8" t="str">
        <f>IF(ISNA(VLOOKUP(B7&amp;"|"&amp;C7&amp;"|"&amp;D7&amp;"|"&amp;E7,QuestionTriggers!A:F,6,FALSE)),"","---&gt;")</f>
        <v/>
      </c>
      <c r="H7" s="2" t="s">
        <v>890</v>
      </c>
      <c r="I7" s="2" t="s">
        <v>891</v>
      </c>
      <c r="J7" s="2" t="s">
        <v>892</v>
      </c>
      <c r="K7" s="2"/>
    </row>
    <row r="8" spans="1:11" ht="26.4" hidden="1" x14ac:dyDescent="0.3">
      <c r="A8" t="str">
        <f t="shared" si="0"/>
        <v>Britain|Bridge Guard|NAME</v>
      </c>
      <c r="B8" s="2" t="s">
        <v>713</v>
      </c>
      <c r="C8" s="2" t="s">
        <v>858</v>
      </c>
      <c r="D8" s="2" t="s">
        <v>889</v>
      </c>
      <c r="E8" s="2" t="s">
        <v>12</v>
      </c>
      <c r="F8" s="2" t="s">
        <v>27</v>
      </c>
      <c r="G8" s="8" t="str">
        <f>IF(ISNA(VLOOKUP(B8&amp;"|"&amp;C8&amp;"|"&amp;D8&amp;"|"&amp;E8,QuestionTriggers!A:F,6,FALSE)),"","---&gt;")</f>
        <v/>
      </c>
      <c r="H8" s="2" t="s">
        <v>890</v>
      </c>
      <c r="I8" s="2" t="s">
        <v>891</v>
      </c>
      <c r="J8" s="2" t="s">
        <v>892</v>
      </c>
      <c r="K8" s="2"/>
    </row>
    <row r="9" spans="1:11" hidden="1" x14ac:dyDescent="0.3">
      <c r="A9" t="str">
        <f t="shared" si="0"/>
        <v>Britain|Child|COMP</v>
      </c>
      <c r="B9" s="2" t="s">
        <v>713</v>
      </c>
      <c r="C9" s="2" t="s">
        <v>858</v>
      </c>
      <c r="D9" s="2" t="s">
        <v>941</v>
      </c>
      <c r="E9" s="2" t="s">
        <v>241</v>
      </c>
      <c r="F9" s="2" t="s">
        <v>949</v>
      </c>
      <c r="G9" s="8" t="str">
        <f>IF(ISNA(VLOOKUP(B9&amp;"|"&amp;C9&amp;"|"&amp;D9&amp;"|"&amp;E9,QuestionTriggers!A:F,6,FALSE)),"","---&gt;")</f>
        <v>---&gt;</v>
      </c>
      <c r="H9" s="2" t="s">
        <v>942</v>
      </c>
      <c r="I9" s="2" t="s">
        <v>177</v>
      </c>
      <c r="J9" s="2" t="s">
        <v>943</v>
      </c>
      <c r="K9" s="2"/>
    </row>
    <row r="10" spans="1:11" hidden="1" x14ac:dyDescent="0.3">
      <c r="A10" t="str">
        <f t="shared" si="0"/>
        <v>Britain|Child|HEALTH</v>
      </c>
      <c r="B10" s="2" t="s">
        <v>713</v>
      </c>
      <c r="C10" s="2" t="s">
        <v>858</v>
      </c>
      <c r="D10" s="2" t="s">
        <v>941</v>
      </c>
      <c r="E10" s="2" t="s">
        <v>20</v>
      </c>
      <c r="F10" s="2" t="s">
        <v>946</v>
      </c>
      <c r="G10" s="8" t="str">
        <f>IF(ISNA(VLOOKUP(B10&amp;"|"&amp;C10&amp;"|"&amp;D10&amp;"|"&amp;E10,QuestionTriggers!A:F,6,FALSE)),"","---&gt;")</f>
        <v/>
      </c>
      <c r="H10" s="2" t="s">
        <v>942</v>
      </c>
      <c r="I10" s="2" t="s">
        <v>177</v>
      </c>
      <c r="J10" s="2" t="s">
        <v>943</v>
      </c>
      <c r="K10" s="2"/>
    </row>
    <row r="11" spans="1:11" hidden="1" x14ac:dyDescent="0.3">
      <c r="A11" t="str">
        <f t="shared" si="0"/>
        <v>Britain|Child|JOB</v>
      </c>
      <c r="B11" s="2" t="s">
        <v>713</v>
      </c>
      <c r="C11" s="2" t="s">
        <v>858</v>
      </c>
      <c r="D11" s="2" t="s">
        <v>941</v>
      </c>
      <c r="E11" s="2" t="s">
        <v>18</v>
      </c>
      <c r="F11" s="2" t="s">
        <v>945</v>
      </c>
      <c r="G11" s="8" t="str">
        <f>IF(ISNA(VLOOKUP(B11&amp;"|"&amp;C11&amp;"|"&amp;D11&amp;"|"&amp;E11,QuestionTriggers!A:F,6,FALSE)),"","---&gt;")</f>
        <v/>
      </c>
      <c r="H11" s="2" t="s">
        <v>942</v>
      </c>
      <c r="I11" s="2" t="s">
        <v>177</v>
      </c>
      <c r="J11" s="2" t="s">
        <v>943</v>
      </c>
      <c r="K11" s="2"/>
    </row>
    <row r="12" spans="1:11" hidden="1" x14ac:dyDescent="0.3">
      <c r="A12" t="str">
        <f t="shared" si="0"/>
        <v>Britain|Child|LEAR</v>
      </c>
      <c r="B12" s="2" t="s">
        <v>713</v>
      </c>
      <c r="C12" s="2" t="s">
        <v>858</v>
      </c>
      <c r="D12" s="2" t="s">
        <v>941</v>
      </c>
      <c r="E12" s="2" t="s">
        <v>947</v>
      </c>
      <c r="F12" s="2" t="s">
        <v>948</v>
      </c>
      <c r="G12" s="8" t="str">
        <f>IF(ISNA(VLOOKUP(B12&amp;"|"&amp;C12&amp;"|"&amp;D12&amp;"|"&amp;E12,QuestionTriggers!A:F,6,FALSE)),"","---&gt;")</f>
        <v/>
      </c>
      <c r="H12" s="2" t="s">
        <v>942</v>
      </c>
      <c r="I12" s="2" t="s">
        <v>177</v>
      </c>
      <c r="J12" s="2" t="s">
        <v>943</v>
      </c>
      <c r="K12" s="2"/>
    </row>
    <row r="13" spans="1:11" hidden="1" x14ac:dyDescent="0.3">
      <c r="A13" t="str">
        <f t="shared" si="0"/>
        <v>Britain|Child|LOOK</v>
      </c>
      <c r="B13" s="2" t="s">
        <v>713</v>
      </c>
      <c r="C13" s="2" t="s">
        <v>858</v>
      </c>
      <c r="D13" s="2" t="s">
        <v>941</v>
      </c>
      <c r="E13" s="2" t="s">
        <v>16</v>
      </c>
      <c r="F13" s="2" t="s">
        <v>944</v>
      </c>
      <c r="G13" s="8" t="str">
        <f>IF(ISNA(VLOOKUP(B13&amp;"|"&amp;C13&amp;"|"&amp;D13&amp;"|"&amp;E13,QuestionTriggers!A:F,6,FALSE)),"","---&gt;")</f>
        <v/>
      </c>
      <c r="H13" s="2" t="s">
        <v>942</v>
      </c>
      <c r="I13" s="2" t="s">
        <v>177</v>
      </c>
      <c r="J13" s="2" t="s">
        <v>943</v>
      </c>
      <c r="K13" s="2"/>
    </row>
    <row r="14" spans="1:11" hidden="1" x14ac:dyDescent="0.3">
      <c r="A14" t="str">
        <f t="shared" si="0"/>
        <v>Britain|Child|NAME</v>
      </c>
      <c r="B14" s="2" t="s">
        <v>713</v>
      </c>
      <c r="C14" s="2" t="s">
        <v>858</v>
      </c>
      <c r="D14" s="2" t="s">
        <v>941</v>
      </c>
      <c r="E14" s="2" t="s">
        <v>12</v>
      </c>
      <c r="F14" s="2" t="s">
        <v>878</v>
      </c>
      <c r="G14" s="8" t="str">
        <f>IF(ISNA(VLOOKUP(B14&amp;"|"&amp;C14&amp;"|"&amp;D14&amp;"|"&amp;E14,QuestionTriggers!A:F,6,FALSE)),"","---&gt;")</f>
        <v/>
      </c>
      <c r="H14" s="2" t="s">
        <v>942</v>
      </c>
      <c r="I14" s="2" t="s">
        <v>177</v>
      </c>
      <c r="J14" s="2" t="s">
        <v>943</v>
      </c>
      <c r="K14" s="2"/>
    </row>
    <row r="15" spans="1:11" hidden="1" x14ac:dyDescent="0.3">
      <c r="A15" t="str">
        <f t="shared" si="0"/>
        <v>Britain|Cricket|HEALTH</v>
      </c>
      <c r="B15" s="2" t="s">
        <v>713</v>
      </c>
      <c r="C15" s="2" t="s">
        <v>858</v>
      </c>
      <c r="D15" s="2" t="s">
        <v>924</v>
      </c>
      <c r="E15" s="2" t="s">
        <v>20</v>
      </c>
      <c r="F15" s="2" t="s">
        <v>930</v>
      </c>
      <c r="G15" s="8" t="str">
        <f>IF(ISNA(VLOOKUP(B15&amp;"|"&amp;C15&amp;"|"&amp;D15&amp;"|"&amp;E15,QuestionTriggers!A:F,6,FALSE)),"","---&gt;")</f>
        <v/>
      </c>
      <c r="H15" s="2" t="s">
        <v>925</v>
      </c>
      <c r="I15" s="2" t="s">
        <v>926</v>
      </c>
      <c r="J15" s="2" t="s">
        <v>927</v>
      </c>
      <c r="K15" s="2"/>
    </row>
    <row r="16" spans="1:11" hidden="1" x14ac:dyDescent="0.3">
      <c r="A16" t="str">
        <f t="shared" si="0"/>
        <v>Britain|Cricket|JOB</v>
      </c>
      <c r="B16" s="2" t="s">
        <v>713</v>
      </c>
      <c r="C16" s="2" t="s">
        <v>858</v>
      </c>
      <c r="D16" s="2" t="s">
        <v>924</v>
      </c>
      <c r="E16" s="2" t="s">
        <v>18</v>
      </c>
      <c r="F16" s="2" t="s">
        <v>929</v>
      </c>
      <c r="G16" s="8" t="str">
        <f>IF(ISNA(VLOOKUP(B16&amp;"|"&amp;C16&amp;"|"&amp;D16&amp;"|"&amp;E16,QuestionTriggers!A:F,6,FALSE)),"","---&gt;")</f>
        <v/>
      </c>
      <c r="H16" s="2" t="s">
        <v>925</v>
      </c>
      <c r="I16" s="2" t="s">
        <v>926</v>
      </c>
      <c r="J16" s="2" t="s">
        <v>927</v>
      </c>
      <c r="K16" s="2"/>
    </row>
    <row r="17" spans="1:11" hidden="1" x14ac:dyDescent="0.3">
      <c r="A17" t="str">
        <f t="shared" si="0"/>
        <v>Britain|Cricket|LOOK</v>
      </c>
      <c r="B17" s="2" t="s">
        <v>713</v>
      </c>
      <c r="C17" s="2" t="s">
        <v>858</v>
      </c>
      <c r="D17" s="2" t="s">
        <v>924</v>
      </c>
      <c r="E17" s="2" t="s">
        <v>16</v>
      </c>
      <c r="F17" s="2" t="s">
        <v>928</v>
      </c>
      <c r="G17" s="8" t="str">
        <f>IF(ISNA(VLOOKUP(B17&amp;"|"&amp;C17&amp;"|"&amp;D17&amp;"|"&amp;E17,QuestionTriggers!A:F,6,FALSE)),"","---&gt;")</f>
        <v/>
      </c>
      <c r="H17" s="2" t="s">
        <v>925</v>
      </c>
      <c r="I17" s="2" t="s">
        <v>926</v>
      </c>
      <c r="J17" s="2" t="s">
        <v>927</v>
      </c>
      <c r="K17" s="2"/>
    </row>
    <row r="18" spans="1:11" hidden="1" x14ac:dyDescent="0.3">
      <c r="A18" t="str">
        <f t="shared" si="0"/>
        <v>Britain|Cricket|MANT</v>
      </c>
      <c r="B18" s="2" t="s">
        <v>713</v>
      </c>
      <c r="C18" s="2" t="s">
        <v>858</v>
      </c>
      <c r="D18" s="2" t="s">
        <v>924</v>
      </c>
      <c r="E18" s="2" t="s">
        <v>742</v>
      </c>
      <c r="F18" s="2" t="s">
        <v>933</v>
      </c>
      <c r="G18" s="8" t="str">
        <f>IF(ISNA(VLOOKUP(B18&amp;"|"&amp;C18&amp;"|"&amp;D18&amp;"|"&amp;E18,QuestionTriggers!A:F,6,FALSE)),"","---&gt;")</f>
        <v>---&gt;</v>
      </c>
      <c r="H18" s="2" t="s">
        <v>925</v>
      </c>
      <c r="I18" s="2" t="s">
        <v>926</v>
      </c>
      <c r="J18" s="2" t="s">
        <v>927</v>
      </c>
      <c r="K18" s="2"/>
    </row>
    <row r="19" spans="1:11" hidden="1" x14ac:dyDescent="0.3">
      <c r="A19" t="str">
        <f t="shared" si="0"/>
        <v>Britain|Cricket|NAME</v>
      </c>
      <c r="B19" s="2" t="s">
        <v>713</v>
      </c>
      <c r="C19" s="2" t="s">
        <v>858</v>
      </c>
      <c r="D19" s="2" t="s">
        <v>924</v>
      </c>
      <c r="E19" s="2" t="s">
        <v>12</v>
      </c>
      <c r="F19" s="2" t="s">
        <v>924</v>
      </c>
      <c r="G19" s="8" t="str">
        <f>IF(ISNA(VLOOKUP(B19&amp;"|"&amp;C19&amp;"|"&amp;D19&amp;"|"&amp;E19,QuestionTriggers!A:F,6,FALSE)),"","---&gt;")</f>
        <v/>
      </c>
      <c r="H19" s="2" t="s">
        <v>925</v>
      </c>
      <c r="I19" s="2" t="s">
        <v>926</v>
      </c>
      <c r="J19" s="2" t="s">
        <v>927</v>
      </c>
      <c r="K19" s="2"/>
    </row>
    <row r="20" spans="1:11" hidden="1" x14ac:dyDescent="0.3">
      <c r="A20" t="str">
        <f t="shared" si="0"/>
        <v>Britain|Cricket|SHHH</v>
      </c>
      <c r="B20" s="2" t="s">
        <v>713</v>
      </c>
      <c r="C20" s="2" t="s">
        <v>858</v>
      </c>
      <c r="D20" s="2" t="s">
        <v>924</v>
      </c>
      <c r="E20" s="2" t="s">
        <v>931</v>
      </c>
      <c r="F20" s="2" t="s">
        <v>932</v>
      </c>
      <c r="G20" s="8" t="str">
        <f>IF(ISNA(VLOOKUP(B20&amp;"|"&amp;C20&amp;"|"&amp;D20&amp;"|"&amp;E20,QuestionTriggers!A:F,6,FALSE)),"","---&gt;")</f>
        <v/>
      </c>
      <c r="H20" s="2" t="s">
        <v>925</v>
      </c>
      <c r="I20" s="2" t="s">
        <v>926</v>
      </c>
      <c r="J20" s="2" t="s">
        <v>927</v>
      </c>
      <c r="K20" s="2"/>
    </row>
    <row r="21" spans="1:11" hidden="1" x14ac:dyDescent="0.3">
      <c r="A21" t="str">
        <f t="shared" si="0"/>
        <v>Britain|Gate Guard|COMP</v>
      </c>
      <c r="B21" s="2" t="s">
        <v>713</v>
      </c>
      <c r="C21" s="2" t="s">
        <v>858</v>
      </c>
      <c r="D21" s="2" t="s">
        <v>26</v>
      </c>
      <c r="E21" s="2" t="s">
        <v>241</v>
      </c>
      <c r="F21" s="2" t="s">
        <v>940</v>
      </c>
      <c r="G21" s="8" t="str">
        <f>IF(ISNA(VLOOKUP(B21&amp;"|"&amp;C21&amp;"|"&amp;D21&amp;"|"&amp;E21,QuestionTriggers!A:F,6,FALSE)),"","---&gt;")</f>
        <v>---&gt;</v>
      </c>
      <c r="H21" s="2" t="s">
        <v>934</v>
      </c>
      <c r="I21" s="2" t="s">
        <v>935</v>
      </c>
      <c r="J21" s="2" t="s">
        <v>177</v>
      </c>
      <c r="K21" s="2"/>
    </row>
    <row r="22" spans="1:11" hidden="1" x14ac:dyDescent="0.3">
      <c r="A22" t="str">
        <f t="shared" si="0"/>
        <v>Britain|Gate Guard|GUAR</v>
      </c>
      <c r="B22" s="2" t="s">
        <v>713</v>
      </c>
      <c r="C22" s="2" t="s">
        <v>858</v>
      </c>
      <c r="D22" s="2" t="s">
        <v>26</v>
      </c>
      <c r="E22" s="2" t="s">
        <v>34</v>
      </c>
      <c r="F22" s="2" t="s">
        <v>939</v>
      </c>
      <c r="G22" s="8" t="str">
        <f>IF(ISNA(VLOOKUP(B22&amp;"|"&amp;C22&amp;"|"&amp;D22&amp;"|"&amp;E22,QuestionTriggers!A:F,6,FALSE)),"","---&gt;")</f>
        <v/>
      </c>
      <c r="H22" s="2" t="s">
        <v>934</v>
      </c>
      <c r="I22" s="2" t="s">
        <v>935</v>
      </c>
      <c r="J22" s="2" t="s">
        <v>177</v>
      </c>
      <c r="K22" s="2"/>
    </row>
    <row r="23" spans="1:11" hidden="1" x14ac:dyDescent="0.3">
      <c r="A23" t="str">
        <f t="shared" si="0"/>
        <v>Britain|Gate Guard|HEALTH</v>
      </c>
      <c r="B23" s="2" t="s">
        <v>713</v>
      </c>
      <c r="C23" s="2" t="s">
        <v>858</v>
      </c>
      <c r="D23" s="2" t="s">
        <v>26</v>
      </c>
      <c r="E23" s="2" t="s">
        <v>20</v>
      </c>
      <c r="F23" s="2" t="s">
        <v>938</v>
      </c>
      <c r="G23" s="8" t="str">
        <f>IF(ISNA(VLOOKUP(B23&amp;"|"&amp;C23&amp;"|"&amp;D23&amp;"|"&amp;E23,QuestionTriggers!A:F,6,FALSE)),"","---&gt;")</f>
        <v/>
      </c>
      <c r="H23" s="2" t="s">
        <v>934</v>
      </c>
      <c r="I23" s="2" t="s">
        <v>935</v>
      </c>
      <c r="J23" s="2" t="s">
        <v>177</v>
      </c>
      <c r="K23" s="2"/>
    </row>
    <row r="24" spans="1:11" hidden="1" x14ac:dyDescent="0.3">
      <c r="A24" t="str">
        <f t="shared" si="0"/>
        <v>Britain|Gate Guard|JOB</v>
      </c>
      <c r="B24" s="2" t="s">
        <v>713</v>
      </c>
      <c r="C24" s="2" t="s">
        <v>858</v>
      </c>
      <c r="D24" s="2" t="s">
        <v>26</v>
      </c>
      <c r="E24" s="2" t="s">
        <v>18</v>
      </c>
      <c r="F24" s="2" t="s">
        <v>937</v>
      </c>
      <c r="G24" s="8" t="str">
        <f>IF(ISNA(VLOOKUP(B24&amp;"|"&amp;C24&amp;"|"&amp;D24&amp;"|"&amp;E24,QuestionTriggers!A:F,6,FALSE)),"","---&gt;")</f>
        <v/>
      </c>
      <c r="H24" s="2" t="s">
        <v>934</v>
      </c>
      <c r="I24" s="2" t="s">
        <v>935</v>
      </c>
      <c r="J24" s="2" t="s">
        <v>177</v>
      </c>
      <c r="K24" s="2"/>
    </row>
    <row r="25" spans="1:11" hidden="1" x14ac:dyDescent="0.3">
      <c r="A25" t="str">
        <f t="shared" si="0"/>
        <v>Britain|Gate Guard|LOOK</v>
      </c>
      <c r="B25" s="2" t="s">
        <v>713</v>
      </c>
      <c r="C25" s="2" t="s">
        <v>858</v>
      </c>
      <c r="D25" s="2" t="s">
        <v>26</v>
      </c>
      <c r="E25" s="2" t="s">
        <v>16</v>
      </c>
      <c r="F25" s="2" t="s">
        <v>936</v>
      </c>
      <c r="G25" s="8" t="str">
        <f>IF(ISNA(VLOOKUP(B25&amp;"|"&amp;C25&amp;"|"&amp;D25&amp;"|"&amp;E25,QuestionTriggers!A:F,6,FALSE)),"","---&gt;")</f>
        <v/>
      </c>
      <c r="H25" s="2" t="s">
        <v>934</v>
      </c>
      <c r="I25" s="2" t="s">
        <v>935</v>
      </c>
      <c r="J25" s="2" t="s">
        <v>177</v>
      </c>
      <c r="K25" s="2"/>
    </row>
    <row r="26" spans="1:11" hidden="1" x14ac:dyDescent="0.3">
      <c r="A26" t="str">
        <f t="shared" si="0"/>
        <v>Britain|Gate Guard|NAME</v>
      </c>
      <c r="B26" s="2" t="s">
        <v>713</v>
      </c>
      <c r="C26" s="2" t="s">
        <v>858</v>
      </c>
      <c r="D26" s="2" t="s">
        <v>26</v>
      </c>
      <c r="E26" s="2" t="s">
        <v>12</v>
      </c>
      <c r="F26" s="2" t="s">
        <v>27</v>
      </c>
      <c r="G26" s="8" t="str">
        <f>IF(ISNA(VLOOKUP(B26&amp;"|"&amp;C26&amp;"|"&amp;D26&amp;"|"&amp;E26,QuestionTriggers!A:F,6,FALSE)),"","---&gt;")</f>
        <v/>
      </c>
      <c r="H26" s="2" t="s">
        <v>934</v>
      </c>
      <c r="I26" s="2" t="s">
        <v>935</v>
      </c>
      <c r="J26" s="2" t="s">
        <v>177</v>
      </c>
      <c r="K26" s="2"/>
    </row>
    <row r="27" spans="1:11" hidden="1" x14ac:dyDescent="0.3">
      <c r="A27" t="str">
        <f t="shared" si="0"/>
        <v>Britain|Gwenno|BEGG</v>
      </c>
      <c r="B27" s="2" t="s">
        <v>713</v>
      </c>
      <c r="C27" s="2" t="s">
        <v>858</v>
      </c>
      <c r="D27" s="2" t="s">
        <v>868</v>
      </c>
      <c r="E27" s="2" t="s">
        <v>875</v>
      </c>
      <c r="F27" s="2" t="s">
        <v>876</v>
      </c>
      <c r="G27" s="8" t="str">
        <f>IF(ISNA(VLOOKUP(B27&amp;"|"&amp;C27&amp;"|"&amp;D27&amp;"|"&amp;E27,QuestionTriggers!A:F,6,FALSE)),"","---&gt;")</f>
        <v>---&gt;</v>
      </c>
      <c r="H27" s="2" t="s">
        <v>869</v>
      </c>
      <c r="I27" s="2" t="s">
        <v>870</v>
      </c>
      <c r="J27" s="2" t="s">
        <v>197</v>
      </c>
      <c r="K27" s="2"/>
    </row>
    <row r="28" spans="1:11" hidden="1" x14ac:dyDescent="0.3">
      <c r="A28" t="str">
        <f t="shared" si="0"/>
        <v>Britain|Gwenno|DANC</v>
      </c>
      <c r="B28" s="2" t="s">
        <v>713</v>
      </c>
      <c r="C28" s="2" t="s">
        <v>858</v>
      </c>
      <c r="D28" s="2" t="s">
        <v>868</v>
      </c>
      <c r="E28" s="2" t="s">
        <v>873</v>
      </c>
      <c r="F28" s="2" t="s">
        <v>874</v>
      </c>
      <c r="G28" s="8" t="str">
        <f>IF(ISNA(VLOOKUP(B28&amp;"|"&amp;C28&amp;"|"&amp;D28&amp;"|"&amp;E28,QuestionTriggers!A:F,6,FALSE)),"","---&gt;")</f>
        <v/>
      </c>
      <c r="H28" s="2" t="s">
        <v>869</v>
      </c>
      <c r="I28" s="2" t="s">
        <v>870</v>
      </c>
      <c r="J28" s="2" t="s">
        <v>197</v>
      </c>
      <c r="K28" s="2"/>
    </row>
    <row r="29" spans="1:11" hidden="1" x14ac:dyDescent="0.3">
      <c r="A29" t="str">
        <f t="shared" si="0"/>
        <v>Britain|Gwenno|HEALTH</v>
      </c>
      <c r="B29" s="2" t="s">
        <v>713</v>
      </c>
      <c r="C29" s="2" t="s">
        <v>858</v>
      </c>
      <c r="D29" s="2" t="s">
        <v>868</v>
      </c>
      <c r="E29" s="2" t="s">
        <v>20</v>
      </c>
      <c r="F29" s="2" t="s">
        <v>284</v>
      </c>
      <c r="G29" s="8" t="str">
        <f>IF(ISNA(VLOOKUP(B29&amp;"|"&amp;C29&amp;"|"&amp;D29&amp;"|"&amp;E29,QuestionTriggers!A:F,6,FALSE)),"","---&gt;")</f>
        <v/>
      </c>
      <c r="H29" s="2" t="s">
        <v>869</v>
      </c>
      <c r="I29" s="2" t="s">
        <v>870</v>
      </c>
      <c r="J29" s="2" t="s">
        <v>197</v>
      </c>
      <c r="K29" s="2"/>
    </row>
    <row r="30" spans="1:11" hidden="1" x14ac:dyDescent="0.3">
      <c r="A30" t="str">
        <f t="shared" si="0"/>
        <v>Britain|Gwenno|JOB</v>
      </c>
      <c r="B30" s="2" t="s">
        <v>713</v>
      </c>
      <c r="C30" s="2" t="s">
        <v>858</v>
      </c>
      <c r="D30" s="2" t="s">
        <v>868</v>
      </c>
      <c r="E30" s="2" t="s">
        <v>18</v>
      </c>
      <c r="F30" s="2" t="s">
        <v>872</v>
      </c>
      <c r="G30" s="8" t="str">
        <f>IF(ISNA(VLOOKUP(B30&amp;"|"&amp;C30&amp;"|"&amp;D30&amp;"|"&amp;E30,QuestionTriggers!A:F,6,FALSE)),"","---&gt;")</f>
        <v/>
      </c>
      <c r="H30" s="2" t="s">
        <v>869</v>
      </c>
      <c r="I30" s="2" t="s">
        <v>870</v>
      </c>
      <c r="J30" s="2" t="s">
        <v>197</v>
      </c>
      <c r="K30" s="2"/>
    </row>
    <row r="31" spans="1:11" hidden="1" x14ac:dyDescent="0.3">
      <c r="A31" t="str">
        <f t="shared" si="0"/>
        <v>Britain|Gwenno|LOOK</v>
      </c>
      <c r="B31" s="2" t="s">
        <v>713</v>
      </c>
      <c r="C31" s="2" t="s">
        <v>858</v>
      </c>
      <c r="D31" s="2" t="s">
        <v>868</v>
      </c>
      <c r="E31" s="2" t="s">
        <v>16</v>
      </c>
      <c r="F31" s="2" t="s">
        <v>871</v>
      </c>
      <c r="G31" s="8" t="str">
        <f>IF(ISNA(VLOOKUP(B31&amp;"|"&amp;C31&amp;"|"&amp;D31&amp;"|"&amp;E31,QuestionTriggers!A:F,6,FALSE)),"","---&gt;")</f>
        <v/>
      </c>
      <c r="H31" s="2" t="s">
        <v>869</v>
      </c>
      <c r="I31" s="2" t="s">
        <v>870</v>
      </c>
      <c r="J31" s="2" t="s">
        <v>197</v>
      </c>
      <c r="K31" s="2"/>
    </row>
    <row r="32" spans="1:11" hidden="1" x14ac:dyDescent="0.3">
      <c r="A32" t="str">
        <f t="shared" si="0"/>
        <v>Britain|Gwenno|NAME</v>
      </c>
      <c r="B32" s="2" t="s">
        <v>713</v>
      </c>
      <c r="C32" s="2" t="s">
        <v>858</v>
      </c>
      <c r="D32" s="2" t="s">
        <v>868</v>
      </c>
      <c r="E32" s="2" t="s">
        <v>12</v>
      </c>
      <c r="F32" s="2" t="s">
        <v>868</v>
      </c>
      <c r="G32" s="8" t="str">
        <f>IF(ISNA(VLOOKUP(B32&amp;"|"&amp;C32&amp;"|"&amp;D32&amp;"|"&amp;E32,QuestionTriggers!A:F,6,FALSE)),"","---&gt;")</f>
        <v/>
      </c>
      <c r="H32" s="2" t="s">
        <v>869</v>
      </c>
      <c r="I32" s="2" t="s">
        <v>870</v>
      </c>
      <c r="J32" s="2" t="s">
        <v>197</v>
      </c>
      <c r="K32" s="2"/>
    </row>
    <row r="33" spans="1:11" hidden="1" x14ac:dyDescent="0.3">
      <c r="A33" t="str">
        <f t="shared" si="0"/>
        <v>Britain|Iolo|COMP</v>
      </c>
      <c r="B33" s="2" t="s">
        <v>713</v>
      </c>
      <c r="C33" s="2" t="s">
        <v>858</v>
      </c>
      <c r="D33" s="2" t="s">
        <v>859</v>
      </c>
      <c r="E33" s="2" t="s">
        <v>241</v>
      </c>
      <c r="F33" s="2" t="s">
        <v>867</v>
      </c>
      <c r="G33" s="8" t="str">
        <f>IF(ISNA(VLOOKUP(B33&amp;"|"&amp;C33&amp;"|"&amp;D33&amp;"|"&amp;E33,QuestionTriggers!A:F,6,FALSE)),"","---&gt;")</f>
        <v>---&gt;</v>
      </c>
      <c r="H33" s="2" t="s">
        <v>860</v>
      </c>
      <c r="I33" s="2" t="s">
        <v>861</v>
      </c>
      <c r="J33" s="2" t="s">
        <v>862</v>
      </c>
      <c r="K33" s="2"/>
    </row>
    <row r="34" spans="1:11" hidden="1" x14ac:dyDescent="0.3">
      <c r="A34" t="str">
        <f t="shared" si="0"/>
        <v>Britain|Iolo|HEALTH</v>
      </c>
      <c r="B34" s="2" t="s">
        <v>713</v>
      </c>
      <c r="C34" s="2" t="s">
        <v>858</v>
      </c>
      <c r="D34" s="2" t="s">
        <v>859</v>
      </c>
      <c r="E34" s="2" t="s">
        <v>20</v>
      </c>
      <c r="F34" s="2" t="s">
        <v>177</v>
      </c>
      <c r="G34" s="8" t="str">
        <f>IF(ISNA(VLOOKUP(B34&amp;"|"&amp;C34&amp;"|"&amp;D34&amp;"|"&amp;E34,QuestionTriggers!A:F,6,FALSE)),"","---&gt;")</f>
        <v/>
      </c>
      <c r="H34" s="2" t="s">
        <v>860</v>
      </c>
      <c r="I34" s="2" t="s">
        <v>861</v>
      </c>
      <c r="J34" s="2" t="s">
        <v>862</v>
      </c>
      <c r="K34" s="2"/>
    </row>
    <row r="35" spans="1:11" hidden="1" x14ac:dyDescent="0.3">
      <c r="A35" t="str">
        <f t="shared" si="0"/>
        <v>Britain|Iolo|JOB</v>
      </c>
      <c r="B35" s="2" t="s">
        <v>713</v>
      </c>
      <c r="C35" s="2" t="s">
        <v>858</v>
      </c>
      <c r="D35" s="2" t="s">
        <v>859</v>
      </c>
      <c r="E35" s="2" t="s">
        <v>18</v>
      </c>
      <c r="F35" s="2" t="s">
        <v>864</v>
      </c>
      <c r="G35" s="8" t="str">
        <f>IF(ISNA(VLOOKUP(B35&amp;"|"&amp;C35&amp;"|"&amp;D35&amp;"|"&amp;E35,QuestionTriggers!A:F,6,FALSE)),"","---&gt;")</f>
        <v/>
      </c>
      <c r="H35" s="2" t="s">
        <v>860</v>
      </c>
      <c r="I35" s="2" t="s">
        <v>861</v>
      </c>
      <c r="J35" s="2" t="s">
        <v>862</v>
      </c>
      <c r="K35" s="2"/>
    </row>
    <row r="36" spans="1:11" hidden="1" x14ac:dyDescent="0.3">
      <c r="A36" t="str">
        <f t="shared" si="0"/>
        <v>Britain|Iolo|LOOK</v>
      </c>
      <c r="B36" s="2" t="s">
        <v>713</v>
      </c>
      <c r="C36" s="2" t="s">
        <v>858</v>
      </c>
      <c r="D36" s="2" t="s">
        <v>859</v>
      </c>
      <c r="E36" s="2" t="s">
        <v>16</v>
      </c>
      <c r="F36" s="2" t="s">
        <v>863</v>
      </c>
      <c r="G36" s="8" t="str">
        <f>IF(ISNA(VLOOKUP(B36&amp;"|"&amp;C36&amp;"|"&amp;D36&amp;"|"&amp;E36,QuestionTriggers!A:F,6,FALSE)),"","---&gt;")</f>
        <v/>
      </c>
      <c r="H36" s="2" t="s">
        <v>860</v>
      </c>
      <c r="I36" s="2" t="s">
        <v>861</v>
      </c>
      <c r="J36" s="2" t="s">
        <v>862</v>
      </c>
      <c r="K36" s="2"/>
    </row>
    <row r="37" spans="1:11" hidden="1" x14ac:dyDescent="0.3">
      <c r="A37" t="str">
        <f t="shared" si="0"/>
        <v>Britain|Iolo|NAME</v>
      </c>
      <c r="B37" s="2" t="s">
        <v>713</v>
      </c>
      <c r="C37" s="2" t="s">
        <v>858</v>
      </c>
      <c r="D37" s="2" t="s">
        <v>859</v>
      </c>
      <c r="E37" s="2" t="s">
        <v>12</v>
      </c>
      <c r="F37" s="2" t="s">
        <v>859</v>
      </c>
      <c r="G37" s="8" t="str">
        <f>IF(ISNA(VLOOKUP(B37&amp;"|"&amp;C37&amp;"|"&amp;D37&amp;"|"&amp;E37,QuestionTriggers!A:F,6,FALSE)),"","---&gt;")</f>
        <v/>
      </c>
      <c r="H37" s="2" t="s">
        <v>860</v>
      </c>
      <c r="I37" s="2" t="s">
        <v>861</v>
      </c>
      <c r="J37" s="2" t="s">
        <v>862</v>
      </c>
      <c r="K37" s="2"/>
    </row>
    <row r="38" spans="1:11" hidden="1" x14ac:dyDescent="0.3">
      <c r="A38" t="str">
        <f t="shared" si="0"/>
        <v>Britain|Iolo|PLAY</v>
      </c>
      <c r="B38" s="2" t="s">
        <v>713</v>
      </c>
      <c r="C38" s="2" t="s">
        <v>858</v>
      </c>
      <c r="D38" s="2" t="s">
        <v>859</v>
      </c>
      <c r="E38" s="2" t="s">
        <v>865</v>
      </c>
      <c r="F38" s="2" t="s">
        <v>866</v>
      </c>
      <c r="G38" s="8" t="str">
        <f>IF(ISNA(VLOOKUP(B38&amp;"|"&amp;C38&amp;"|"&amp;D38&amp;"|"&amp;E38,QuestionTriggers!A:F,6,FALSE)),"","---&gt;")</f>
        <v/>
      </c>
      <c r="H38" s="2" t="s">
        <v>860</v>
      </c>
      <c r="I38" s="2" t="s">
        <v>861</v>
      </c>
      <c r="J38" s="2" t="s">
        <v>862</v>
      </c>
      <c r="K38" s="2"/>
    </row>
    <row r="39" spans="1:11" ht="26.4" hidden="1" x14ac:dyDescent="0.3">
      <c r="A39" t="str">
        <f t="shared" si="0"/>
        <v>Britain|Joe|HEALTH</v>
      </c>
      <c r="B39" s="2" t="s">
        <v>713</v>
      </c>
      <c r="C39" s="2" t="s">
        <v>858</v>
      </c>
      <c r="D39" s="2" t="s">
        <v>914</v>
      </c>
      <c r="E39" s="2" t="s">
        <v>20</v>
      </c>
      <c r="F39" s="2" t="s">
        <v>920</v>
      </c>
      <c r="G39" s="8" t="str">
        <f>IF(ISNA(VLOOKUP(B39&amp;"|"&amp;C39&amp;"|"&amp;D39&amp;"|"&amp;E39,QuestionTriggers!A:F,6,FALSE)),"","---&gt;")</f>
        <v/>
      </c>
      <c r="H39" s="2" t="s">
        <v>915</v>
      </c>
      <c r="I39" s="2" t="s">
        <v>916</v>
      </c>
      <c r="J39" s="2" t="s">
        <v>917</v>
      </c>
      <c r="K39" s="2"/>
    </row>
    <row r="40" spans="1:11" ht="26.4" hidden="1" x14ac:dyDescent="0.3">
      <c r="A40" t="str">
        <f t="shared" si="0"/>
        <v>Britain|Joe|JOB</v>
      </c>
      <c r="B40" s="2" t="s">
        <v>713</v>
      </c>
      <c r="C40" s="2" t="s">
        <v>858</v>
      </c>
      <c r="D40" s="2" t="s">
        <v>914</v>
      </c>
      <c r="E40" s="2" t="s">
        <v>18</v>
      </c>
      <c r="F40" s="2" t="s">
        <v>919</v>
      </c>
      <c r="G40" s="8" t="str">
        <f>IF(ISNA(VLOOKUP(B40&amp;"|"&amp;C40&amp;"|"&amp;D40&amp;"|"&amp;E40,QuestionTriggers!A:F,6,FALSE)),"","---&gt;")</f>
        <v/>
      </c>
      <c r="H40" s="2" t="s">
        <v>915</v>
      </c>
      <c r="I40" s="2" t="s">
        <v>916</v>
      </c>
      <c r="J40" s="2" t="s">
        <v>917</v>
      </c>
      <c r="K40" s="2"/>
    </row>
    <row r="41" spans="1:11" ht="26.4" hidden="1" x14ac:dyDescent="0.3">
      <c r="A41" t="str">
        <f t="shared" si="0"/>
        <v>Britain|Joe|LOOK</v>
      </c>
      <c r="B41" s="2" t="s">
        <v>713</v>
      </c>
      <c r="C41" s="2" t="s">
        <v>858</v>
      </c>
      <c r="D41" s="2" t="s">
        <v>914</v>
      </c>
      <c r="E41" s="2" t="s">
        <v>16</v>
      </c>
      <c r="F41" s="2" t="s">
        <v>918</v>
      </c>
      <c r="G41" s="8" t="str">
        <f>IF(ISNA(VLOOKUP(B41&amp;"|"&amp;C41&amp;"|"&amp;D41&amp;"|"&amp;E41,QuestionTriggers!A:F,6,FALSE)),"","---&gt;")</f>
        <v/>
      </c>
      <c r="H41" s="2" t="s">
        <v>915</v>
      </c>
      <c r="I41" s="2" t="s">
        <v>916</v>
      </c>
      <c r="J41" s="2" t="s">
        <v>917</v>
      </c>
      <c r="K41" s="2"/>
    </row>
    <row r="42" spans="1:11" ht="26.4" hidden="1" x14ac:dyDescent="0.3">
      <c r="A42" t="str">
        <f t="shared" si="0"/>
        <v>Britain|Joe|NAME</v>
      </c>
      <c r="B42" s="2" t="s">
        <v>713</v>
      </c>
      <c r="C42" s="2" t="s">
        <v>858</v>
      </c>
      <c r="D42" s="2" t="s">
        <v>914</v>
      </c>
      <c r="E42" s="2" t="s">
        <v>12</v>
      </c>
      <c r="F42" s="2" t="s">
        <v>914</v>
      </c>
      <c r="G42" s="8" t="str">
        <f>IF(ISNA(VLOOKUP(B42&amp;"|"&amp;C42&amp;"|"&amp;D42&amp;"|"&amp;E42,QuestionTriggers!A:F,6,FALSE)),"","---&gt;")</f>
        <v/>
      </c>
      <c r="H42" s="2" t="s">
        <v>915</v>
      </c>
      <c r="I42" s="2" t="s">
        <v>916</v>
      </c>
      <c r="J42" s="2" t="s">
        <v>917</v>
      </c>
      <c r="K42" s="2"/>
    </row>
    <row r="43" spans="1:11" ht="26.4" hidden="1" x14ac:dyDescent="0.3">
      <c r="A43" t="str">
        <f t="shared" si="0"/>
        <v>Britain|Joe|RUM</v>
      </c>
      <c r="B43" s="2" t="s">
        <v>713</v>
      </c>
      <c r="C43" s="2" t="s">
        <v>858</v>
      </c>
      <c r="D43" s="2" t="s">
        <v>914</v>
      </c>
      <c r="E43" s="2" t="s">
        <v>922</v>
      </c>
      <c r="F43" s="2" t="s">
        <v>923</v>
      </c>
      <c r="G43" s="8" t="str">
        <f>IF(ISNA(VLOOKUP(B43&amp;"|"&amp;C43&amp;"|"&amp;D43&amp;"|"&amp;E43,QuestionTriggers!A:F,6,FALSE)),"","---&gt;")</f>
        <v>---&gt;</v>
      </c>
      <c r="H43" s="2" t="s">
        <v>915</v>
      </c>
      <c r="I43" s="2" t="s">
        <v>916</v>
      </c>
      <c r="J43" s="2" t="s">
        <v>917</v>
      </c>
      <c r="K43" s="2"/>
    </row>
    <row r="44" spans="1:11" ht="26.4" hidden="1" x14ac:dyDescent="0.3">
      <c r="A44" t="str">
        <f t="shared" si="0"/>
        <v>Britain|Joe|STON</v>
      </c>
      <c r="B44" s="2" t="s">
        <v>713</v>
      </c>
      <c r="C44" s="2" t="s">
        <v>858</v>
      </c>
      <c r="D44" s="2" t="s">
        <v>914</v>
      </c>
      <c r="E44" s="2" t="s">
        <v>854</v>
      </c>
      <c r="F44" s="2" t="s">
        <v>921</v>
      </c>
      <c r="G44" s="8" t="str">
        <f>IF(ISNA(VLOOKUP(B44&amp;"|"&amp;C44&amp;"|"&amp;D44&amp;"|"&amp;E44,QuestionTriggers!A:F,6,FALSE)),"","---&gt;")</f>
        <v/>
      </c>
      <c r="H44" s="2" t="s">
        <v>915</v>
      </c>
      <c r="I44" s="2" t="s">
        <v>916</v>
      </c>
      <c r="J44" s="2" t="s">
        <v>917</v>
      </c>
      <c r="K44" s="2"/>
    </row>
    <row r="45" spans="1:11" ht="26.4" hidden="1" x14ac:dyDescent="0.3">
      <c r="A45" t="str">
        <f t="shared" si="0"/>
        <v>Britain|Julio|COMP</v>
      </c>
      <c r="B45" s="2" t="s">
        <v>713</v>
      </c>
      <c r="C45" s="2" t="s">
        <v>858</v>
      </c>
      <c r="D45" s="2" t="s">
        <v>975</v>
      </c>
      <c r="E45" s="2" t="s">
        <v>241</v>
      </c>
      <c r="F45" s="2" t="s">
        <v>983</v>
      </c>
      <c r="G45" s="8" t="str">
        <f>IF(ISNA(VLOOKUP(B45&amp;"|"&amp;C45&amp;"|"&amp;D45&amp;"|"&amp;E45,QuestionTriggers!A:F,6,FALSE)),"","---&gt;")</f>
        <v>---&gt;</v>
      </c>
      <c r="H45" s="2" t="s">
        <v>976</v>
      </c>
      <c r="I45" s="2" t="s">
        <v>977</v>
      </c>
      <c r="J45" s="2" t="s">
        <v>978</v>
      </c>
      <c r="K45" s="2" t="s">
        <v>51</v>
      </c>
    </row>
    <row r="46" spans="1:11" ht="26.4" hidden="1" x14ac:dyDescent="0.3">
      <c r="A46" t="str">
        <f t="shared" si="0"/>
        <v>Britain|Julio|HEALTH</v>
      </c>
      <c r="B46" s="2" t="s">
        <v>713</v>
      </c>
      <c r="C46" s="2" t="s">
        <v>858</v>
      </c>
      <c r="D46" s="2" t="s">
        <v>975</v>
      </c>
      <c r="E46" s="2" t="s">
        <v>20</v>
      </c>
      <c r="F46" s="2" t="s">
        <v>980</v>
      </c>
      <c r="G46" s="8" t="str">
        <f>IF(ISNA(VLOOKUP(B46&amp;"|"&amp;C46&amp;"|"&amp;D46&amp;"|"&amp;E46,QuestionTriggers!A:F,6,FALSE)),"","---&gt;")</f>
        <v/>
      </c>
      <c r="H46" s="2" t="s">
        <v>976</v>
      </c>
      <c r="I46" s="2" t="s">
        <v>977</v>
      </c>
      <c r="J46" s="2" t="s">
        <v>978</v>
      </c>
      <c r="K46" s="2" t="s">
        <v>51</v>
      </c>
    </row>
    <row r="47" spans="1:11" ht="26.4" hidden="1" x14ac:dyDescent="0.3">
      <c r="A47" t="str">
        <f t="shared" si="0"/>
        <v>Britain|Julio|JOB</v>
      </c>
      <c r="B47" s="2" t="s">
        <v>713</v>
      </c>
      <c r="C47" s="2" t="s">
        <v>858</v>
      </c>
      <c r="D47" s="2" t="s">
        <v>975</v>
      </c>
      <c r="E47" s="2" t="s">
        <v>18</v>
      </c>
      <c r="F47" s="2" t="s">
        <v>979</v>
      </c>
      <c r="G47" s="8" t="str">
        <f>IF(ISNA(VLOOKUP(B47&amp;"|"&amp;C47&amp;"|"&amp;D47&amp;"|"&amp;E47,QuestionTriggers!A:F,6,FALSE)),"","---&gt;")</f>
        <v/>
      </c>
      <c r="H47" s="2" t="s">
        <v>976</v>
      </c>
      <c r="I47" s="2" t="s">
        <v>977</v>
      </c>
      <c r="J47" s="2" t="s">
        <v>978</v>
      </c>
      <c r="K47" s="2" t="s">
        <v>51</v>
      </c>
    </row>
    <row r="48" spans="1:11" ht="26.4" hidden="1" x14ac:dyDescent="0.3">
      <c r="A48" t="str">
        <f t="shared" si="0"/>
        <v>Britain|Julio|LOOK</v>
      </c>
      <c r="B48" s="2" t="s">
        <v>713</v>
      </c>
      <c r="C48" s="2" t="s">
        <v>858</v>
      </c>
      <c r="D48" s="2" t="s">
        <v>975</v>
      </c>
      <c r="E48" s="2" t="s">
        <v>16</v>
      </c>
      <c r="F48" s="2" t="s">
        <v>457</v>
      </c>
      <c r="G48" s="8" t="str">
        <f>IF(ISNA(VLOOKUP(B48&amp;"|"&amp;C48&amp;"|"&amp;D48&amp;"|"&amp;E48,QuestionTriggers!A:F,6,FALSE)),"","---&gt;")</f>
        <v/>
      </c>
      <c r="H48" s="2" t="s">
        <v>976</v>
      </c>
      <c r="I48" s="2" t="s">
        <v>977</v>
      </c>
      <c r="J48" s="2" t="s">
        <v>978</v>
      </c>
      <c r="K48" s="2" t="s">
        <v>51</v>
      </c>
    </row>
    <row r="49" spans="1:11" ht="26.4" hidden="1" x14ac:dyDescent="0.3">
      <c r="A49" t="str">
        <f t="shared" si="0"/>
        <v>Britain|Julio|NAME</v>
      </c>
      <c r="B49" s="2" t="s">
        <v>713</v>
      </c>
      <c r="C49" s="2" t="s">
        <v>858</v>
      </c>
      <c r="D49" s="2" t="s">
        <v>975</v>
      </c>
      <c r="E49" s="2" t="s">
        <v>12</v>
      </c>
      <c r="F49" s="2" t="s">
        <v>975</v>
      </c>
      <c r="G49" s="8" t="str">
        <f>IF(ISNA(VLOOKUP(B49&amp;"|"&amp;C49&amp;"|"&amp;D49&amp;"|"&amp;E49,QuestionTriggers!A:F,6,FALSE)),"","---&gt;")</f>
        <v/>
      </c>
      <c r="H49" s="2" t="s">
        <v>976</v>
      </c>
      <c r="I49" s="2" t="s">
        <v>977</v>
      </c>
      <c r="J49" s="2" t="s">
        <v>978</v>
      </c>
      <c r="K49" s="2" t="s">
        <v>51</v>
      </c>
    </row>
    <row r="50" spans="1:11" ht="26.4" hidden="1" x14ac:dyDescent="0.3">
      <c r="A50" t="str">
        <f t="shared" si="0"/>
        <v>Britain|Julio|NATU</v>
      </c>
      <c r="B50" s="2" t="s">
        <v>713</v>
      </c>
      <c r="C50" s="2" t="s">
        <v>858</v>
      </c>
      <c r="D50" s="2" t="s">
        <v>975</v>
      </c>
      <c r="E50" s="2" t="s">
        <v>981</v>
      </c>
      <c r="F50" s="2" t="s">
        <v>982</v>
      </c>
      <c r="G50" s="8" t="str">
        <f>IF(ISNA(VLOOKUP(B50&amp;"|"&amp;C50&amp;"|"&amp;D50&amp;"|"&amp;E50,QuestionTriggers!A:F,6,FALSE)),"","---&gt;")</f>
        <v/>
      </c>
      <c r="H50" s="2" t="s">
        <v>976</v>
      </c>
      <c r="I50" s="2" t="s">
        <v>977</v>
      </c>
      <c r="J50" s="2" t="s">
        <v>978</v>
      </c>
      <c r="K50" s="2" t="s">
        <v>51</v>
      </c>
    </row>
    <row r="51" spans="1:11" ht="26.4" hidden="1" x14ac:dyDescent="0.3">
      <c r="A51" t="str">
        <f t="shared" si="0"/>
        <v>Britain|Mentor|HEALTH</v>
      </c>
      <c r="B51" s="2" t="s">
        <v>713</v>
      </c>
      <c r="C51" s="2" t="s">
        <v>858</v>
      </c>
      <c r="D51" s="2" t="s">
        <v>984</v>
      </c>
      <c r="E51" s="2" t="s">
        <v>20</v>
      </c>
      <c r="F51" s="2" t="s">
        <v>181</v>
      </c>
      <c r="G51" s="8" t="str">
        <f>IF(ISNA(VLOOKUP(B51&amp;"|"&amp;C51&amp;"|"&amp;D51&amp;"|"&amp;E51,QuestionTriggers!A:F,6,FALSE)),"","---&gt;")</f>
        <v/>
      </c>
      <c r="H51" s="2" t="s">
        <v>166</v>
      </c>
      <c r="I51" s="2" t="s">
        <v>985</v>
      </c>
      <c r="J51" s="2" t="s">
        <v>986</v>
      </c>
      <c r="K51" s="2" t="s">
        <v>51</v>
      </c>
    </row>
    <row r="52" spans="1:11" ht="26.4" hidden="1" x14ac:dyDescent="0.3">
      <c r="A52" t="str">
        <f t="shared" si="0"/>
        <v>Britain|Mentor|JOB</v>
      </c>
      <c r="B52" s="2" t="s">
        <v>713</v>
      </c>
      <c r="C52" s="2" t="s">
        <v>858</v>
      </c>
      <c r="D52" s="2" t="s">
        <v>984</v>
      </c>
      <c r="E52" s="2" t="s">
        <v>18</v>
      </c>
      <c r="F52" s="2" t="s">
        <v>988</v>
      </c>
      <c r="G52" s="8" t="str">
        <f>IF(ISNA(VLOOKUP(B52&amp;"|"&amp;C52&amp;"|"&amp;D52&amp;"|"&amp;E52,QuestionTriggers!A:F,6,FALSE)),"","---&gt;")</f>
        <v/>
      </c>
      <c r="H52" s="2" t="s">
        <v>166</v>
      </c>
      <c r="I52" s="2" t="s">
        <v>985</v>
      </c>
      <c r="J52" s="2" t="s">
        <v>986</v>
      </c>
      <c r="K52" s="2" t="s">
        <v>51</v>
      </c>
    </row>
    <row r="53" spans="1:11" ht="26.4" hidden="1" x14ac:dyDescent="0.3">
      <c r="A53" t="str">
        <f t="shared" si="0"/>
        <v>Britain|Mentor|LOOK</v>
      </c>
      <c r="B53" s="2" t="s">
        <v>713</v>
      </c>
      <c r="C53" s="2" t="s">
        <v>858</v>
      </c>
      <c r="D53" s="2" t="s">
        <v>984</v>
      </c>
      <c r="E53" s="2" t="s">
        <v>16</v>
      </c>
      <c r="F53" s="2" t="s">
        <v>987</v>
      </c>
      <c r="G53" s="8" t="str">
        <f>IF(ISNA(VLOOKUP(B53&amp;"|"&amp;C53&amp;"|"&amp;D53&amp;"|"&amp;E53,QuestionTriggers!A:F,6,FALSE)),"","---&gt;")</f>
        <v/>
      </c>
      <c r="H53" s="2" t="s">
        <v>166</v>
      </c>
      <c r="I53" s="2" t="s">
        <v>985</v>
      </c>
      <c r="J53" s="2" t="s">
        <v>986</v>
      </c>
      <c r="K53" s="2" t="s">
        <v>51</v>
      </c>
    </row>
    <row r="54" spans="1:11" ht="26.4" hidden="1" x14ac:dyDescent="0.3">
      <c r="A54" t="str">
        <f t="shared" si="0"/>
        <v>Britain|Mentor|MAGI</v>
      </c>
      <c r="B54" s="2" t="s">
        <v>713</v>
      </c>
      <c r="C54" s="2" t="s">
        <v>858</v>
      </c>
      <c r="D54" s="2" t="s">
        <v>984</v>
      </c>
      <c r="E54" s="2" t="s">
        <v>912</v>
      </c>
      <c r="F54" s="2" t="s">
        <v>989</v>
      </c>
      <c r="G54" s="8" t="str">
        <f>IF(ISNA(VLOOKUP(B54&amp;"|"&amp;C54&amp;"|"&amp;D54&amp;"|"&amp;E54,QuestionTriggers!A:F,6,FALSE)),"","---&gt;")</f>
        <v/>
      </c>
      <c r="H54" s="2" t="s">
        <v>166</v>
      </c>
      <c r="I54" s="2" t="s">
        <v>985</v>
      </c>
      <c r="J54" s="2" t="s">
        <v>986</v>
      </c>
      <c r="K54" s="2" t="s">
        <v>51</v>
      </c>
    </row>
    <row r="55" spans="1:11" ht="26.4" hidden="1" x14ac:dyDescent="0.3">
      <c r="A55" t="str">
        <f t="shared" si="0"/>
        <v>Britain|Mentor|NAME</v>
      </c>
      <c r="B55" s="2" t="s">
        <v>713</v>
      </c>
      <c r="C55" s="2" t="s">
        <v>858</v>
      </c>
      <c r="D55" s="2" t="s">
        <v>984</v>
      </c>
      <c r="E55" s="2" t="s">
        <v>12</v>
      </c>
      <c r="F55" s="2" t="s">
        <v>984</v>
      </c>
      <c r="G55" s="8" t="str">
        <f>IF(ISNA(VLOOKUP(B55&amp;"|"&amp;C55&amp;"|"&amp;D55&amp;"|"&amp;E55,QuestionTriggers!A:F,6,FALSE)),"","---&gt;")</f>
        <v/>
      </c>
      <c r="H55" s="2" t="s">
        <v>166</v>
      </c>
      <c r="I55" s="2" t="s">
        <v>985</v>
      </c>
      <c r="J55" s="2" t="s">
        <v>986</v>
      </c>
      <c r="K55" s="2" t="s">
        <v>51</v>
      </c>
    </row>
    <row r="56" spans="1:11" ht="26.4" hidden="1" x14ac:dyDescent="0.3">
      <c r="A56" t="str">
        <f t="shared" si="0"/>
        <v>Britain|Mentor|PRID</v>
      </c>
      <c r="B56" s="2" t="s">
        <v>713</v>
      </c>
      <c r="C56" s="2" t="s">
        <v>858</v>
      </c>
      <c r="D56" s="2" t="s">
        <v>984</v>
      </c>
      <c r="E56" s="2" t="s">
        <v>255</v>
      </c>
      <c r="F56" s="2" t="s">
        <v>990</v>
      </c>
      <c r="G56" s="8" t="str">
        <f>IF(ISNA(VLOOKUP(B56&amp;"|"&amp;C56&amp;"|"&amp;D56&amp;"|"&amp;E56,QuestionTriggers!A:F,6,FALSE)),"","---&gt;")</f>
        <v>---&gt;</v>
      </c>
      <c r="H56" s="2" t="s">
        <v>166</v>
      </c>
      <c r="I56" s="2" t="s">
        <v>985</v>
      </c>
      <c r="J56" s="2" t="s">
        <v>986</v>
      </c>
      <c r="K56" s="2" t="s">
        <v>51</v>
      </c>
    </row>
    <row r="57" spans="1:11" hidden="1" x14ac:dyDescent="0.3">
      <c r="A57" t="str">
        <f t="shared" si="0"/>
        <v>Britain|Pepper|BARD</v>
      </c>
      <c r="B57" s="2" t="s">
        <v>713</v>
      </c>
      <c r="C57" s="2" t="s">
        <v>858</v>
      </c>
      <c r="D57" s="2" t="s">
        <v>897</v>
      </c>
      <c r="E57" s="2" t="s">
        <v>85</v>
      </c>
      <c r="F57" s="2" t="s">
        <v>904</v>
      </c>
      <c r="G57" s="8" t="str">
        <f>IF(ISNA(VLOOKUP(B57&amp;"|"&amp;C57&amp;"|"&amp;D57&amp;"|"&amp;E57,QuestionTriggers!A:F,6,FALSE)),"","---&gt;")</f>
        <v/>
      </c>
      <c r="H57" s="2" t="s">
        <v>898</v>
      </c>
      <c r="I57" s="2" t="s">
        <v>899</v>
      </c>
      <c r="J57" s="2" t="s">
        <v>900</v>
      </c>
      <c r="K57" s="2"/>
    </row>
    <row r="58" spans="1:11" hidden="1" x14ac:dyDescent="0.3">
      <c r="A58" t="str">
        <f t="shared" si="0"/>
        <v>Britain|Pepper|HEALTH</v>
      </c>
      <c r="B58" s="2" t="s">
        <v>713</v>
      </c>
      <c r="C58" s="2" t="s">
        <v>858</v>
      </c>
      <c r="D58" s="2" t="s">
        <v>897</v>
      </c>
      <c r="E58" s="2" t="s">
        <v>20</v>
      </c>
      <c r="F58" s="2" t="s">
        <v>903</v>
      </c>
      <c r="G58" s="8" t="str">
        <f>IF(ISNA(VLOOKUP(B58&amp;"|"&amp;C58&amp;"|"&amp;D58&amp;"|"&amp;E58,QuestionTriggers!A:F,6,FALSE)),"","---&gt;")</f>
        <v/>
      </c>
      <c r="H58" s="2" t="s">
        <v>898</v>
      </c>
      <c r="I58" s="2" t="s">
        <v>899</v>
      </c>
      <c r="J58" s="2" t="s">
        <v>900</v>
      </c>
      <c r="K58" s="2"/>
    </row>
    <row r="59" spans="1:11" hidden="1" x14ac:dyDescent="0.3">
      <c r="A59" t="str">
        <f t="shared" si="0"/>
        <v>Britain|Pepper|JOB</v>
      </c>
      <c r="B59" s="2" t="s">
        <v>713</v>
      </c>
      <c r="C59" s="2" t="s">
        <v>858</v>
      </c>
      <c r="D59" s="2" t="s">
        <v>897</v>
      </c>
      <c r="E59" s="2" t="s">
        <v>18</v>
      </c>
      <c r="F59" s="2" t="s">
        <v>902</v>
      </c>
      <c r="G59" s="8" t="str">
        <f>IF(ISNA(VLOOKUP(B59&amp;"|"&amp;C59&amp;"|"&amp;D59&amp;"|"&amp;E59,QuestionTriggers!A:F,6,FALSE)),"","---&gt;")</f>
        <v/>
      </c>
      <c r="H59" s="2" t="s">
        <v>898</v>
      </c>
      <c r="I59" s="2" t="s">
        <v>899</v>
      </c>
      <c r="J59" s="2" t="s">
        <v>900</v>
      </c>
      <c r="K59" s="2"/>
    </row>
    <row r="60" spans="1:11" hidden="1" x14ac:dyDescent="0.3">
      <c r="A60" t="str">
        <f t="shared" si="0"/>
        <v>Britain|Pepper|LOOK</v>
      </c>
      <c r="B60" s="2" t="s">
        <v>713</v>
      </c>
      <c r="C60" s="2" t="s">
        <v>858</v>
      </c>
      <c r="D60" s="2" t="s">
        <v>897</v>
      </c>
      <c r="E60" s="2" t="s">
        <v>16</v>
      </c>
      <c r="F60" s="2" t="s">
        <v>901</v>
      </c>
      <c r="G60" s="8" t="str">
        <f>IF(ISNA(VLOOKUP(B60&amp;"|"&amp;C60&amp;"|"&amp;D60&amp;"|"&amp;E60,QuestionTriggers!A:F,6,FALSE)),"","---&gt;")</f>
        <v/>
      </c>
      <c r="H60" s="2" t="s">
        <v>898</v>
      </c>
      <c r="I60" s="2" t="s">
        <v>899</v>
      </c>
      <c r="J60" s="2" t="s">
        <v>900</v>
      </c>
      <c r="K60" s="2"/>
    </row>
    <row r="61" spans="1:11" hidden="1" x14ac:dyDescent="0.3">
      <c r="A61" t="str">
        <f t="shared" si="0"/>
        <v>Britain|Pepper|NAME</v>
      </c>
      <c r="B61" s="2" t="s">
        <v>713</v>
      </c>
      <c r="C61" s="2" t="s">
        <v>858</v>
      </c>
      <c r="D61" s="2" t="s">
        <v>897</v>
      </c>
      <c r="E61" s="2" t="s">
        <v>12</v>
      </c>
      <c r="F61" s="2" t="s">
        <v>897</v>
      </c>
      <c r="G61" s="8" t="str">
        <f>IF(ISNA(VLOOKUP(B61&amp;"|"&amp;C61&amp;"|"&amp;D61&amp;"|"&amp;E61,QuestionTriggers!A:F,6,FALSE)),"","---&gt;")</f>
        <v/>
      </c>
      <c r="H61" s="2" t="s">
        <v>898</v>
      </c>
      <c r="I61" s="2" t="s">
        <v>899</v>
      </c>
      <c r="J61" s="2" t="s">
        <v>900</v>
      </c>
      <c r="K61" s="2"/>
    </row>
    <row r="62" spans="1:11" hidden="1" x14ac:dyDescent="0.3">
      <c r="A62" t="str">
        <f t="shared" si="0"/>
        <v>Britain|Pepper|RUNE</v>
      </c>
      <c r="B62" s="2" t="s">
        <v>713</v>
      </c>
      <c r="C62" s="2" t="s">
        <v>858</v>
      </c>
      <c r="D62" s="2" t="s">
        <v>897</v>
      </c>
      <c r="E62" s="2" t="s">
        <v>847</v>
      </c>
      <c r="F62" s="2" t="s">
        <v>905</v>
      </c>
      <c r="G62" s="8" t="str">
        <f>IF(ISNA(VLOOKUP(B62&amp;"|"&amp;C62&amp;"|"&amp;D62&amp;"|"&amp;E62,QuestionTriggers!A:F,6,FALSE)),"","---&gt;")</f>
        <v>---&gt;</v>
      </c>
      <c r="H62" s="2" t="s">
        <v>898</v>
      </c>
      <c r="I62" s="2" t="s">
        <v>899</v>
      </c>
      <c r="J62" s="2" t="s">
        <v>900</v>
      </c>
      <c r="K62" s="2"/>
    </row>
    <row r="63" spans="1:11" hidden="1" x14ac:dyDescent="0.3">
      <c r="A63" t="str">
        <f t="shared" si="0"/>
        <v>Britain|Sebastian|HEALTH</v>
      </c>
      <c r="B63" s="2" t="s">
        <v>713</v>
      </c>
      <c r="C63" s="2" t="s">
        <v>858</v>
      </c>
      <c r="D63" s="2" t="s">
        <v>958</v>
      </c>
      <c r="E63" s="2" t="s">
        <v>20</v>
      </c>
      <c r="F63" s="2" t="s">
        <v>963</v>
      </c>
      <c r="G63" s="8" t="str">
        <f>IF(ISNA(VLOOKUP(B63&amp;"|"&amp;C63&amp;"|"&amp;D63&amp;"|"&amp;E63,QuestionTriggers!A:F,6,FALSE)),"","---&gt;")</f>
        <v/>
      </c>
      <c r="H63" s="2" t="s">
        <v>959</v>
      </c>
      <c r="I63" s="2" t="s">
        <v>960</v>
      </c>
      <c r="J63" s="2" t="s">
        <v>90</v>
      </c>
      <c r="K63" s="2"/>
    </row>
    <row r="64" spans="1:11" hidden="1" x14ac:dyDescent="0.3">
      <c r="A64" t="str">
        <f t="shared" si="0"/>
        <v>Britain|Sebastian|JOB</v>
      </c>
      <c r="B64" s="2" t="s">
        <v>713</v>
      </c>
      <c r="C64" s="2" t="s">
        <v>858</v>
      </c>
      <c r="D64" s="2" t="s">
        <v>958</v>
      </c>
      <c r="E64" s="2" t="s">
        <v>18</v>
      </c>
      <c r="F64" s="2" t="s">
        <v>962</v>
      </c>
      <c r="G64" s="8" t="str">
        <f>IF(ISNA(VLOOKUP(B64&amp;"|"&amp;C64&amp;"|"&amp;D64&amp;"|"&amp;E64,QuestionTriggers!A:F,6,FALSE)),"","---&gt;")</f>
        <v/>
      </c>
      <c r="H64" s="2" t="s">
        <v>959</v>
      </c>
      <c r="I64" s="2" t="s">
        <v>960</v>
      </c>
      <c r="J64" s="2" t="s">
        <v>90</v>
      </c>
      <c r="K64" s="2"/>
    </row>
    <row r="65" spans="1:11" hidden="1" x14ac:dyDescent="0.3">
      <c r="A65" t="str">
        <f t="shared" si="0"/>
        <v>Britain|Sebastian|LOOK</v>
      </c>
      <c r="B65" s="2" t="s">
        <v>713</v>
      </c>
      <c r="C65" s="2" t="s">
        <v>858</v>
      </c>
      <c r="D65" s="2" t="s">
        <v>958</v>
      </c>
      <c r="E65" s="2" t="s">
        <v>16</v>
      </c>
      <c r="F65" s="2" t="s">
        <v>961</v>
      </c>
      <c r="G65" s="8" t="str">
        <f>IF(ISNA(VLOOKUP(B65&amp;"|"&amp;C65&amp;"|"&amp;D65&amp;"|"&amp;E65,QuestionTriggers!A:F,6,FALSE)),"","---&gt;")</f>
        <v/>
      </c>
      <c r="H65" s="2" t="s">
        <v>959</v>
      </c>
      <c r="I65" s="2" t="s">
        <v>960</v>
      </c>
      <c r="J65" s="2" t="s">
        <v>90</v>
      </c>
      <c r="K65" s="2"/>
    </row>
    <row r="66" spans="1:11" hidden="1" x14ac:dyDescent="0.3">
      <c r="A66" t="str">
        <f t="shared" si="0"/>
        <v>Britain|Sebastian|MOND</v>
      </c>
      <c r="B66" s="2" t="s">
        <v>713</v>
      </c>
      <c r="C66" s="2" t="s">
        <v>858</v>
      </c>
      <c r="D66" s="2" t="s">
        <v>958</v>
      </c>
      <c r="E66" s="2" t="s">
        <v>267</v>
      </c>
      <c r="F66" s="2" t="s">
        <v>965</v>
      </c>
      <c r="G66" s="8" t="str">
        <f>IF(ISNA(VLOOKUP(B66&amp;"|"&amp;C66&amp;"|"&amp;D66&amp;"|"&amp;E66,QuestionTriggers!A:F,6,FALSE)),"","---&gt;")</f>
        <v>---&gt;</v>
      </c>
      <c r="H66" s="2" t="s">
        <v>959</v>
      </c>
      <c r="I66" s="2" t="s">
        <v>960</v>
      </c>
      <c r="J66" s="2" t="s">
        <v>90</v>
      </c>
      <c r="K66" s="2"/>
    </row>
    <row r="67" spans="1:11" hidden="1" x14ac:dyDescent="0.3">
      <c r="A67" t="str">
        <f t="shared" ref="A67:A130" si="1">C67&amp;"|"&amp;D67&amp;"|"&amp;E67</f>
        <v>Britain|Sebastian|NAME</v>
      </c>
      <c r="B67" s="2" t="s">
        <v>713</v>
      </c>
      <c r="C67" s="2" t="s">
        <v>858</v>
      </c>
      <c r="D67" s="2" t="s">
        <v>958</v>
      </c>
      <c r="E67" s="2" t="s">
        <v>12</v>
      </c>
      <c r="F67" s="2" t="s">
        <v>958</v>
      </c>
      <c r="G67" s="8" t="str">
        <f>IF(ISNA(VLOOKUP(B67&amp;"|"&amp;C67&amp;"|"&amp;D67&amp;"|"&amp;E67,QuestionTriggers!A:F,6,FALSE)),"","---&gt;")</f>
        <v/>
      </c>
      <c r="H67" s="2" t="s">
        <v>959</v>
      </c>
      <c r="I67" s="2" t="s">
        <v>960</v>
      </c>
      <c r="J67" s="2" t="s">
        <v>90</v>
      </c>
      <c r="K67" s="2"/>
    </row>
    <row r="68" spans="1:11" hidden="1" x14ac:dyDescent="0.3">
      <c r="A68" t="str">
        <f t="shared" si="1"/>
        <v>Britain|Sebastian|SECR</v>
      </c>
      <c r="B68" s="2" t="s">
        <v>713</v>
      </c>
      <c r="C68" s="2" t="s">
        <v>858</v>
      </c>
      <c r="D68" s="2" t="s">
        <v>958</v>
      </c>
      <c r="E68" s="2" t="s">
        <v>190</v>
      </c>
      <c r="F68" s="2" t="s">
        <v>964</v>
      </c>
      <c r="G68" s="8" t="str">
        <f>IF(ISNA(VLOOKUP(B68&amp;"|"&amp;C68&amp;"|"&amp;D68&amp;"|"&amp;E68,QuestionTriggers!A:F,6,FALSE)),"","---&gt;")</f>
        <v/>
      </c>
      <c r="H68" s="2" t="s">
        <v>959</v>
      </c>
      <c r="I68" s="2" t="s">
        <v>960</v>
      </c>
      <c r="J68" s="2" t="s">
        <v>90</v>
      </c>
      <c r="K68" s="2"/>
    </row>
    <row r="69" spans="1:11" hidden="1" x14ac:dyDescent="0.3">
      <c r="A69" t="str">
        <f t="shared" si="1"/>
        <v>Britain|Shalimar|CHIL</v>
      </c>
      <c r="B69" s="2" t="s">
        <v>713</v>
      </c>
      <c r="C69" s="2" t="s">
        <v>858</v>
      </c>
      <c r="D69" s="2" t="s">
        <v>950</v>
      </c>
      <c r="E69" s="2" t="s">
        <v>955</v>
      </c>
      <c r="F69" s="2" t="s">
        <v>956</v>
      </c>
      <c r="G69" s="8" t="str">
        <f>IF(ISNA(VLOOKUP(B69&amp;"|"&amp;C69&amp;"|"&amp;D69&amp;"|"&amp;E69,QuestionTriggers!A:F,6,FALSE)),"","---&gt;")</f>
        <v/>
      </c>
      <c r="H69" s="2" t="s">
        <v>951</v>
      </c>
      <c r="I69" s="2" t="s">
        <v>952</v>
      </c>
      <c r="J69" s="2" t="s">
        <v>881</v>
      </c>
      <c r="K69" s="2"/>
    </row>
    <row r="70" spans="1:11" hidden="1" x14ac:dyDescent="0.3">
      <c r="A70" t="str">
        <f t="shared" si="1"/>
        <v>Britain|Shalimar|COMP</v>
      </c>
      <c r="B70" s="2" t="s">
        <v>713</v>
      </c>
      <c r="C70" s="2" t="s">
        <v>858</v>
      </c>
      <c r="D70" s="2" t="s">
        <v>950</v>
      </c>
      <c r="E70" s="2" t="s">
        <v>241</v>
      </c>
      <c r="F70" s="2" t="s">
        <v>957</v>
      </c>
      <c r="G70" s="8" t="str">
        <f>IF(ISNA(VLOOKUP(B70&amp;"|"&amp;C70&amp;"|"&amp;D70&amp;"|"&amp;E70,QuestionTriggers!A:F,6,FALSE)),"","---&gt;")</f>
        <v>---&gt;</v>
      </c>
      <c r="H70" s="2" t="s">
        <v>951</v>
      </c>
      <c r="I70" s="2" t="s">
        <v>952</v>
      </c>
      <c r="J70" s="2" t="s">
        <v>881</v>
      </c>
      <c r="K70" s="2"/>
    </row>
    <row r="71" spans="1:11" hidden="1" x14ac:dyDescent="0.3">
      <c r="A71" t="str">
        <f t="shared" si="1"/>
        <v>Britain|Shalimar|HEALTH</v>
      </c>
      <c r="B71" s="2" t="s">
        <v>713</v>
      </c>
      <c r="C71" s="2" t="s">
        <v>858</v>
      </c>
      <c r="D71" s="2" t="s">
        <v>950</v>
      </c>
      <c r="E71" s="2" t="s">
        <v>20</v>
      </c>
      <c r="F71" s="2" t="s">
        <v>177</v>
      </c>
      <c r="G71" s="8" t="str">
        <f>IF(ISNA(VLOOKUP(B71&amp;"|"&amp;C71&amp;"|"&amp;D71&amp;"|"&amp;E71,QuestionTriggers!A:F,6,FALSE)),"","---&gt;")</f>
        <v/>
      </c>
      <c r="H71" s="2" t="s">
        <v>951</v>
      </c>
      <c r="I71" s="2" t="s">
        <v>952</v>
      </c>
      <c r="J71" s="2" t="s">
        <v>881</v>
      </c>
      <c r="K71" s="2"/>
    </row>
    <row r="72" spans="1:11" hidden="1" x14ac:dyDescent="0.3">
      <c r="A72" t="str">
        <f t="shared" si="1"/>
        <v>Britain|Shalimar|JOB</v>
      </c>
      <c r="B72" s="2" t="s">
        <v>713</v>
      </c>
      <c r="C72" s="2" t="s">
        <v>858</v>
      </c>
      <c r="D72" s="2" t="s">
        <v>950</v>
      </c>
      <c r="E72" s="2" t="s">
        <v>18</v>
      </c>
      <c r="F72" s="2" t="s">
        <v>954</v>
      </c>
      <c r="G72" s="8" t="str">
        <f>IF(ISNA(VLOOKUP(B72&amp;"|"&amp;C72&amp;"|"&amp;D72&amp;"|"&amp;E72,QuestionTriggers!A:F,6,FALSE)),"","---&gt;")</f>
        <v/>
      </c>
      <c r="H72" s="2" t="s">
        <v>951</v>
      </c>
      <c r="I72" s="2" t="s">
        <v>952</v>
      </c>
      <c r="J72" s="2" t="s">
        <v>881</v>
      </c>
      <c r="K72" s="2"/>
    </row>
    <row r="73" spans="1:11" hidden="1" x14ac:dyDescent="0.3">
      <c r="A73" t="str">
        <f t="shared" si="1"/>
        <v>Britain|Shalimar|LOOK</v>
      </c>
      <c r="B73" s="2" t="s">
        <v>713</v>
      </c>
      <c r="C73" s="2" t="s">
        <v>858</v>
      </c>
      <c r="D73" s="2" t="s">
        <v>950</v>
      </c>
      <c r="E73" s="2" t="s">
        <v>16</v>
      </c>
      <c r="F73" s="2" t="s">
        <v>953</v>
      </c>
      <c r="G73" s="8" t="str">
        <f>IF(ISNA(VLOOKUP(B73&amp;"|"&amp;C73&amp;"|"&amp;D73&amp;"|"&amp;E73,QuestionTriggers!A:F,6,FALSE)),"","---&gt;")</f>
        <v/>
      </c>
      <c r="H73" s="2" t="s">
        <v>951</v>
      </c>
      <c r="I73" s="2" t="s">
        <v>952</v>
      </c>
      <c r="J73" s="2" t="s">
        <v>881</v>
      </c>
      <c r="K73" s="2"/>
    </row>
    <row r="74" spans="1:11" hidden="1" x14ac:dyDescent="0.3">
      <c r="A74" t="str">
        <f t="shared" si="1"/>
        <v>Britain|Shalimar|NAME</v>
      </c>
      <c r="B74" s="2" t="s">
        <v>713</v>
      </c>
      <c r="C74" s="2" t="s">
        <v>858</v>
      </c>
      <c r="D74" s="2" t="s">
        <v>950</v>
      </c>
      <c r="E74" s="2" t="s">
        <v>12</v>
      </c>
      <c r="F74" s="2" t="s">
        <v>950</v>
      </c>
      <c r="G74" s="8" t="str">
        <f>IF(ISNA(VLOOKUP(B74&amp;"|"&amp;C74&amp;"|"&amp;D74&amp;"|"&amp;E74,QuestionTriggers!A:F,6,FALSE)),"","---&gt;")</f>
        <v/>
      </c>
      <c r="H74" s="2" t="s">
        <v>951</v>
      </c>
      <c r="I74" s="2" t="s">
        <v>952</v>
      </c>
      <c r="J74" s="2" t="s">
        <v>881</v>
      </c>
      <c r="K74" s="2"/>
    </row>
    <row r="75" spans="1:11" ht="26.4" hidden="1" x14ac:dyDescent="0.3">
      <c r="A75" t="str">
        <f t="shared" si="1"/>
        <v>Britain|Shapero|COMP</v>
      </c>
      <c r="B75" s="2" t="s">
        <v>713</v>
      </c>
      <c r="C75" s="2" t="s">
        <v>858</v>
      </c>
      <c r="D75" s="2" t="s">
        <v>966</v>
      </c>
      <c r="E75" s="2" t="s">
        <v>241</v>
      </c>
      <c r="F75" s="2" t="s">
        <v>974</v>
      </c>
      <c r="G75" s="8" t="str">
        <f>IF(ISNA(VLOOKUP(B75&amp;"|"&amp;C75&amp;"|"&amp;D75&amp;"|"&amp;E75,QuestionTriggers!A:F,6,FALSE)),"","---&gt;")</f>
        <v>---&gt;</v>
      </c>
      <c r="H75" s="2" t="s">
        <v>967</v>
      </c>
      <c r="I75" s="2" t="s">
        <v>968</v>
      </c>
      <c r="J75" s="2" t="s">
        <v>881</v>
      </c>
      <c r="K75" s="2"/>
    </row>
    <row r="76" spans="1:11" ht="26.4" hidden="1" x14ac:dyDescent="0.3">
      <c r="A76" t="str">
        <f t="shared" si="1"/>
        <v>Britain|Shapero|HEALTH</v>
      </c>
      <c r="B76" s="2" t="s">
        <v>713</v>
      </c>
      <c r="C76" s="2" t="s">
        <v>858</v>
      </c>
      <c r="D76" s="2" t="s">
        <v>966</v>
      </c>
      <c r="E76" s="2" t="s">
        <v>20</v>
      </c>
      <c r="F76" s="2" t="s">
        <v>971</v>
      </c>
      <c r="G76" s="8" t="str">
        <f>IF(ISNA(VLOOKUP(B76&amp;"|"&amp;C76&amp;"|"&amp;D76&amp;"|"&amp;E76,QuestionTriggers!A:F,6,FALSE)),"","---&gt;")</f>
        <v/>
      </c>
      <c r="H76" s="2" t="s">
        <v>967</v>
      </c>
      <c r="I76" s="2" t="s">
        <v>968</v>
      </c>
      <c r="J76" s="2" t="s">
        <v>881</v>
      </c>
      <c r="K76" s="2"/>
    </row>
    <row r="77" spans="1:11" ht="26.4" hidden="1" x14ac:dyDescent="0.3">
      <c r="A77" t="str">
        <f t="shared" si="1"/>
        <v>Britain|Shapero|JOB</v>
      </c>
      <c r="B77" s="2" t="s">
        <v>713</v>
      </c>
      <c r="C77" s="2" t="s">
        <v>858</v>
      </c>
      <c r="D77" s="2" t="s">
        <v>966</v>
      </c>
      <c r="E77" s="2" t="s">
        <v>18</v>
      </c>
      <c r="F77" s="2" t="s">
        <v>970</v>
      </c>
      <c r="G77" s="8" t="str">
        <f>IF(ISNA(VLOOKUP(B77&amp;"|"&amp;C77&amp;"|"&amp;D77&amp;"|"&amp;E77,QuestionTriggers!A:F,6,FALSE)),"","---&gt;")</f>
        <v/>
      </c>
      <c r="H77" s="2" t="s">
        <v>967</v>
      </c>
      <c r="I77" s="2" t="s">
        <v>968</v>
      </c>
      <c r="J77" s="2" t="s">
        <v>881</v>
      </c>
      <c r="K77" s="2"/>
    </row>
    <row r="78" spans="1:11" ht="26.4" hidden="1" x14ac:dyDescent="0.3">
      <c r="A78" t="str">
        <f t="shared" si="1"/>
        <v>Britain|Shapero|JULI</v>
      </c>
      <c r="B78" s="2" t="s">
        <v>713</v>
      </c>
      <c r="C78" s="2" t="s">
        <v>858</v>
      </c>
      <c r="D78" s="2" t="s">
        <v>966</v>
      </c>
      <c r="E78" s="2" t="s">
        <v>972</v>
      </c>
      <c r="F78" s="2" t="s">
        <v>973</v>
      </c>
      <c r="G78" s="8" t="str">
        <f>IF(ISNA(VLOOKUP(B78&amp;"|"&amp;C78&amp;"|"&amp;D78&amp;"|"&amp;E78,QuestionTriggers!A:F,6,FALSE)),"","---&gt;")</f>
        <v/>
      </c>
      <c r="H78" s="2" t="s">
        <v>967</v>
      </c>
      <c r="I78" s="2" t="s">
        <v>968</v>
      </c>
      <c r="J78" s="2" t="s">
        <v>881</v>
      </c>
      <c r="K78" s="2"/>
    </row>
    <row r="79" spans="1:11" ht="26.4" hidden="1" x14ac:dyDescent="0.3">
      <c r="A79" t="str">
        <f t="shared" si="1"/>
        <v>Britain|Shapero|LOOK</v>
      </c>
      <c r="B79" s="2" t="s">
        <v>713</v>
      </c>
      <c r="C79" s="2" t="s">
        <v>858</v>
      </c>
      <c r="D79" s="2" t="s">
        <v>966</v>
      </c>
      <c r="E79" s="2" t="s">
        <v>16</v>
      </c>
      <c r="F79" s="2" t="s">
        <v>969</v>
      </c>
      <c r="G79" s="8" t="str">
        <f>IF(ISNA(VLOOKUP(B79&amp;"|"&amp;C79&amp;"|"&amp;D79&amp;"|"&amp;E79,QuestionTriggers!A:F,6,FALSE)),"","---&gt;")</f>
        <v/>
      </c>
      <c r="H79" s="2" t="s">
        <v>967</v>
      </c>
      <c r="I79" s="2" t="s">
        <v>968</v>
      </c>
      <c r="J79" s="2" t="s">
        <v>881</v>
      </c>
      <c r="K79" s="2"/>
    </row>
    <row r="80" spans="1:11" ht="26.4" hidden="1" x14ac:dyDescent="0.3">
      <c r="A80" t="str">
        <f t="shared" si="1"/>
        <v>Britain|Shapero|NAME</v>
      </c>
      <c r="B80" s="2" t="s">
        <v>713</v>
      </c>
      <c r="C80" s="2" t="s">
        <v>858</v>
      </c>
      <c r="D80" s="2" t="s">
        <v>966</v>
      </c>
      <c r="E80" s="2" t="s">
        <v>12</v>
      </c>
      <c r="F80" s="2" t="s">
        <v>966</v>
      </c>
      <c r="G80" s="8" t="str">
        <f>IF(ISNA(VLOOKUP(B80&amp;"|"&amp;C80&amp;"|"&amp;D80&amp;"|"&amp;E80,QuestionTriggers!A:F,6,FALSE)),"","---&gt;")</f>
        <v/>
      </c>
      <c r="H80" s="2" t="s">
        <v>967</v>
      </c>
      <c r="I80" s="2" t="s">
        <v>968</v>
      </c>
      <c r="J80" s="2" t="s">
        <v>881</v>
      </c>
      <c r="K80" s="2"/>
    </row>
    <row r="81" spans="1:11" hidden="1" x14ac:dyDescent="0.3">
      <c r="A81" t="str">
        <f t="shared" si="1"/>
        <v>Britain|Singing Child|HEALTH</v>
      </c>
      <c r="B81" s="2" t="s">
        <v>713</v>
      </c>
      <c r="C81" s="2" t="s">
        <v>858</v>
      </c>
      <c r="D81" s="2" t="s">
        <v>877</v>
      </c>
      <c r="E81" s="2" t="s">
        <v>20</v>
      </c>
      <c r="F81" s="2" t="s">
        <v>884</v>
      </c>
      <c r="G81" s="8" t="str">
        <f>IF(ISNA(VLOOKUP(B81&amp;"|"&amp;C81&amp;"|"&amp;D81&amp;"|"&amp;E81,QuestionTriggers!A:F,6,FALSE)),"","---&gt;")</f>
        <v/>
      </c>
      <c r="H81" s="2" t="s">
        <v>879</v>
      </c>
      <c r="I81" s="2" t="s">
        <v>880</v>
      </c>
      <c r="J81" s="2" t="s">
        <v>881</v>
      </c>
      <c r="K81" s="2"/>
    </row>
    <row r="82" spans="1:11" hidden="1" x14ac:dyDescent="0.3">
      <c r="A82" t="str">
        <f t="shared" si="1"/>
        <v>Britain|Singing Child|HO</v>
      </c>
      <c r="B82" s="2" t="s">
        <v>713</v>
      </c>
      <c r="C82" s="2" t="s">
        <v>858</v>
      </c>
      <c r="D82" s="2" t="s">
        <v>877</v>
      </c>
      <c r="E82" s="2" t="s">
        <v>887</v>
      </c>
      <c r="F82" s="2" t="s">
        <v>888</v>
      </c>
      <c r="G82" s="8" t="str">
        <f>IF(ISNA(VLOOKUP(B82&amp;"|"&amp;C82&amp;"|"&amp;D82&amp;"|"&amp;E82,QuestionTriggers!A:F,6,FALSE)),"","---&gt;")</f>
        <v>---&gt;</v>
      </c>
      <c r="H82" s="2" t="s">
        <v>879</v>
      </c>
      <c r="I82" s="2" t="s">
        <v>880</v>
      </c>
      <c r="J82" s="2" t="s">
        <v>881</v>
      </c>
      <c r="K82" s="2"/>
    </row>
    <row r="83" spans="1:11" hidden="1" x14ac:dyDescent="0.3">
      <c r="A83" t="str">
        <f t="shared" si="1"/>
        <v>Britain|Singing Child|JOB</v>
      </c>
      <c r="B83" s="2" t="s">
        <v>713</v>
      </c>
      <c r="C83" s="2" t="s">
        <v>858</v>
      </c>
      <c r="D83" s="2" t="s">
        <v>877</v>
      </c>
      <c r="E83" s="2" t="s">
        <v>18</v>
      </c>
      <c r="F83" s="2" t="s">
        <v>883</v>
      </c>
      <c r="G83" s="8" t="str">
        <f>IF(ISNA(VLOOKUP(B83&amp;"|"&amp;C83&amp;"|"&amp;D83&amp;"|"&amp;E83,QuestionTriggers!A:F,6,FALSE)),"","---&gt;")</f>
        <v/>
      </c>
      <c r="H83" s="2" t="s">
        <v>879</v>
      </c>
      <c r="I83" s="2" t="s">
        <v>880</v>
      </c>
      <c r="J83" s="2" t="s">
        <v>881</v>
      </c>
      <c r="K83" s="2"/>
    </row>
    <row r="84" spans="1:11" hidden="1" x14ac:dyDescent="0.3">
      <c r="A84" t="str">
        <f t="shared" si="1"/>
        <v>Britain|Singing Child|LOOK</v>
      </c>
      <c r="B84" s="2" t="s">
        <v>713</v>
      </c>
      <c r="C84" s="2" t="s">
        <v>858</v>
      </c>
      <c r="D84" s="2" t="s">
        <v>877</v>
      </c>
      <c r="E84" s="2" t="s">
        <v>16</v>
      </c>
      <c r="F84" s="2" t="s">
        <v>882</v>
      </c>
      <c r="G84" s="8" t="str">
        <f>IF(ISNA(VLOOKUP(B84&amp;"|"&amp;C84&amp;"|"&amp;D84&amp;"|"&amp;E84,QuestionTriggers!A:F,6,FALSE)),"","---&gt;")</f>
        <v/>
      </c>
      <c r="H84" s="2" t="s">
        <v>879</v>
      </c>
      <c r="I84" s="2" t="s">
        <v>880</v>
      </c>
      <c r="J84" s="2" t="s">
        <v>881</v>
      </c>
      <c r="K84" s="2"/>
    </row>
    <row r="85" spans="1:11" hidden="1" x14ac:dyDescent="0.3">
      <c r="A85" t="str">
        <f t="shared" si="1"/>
        <v>Britain|Singing Child|NAME</v>
      </c>
      <c r="B85" s="2" t="s">
        <v>713</v>
      </c>
      <c r="C85" s="2" t="s">
        <v>858</v>
      </c>
      <c r="D85" s="2" t="s">
        <v>877</v>
      </c>
      <c r="E85" s="2" t="s">
        <v>12</v>
      </c>
      <c r="F85" s="2" t="s">
        <v>878</v>
      </c>
      <c r="G85" s="8" t="str">
        <f>IF(ISNA(VLOOKUP(B85&amp;"|"&amp;C85&amp;"|"&amp;D85&amp;"|"&amp;E85,QuestionTriggers!A:F,6,FALSE)),"","---&gt;")</f>
        <v/>
      </c>
      <c r="H85" s="2" t="s">
        <v>879</v>
      </c>
      <c r="I85" s="2" t="s">
        <v>880</v>
      </c>
      <c r="J85" s="2" t="s">
        <v>881</v>
      </c>
      <c r="K85" s="2"/>
    </row>
    <row r="86" spans="1:11" hidden="1" x14ac:dyDescent="0.3">
      <c r="A86" t="str">
        <f t="shared" si="1"/>
        <v>Britain|Singing Child|SING</v>
      </c>
      <c r="B86" s="2" t="s">
        <v>713</v>
      </c>
      <c r="C86" s="2" t="s">
        <v>858</v>
      </c>
      <c r="D86" s="2" t="s">
        <v>877</v>
      </c>
      <c r="E86" s="2" t="s">
        <v>885</v>
      </c>
      <c r="F86" s="2" t="s">
        <v>886</v>
      </c>
      <c r="G86" s="8" t="str">
        <f>IF(ISNA(VLOOKUP(B86&amp;"|"&amp;C86&amp;"|"&amp;D86&amp;"|"&amp;E86,QuestionTriggers!A:F,6,FALSE)),"","---&gt;")</f>
        <v/>
      </c>
      <c r="H86" s="2" t="s">
        <v>879</v>
      </c>
      <c r="I86" s="2" t="s">
        <v>880</v>
      </c>
      <c r="J86" s="2" t="s">
        <v>881</v>
      </c>
      <c r="K86" s="2"/>
    </row>
    <row r="87" spans="1:11" ht="26.4" hidden="1" x14ac:dyDescent="0.3">
      <c r="A87" t="str">
        <f t="shared" si="1"/>
        <v>Britain|Sprite|BEG</v>
      </c>
      <c r="B87" s="2" t="s">
        <v>713</v>
      </c>
      <c r="C87" s="2" t="s">
        <v>858</v>
      </c>
      <c r="D87" s="2" t="s">
        <v>991</v>
      </c>
      <c r="E87" s="2" t="s">
        <v>398</v>
      </c>
      <c r="F87" s="2" t="s">
        <v>1000</v>
      </c>
      <c r="G87" s="8" t="str">
        <f>IF(ISNA(VLOOKUP(B87&amp;"|"&amp;C87&amp;"|"&amp;D87&amp;"|"&amp;E87,QuestionTriggers!A:F,6,FALSE)),"","---&gt;")</f>
        <v>---&gt;</v>
      </c>
      <c r="H87" s="2" t="s">
        <v>992</v>
      </c>
      <c r="I87" s="2" t="s">
        <v>993</v>
      </c>
      <c r="J87" s="2" t="s">
        <v>994</v>
      </c>
      <c r="K87" s="2"/>
    </row>
    <row r="88" spans="1:11" ht="26.4" hidden="1" x14ac:dyDescent="0.3">
      <c r="A88" t="str">
        <f t="shared" si="1"/>
        <v>Britain|Sprite|HEALTH</v>
      </c>
      <c r="B88" s="2" t="s">
        <v>713</v>
      </c>
      <c r="C88" s="2" t="s">
        <v>858</v>
      </c>
      <c r="D88" s="2" t="s">
        <v>991</v>
      </c>
      <c r="E88" s="2" t="s">
        <v>20</v>
      </c>
      <c r="F88" s="2" t="s">
        <v>997</v>
      </c>
      <c r="G88" s="8" t="str">
        <f>IF(ISNA(VLOOKUP(B88&amp;"|"&amp;C88&amp;"|"&amp;D88&amp;"|"&amp;E88,QuestionTriggers!A:F,6,FALSE)),"","---&gt;")</f>
        <v/>
      </c>
      <c r="H88" s="2" t="s">
        <v>992</v>
      </c>
      <c r="I88" s="2" t="s">
        <v>993</v>
      </c>
      <c r="J88" s="2" t="s">
        <v>994</v>
      </c>
      <c r="K88" s="2"/>
    </row>
    <row r="89" spans="1:11" ht="26.4" hidden="1" x14ac:dyDescent="0.3">
      <c r="A89" t="str">
        <f t="shared" si="1"/>
        <v>Britain|Sprite|JOB</v>
      </c>
      <c r="B89" s="2" t="s">
        <v>713</v>
      </c>
      <c r="C89" s="2" t="s">
        <v>858</v>
      </c>
      <c r="D89" s="2" t="s">
        <v>991</v>
      </c>
      <c r="E89" s="2" t="s">
        <v>18</v>
      </c>
      <c r="F89" s="2" t="s">
        <v>996</v>
      </c>
      <c r="G89" s="8" t="str">
        <f>IF(ISNA(VLOOKUP(B89&amp;"|"&amp;C89&amp;"|"&amp;D89&amp;"|"&amp;E89,QuestionTriggers!A:F,6,FALSE)),"","---&gt;")</f>
        <v/>
      </c>
      <c r="H89" s="2" t="s">
        <v>992</v>
      </c>
      <c r="I89" s="2" t="s">
        <v>993</v>
      </c>
      <c r="J89" s="2" t="s">
        <v>994</v>
      </c>
      <c r="K89" s="2"/>
    </row>
    <row r="90" spans="1:11" ht="26.4" hidden="1" x14ac:dyDescent="0.3">
      <c r="A90" t="str">
        <f t="shared" si="1"/>
        <v>Britain|Sprite|LOOK</v>
      </c>
      <c r="B90" s="2" t="s">
        <v>713</v>
      </c>
      <c r="C90" s="2" t="s">
        <v>858</v>
      </c>
      <c r="D90" s="2" t="s">
        <v>991</v>
      </c>
      <c r="E90" s="2" t="s">
        <v>16</v>
      </c>
      <c r="F90" s="2" t="s">
        <v>995</v>
      </c>
      <c r="G90" s="8" t="str">
        <f>IF(ISNA(VLOOKUP(B90&amp;"|"&amp;C90&amp;"|"&amp;D90&amp;"|"&amp;E90,QuestionTriggers!A:F,6,FALSE)),"","---&gt;")</f>
        <v/>
      </c>
      <c r="H90" s="2" t="s">
        <v>992</v>
      </c>
      <c r="I90" s="2" t="s">
        <v>993</v>
      </c>
      <c r="J90" s="2" t="s">
        <v>994</v>
      </c>
      <c r="K90" s="2"/>
    </row>
    <row r="91" spans="1:11" ht="26.4" hidden="1" x14ac:dyDescent="0.3">
      <c r="A91" t="str">
        <f t="shared" si="1"/>
        <v>Britain|Sprite|NAME</v>
      </c>
      <c r="B91" s="2" t="s">
        <v>713</v>
      </c>
      <c r="C91" s="2" t="s">
        <v>858</v>
      </c>
      <c r="D91" s="2" t="s">
        <v>991</v>
      </c>
      <c r="E91" s="2" t="s">
        <v>12</v>
      </c>
      <c r="F91" s="2" t="s">
        <v>991</v>
      </c>
      <c r="G91" s="8" t="str">
        <f>IF(ISNA(VLOOKUP(B91&amp;"|"&amp;C91&amp;"|"&amp;D91&amp;"|"&amp;E91,QuestionTriggers!A:F,6,FALSE)),"","---&gt;")</f>
        <v/>
      </c>
      <c r="H91" s="2" t="s">
        <v>992</v>
      </c>
      <c r="I91" s="2" t="s">
        <v>993</v>
      </c>
      <c r="J91" s="2" t="s">
        <v>994</v>
      </c>
      <c r="K91" s="2"/>
    </row>
    <row r="92" spans="1:11" ht="26.4" hidden="1" x14ac:dyDescent="0.3">
      <c r="A92" t="str">
        <f t="shared" si="1"/>
        <v>Britain|Sprite|STAR</v>
      </c>
      <c r="B92" s="2" t="s">
        <v>713</v>
      </c>
      <c r="C92" s="2" t="s">
        <v>858</v>
      </c>
      <c r="D92" s="2" t="s">
        <v>991</v>
      </c>
      <c r="E92" s="2" t="s">
        <v>998</v>
      </c>
      <c r="F92" s="2" t="s">
        <v>999</v>
      </c>
      <c r="G92" s="8" t="str">
        <f>IF(ISNA(VLOOKUP(B92&amp;"|"&amp;C92&amp;"|"&amp;D92&amp;"|"&amp;E92,QuestionTriggers!A:F,6,FALSE)),"","---&gt;")</f>
        <v/>
      </c>
      <c r="H92" s="2" t="s">
        <v>992</v>
      </c>
      <c r="I92" s="2" t="s">
        <v>993</v>
      </c>
      <c r="J92" s="2" t="s">
        <v>994</v>
      </c>
      <c r="K92" s="2"/>
    </row>
    <row r="93" spans="1:11" ht="26.4" hidden="1" x14ac:dyDescent="0.3">
      <c r="A93" t="str">
        <f t="shared" si="1"/>
        <v>Britain|Thevel|HEALTH</v>
      </c>
      <c r="B93" s="2" t="s">
        <v>713</v>
      </c>
      <c r="C93" s="2" t="s">
        <v>858</v>
      </c>
      <c r="D93" s="2" t="s">
        <v>906</v>
      </c>
      <c r="E93" s="2" t="s">
        <v>20</v>
      </c>
      <c r="F93" s="2" t="s">
        <v>661</v>
      </c>
      <c r="G93" s="8" t="str">
        <f>IF(ISNA(VLOOKUP(B93&amp;"|"&amp;C93&amp;"|"&amp;D93&amp;"|"&amp;E93,QuestionTriggers!A:F,6,FALSE)),"","---&gt;")</f>
        <v/>
      </c>
      <c r="H93" s="2" t="s">
        <v>907</v>
      </c>
      <c r="I93" s="2" t="s">
        <v>908</v>
      </c>
      <c r="J93" s="2" t="s">
        <v>909</v>
      </c>
      <c r="K93" s="2"/>
    </row>
    <row r="94" spans="1:11" ht="26.4" hidden="1" x14ac:dyDescent="0.3">
      <c r="A94" t="str">
        <f t="shared" si="1"/>
        <v>Britain|Thevel|JOB</v>
      </c>
      <c r="B94" s="2" t="s">
        <v>713</v>
      </c>
      <c r="C94" s="2" t="s">
        <v>858</v>
      </c>
      <c r="D94" s="2" t="s">
        <v>906</v>
      </c>
      <c r="E94" s="2" t="s">
        <v>18</v>
      </c>
      <c r="F94" s="2" t="s">
        <v>910</v>
      </c>
      <c r="G94" s="8" t="str">
        <f>IF(ISNA(VLOOKUP(B94&amp;"|"&amp;C94&amp;"|"&amp;D94&amp;"|"&amp;E94,QuestionTriggers!A:F,6,FALSE)),"","---&gt;")</f>
        <v/>
      </c>
      <c r="H94" s="2" t="s">
        <v>907</v>
      </c>
      <c r="I94" s="2" t="s">
        <v>908</v>
      </c>
      <c r="J94" s="2" t="s">
        <v>909</v>
      </c>
      <c r="K94" s="2"/>
    </row>
    <row r="95" spans="1:11" ht="26.4" hidden="1" x14ac:dyDescent="0.3">
      <c r="A95" t="str">
        <f t="shared" si="1"/>
        <v>Britain|Thevel|LOOK</v>
      </c>
      <c r="B95" s="2" t="s">
        <v>713</v>
      </c>
      <c r="C95" s="2" t="s">
        <v>858</v>
      </c>
      <c r="D95" s="2" t="s">
        <v>906</v>
      </c>
      <c r="E95" s="2" t="s">
        <v>16</v>
      </c>
      <c r="F95" s="2" t="s">
        <v>603</v>
      </c>
      <c r="G95" s="8" t="str">
        <f>IF(ISNA(VLOOKUP(B95&amp;"|"&amp;C95&amp;"|"&amp;D95&amp;"|"&amp;E95,QuestionTriggers!A:F,6,FALSE)),"","---&gt;")</f>
        <v/>
      </c>
      <c r="H95" s="2" t="s">
        <v>907</v>
      </c>
      <c r="I95" s="2" t="s">
        <v>908</v>
      </c>
      <c r="J95" s="2" t="s">
        <v>909</v>
      </c>
      <c r="K95" s="2"/>
    </row>
    <row r="96" spans="1:11" ht="26.4" hidden="1" x14ac:dyDescent="0.3">
      <c r="A96" t="str">
        <f t="shared" si="1"/>
        <v>Britain|Thevel|MAGI</v>
      </c>
      <c r="B96" s="2" t="s">
        <v>713</v>
      </c>
      <c r="C96" s="2" t="s">
        <v>858</v>
      </c>
      <c r="D96" s="2" t="s">
        <v>906</v>
      </c>
      <c r="E96" s="2" t="s">
        <v>912</v>
      </c>
      <c r="F96" s="2" t="s">
        <v>913</v>
      </c>
      <c r="G96" s="8" t="str">
        <f>IF(ISNA(VLOOKUP(B96&amp;"|"&amp;C96&amp;"|"&amp;D96&amp;"|"&amp;E96,QuestionTriggers!A:F,6,FALSE)),"","---&gt;")</f>
        <v>---&gt;</v>
      </c>
      <c r="H96" s="2" t="s">
        <v>907</v>
      </c>
      <c r="I96" s="2" t="s">
        <v>908</v>
      </c>
      <c r="J96" s="2" t="s">
        <v>909</v>
      </c>
      <c r="K96" s="2"/>
    </row>
    <row r="97" spans="1:11" ht="26.4" hidden="1" x14ac:dyDescent="0.3">
      <c r="A97" t="str">
        <f t="shared" si="1"/>
        <v>Britain|Thevel|NAME</v>
      </c>
      <c r="B97" s="2" t="s">
        <v>713</v>
      </c>
      <c r="C97" s="2" t="s">
        <v>858</v>
      </c>
      <c r="D97" s="2" t="s">
        <v>906</v>
      </c>
      <c r="E97" s="2" t="s">
        <v>12</v>
      </c>
      <c r="F97" s="2" t="s">
        <v>906</v>
      </c>
      <c r="G97" s="8" t="str">
        <f>IF(ISNA(VLOOKUP(B97&amp;"|"&amp;C97&amp;"|"&amp;D97&amp;"|"&amp;E97,QuestionTriggers!A:F,6,FALSE)),"","---&gt;")</f>
        <v/>
      </c>
      <c r="H97" s="2" t="s">
        <v>907</v>
      </c>
      <c r="I97" s="2" t="s">
        <v>908</v>
      </c>
      <c r="J97" s="2" t="s">
        <v>909</v>
      </c>
      <c r="K97" s="2"/>
    </row>
    <row r="98" spans="1:11" ht="26.4" hidden="1" x14ac:dyDescent="0.3">
      <c r="A98" t="str">
        <f t="shared" si="1"/>
        <v>Britain|Thevel|ORBS</v>
      </c>
      <c r="B98" s="2" t="s">
        <v>713</v>
      </c>
      <c r="C98" s="2" t="s">
        <v>858</v>
      </c>
      <c r="D98" s="2" t="s">
        <v>906</v>
      </c>
      <c r="E98" s="2" t="s">
        <v>686</v>
      </c>
      <c r="F98" s="2" t="s">
        <v>911</v>
      </c>
      <c r="G98" s="8" t="str">
        <f>IF(ISNA(VLOOKUP(B98&amp;"|"&amp;C98&amp;"|"&amp;D98&amp;"|"&amp;E98,QuestionTriggers!A:F,6,FALSE)),"","---&gt;")</f>
        <v/>
      </c>
      <c r="H98" s="2" t="s">
        <v>907</v>
      </c>
      <c r="I98" s="2" t="s">
        <v>908</v>
      </c>
      <c r="J98" s="2" t="s">
        <v>909</v>
      </c>
      <c r="K98" s="2"/>
    </row>
    <row r="99" spans="1:11" ht="26.4" hidden="1" x14ac:dyDescent="0.3">
      <c r="A99" t="str">
        <f t="shared" si="1"/>
        <v>Bucaneer's Den|Bartender|Skull (99 gold)</v>
      </c>
      <c r="B99" s="2" t="s">
        <v>1768</v>
      </c>
      <c r="C99" s="2" t="s">
        <v>2352</v>
      </c>
      <c r="D99" s="2" t="s">
        <v>2277</v>
      </c>
      <c r="E99" s="2" t="s">
        <v>2288</v>
      </c>
      <c r="F99" s="2" t="s">
        <v>2289</v>
      </c>
      <c r="G99" s="8" t="str">
        <f>IF(ISNA(VLOOKUP(B99&amp;"|"&amp;C99&amp;"|"&amp;D99&amp;"|"&amp;E99,QuestionTriggers!A:F,6,FALSE)),"","---&gt;")</f>
        <v/>
      </c>
    </row>
    <row r="100" spans="1:11" hidden="1" x14ac:dyDescent="0.3">
      <c r="A100" t="str">
        <f t="shared" si="1"/>
        <v>Buccaneer’s Den|Boris|HEALTH</v>
      </c>
      <c r="B100" s="2" t="s">
        <v>1768</v>
      </c>
      <c r="C100" s="2" t="s">
        <v>2019</v>
      </c>
      <c r="D100" s="2" t="s">
        <v>2109</v>
      </c>
      <c r="E100" s="2" t="s">
        <v>20</v>
      </c>
      <c r="F100" s="2" t="s">
        <v>2115</v>
      </c>
      <c r="G100" s="8" t="str">
        <f>IF(ISNA(VLOOKUP(B100&amp;"|"&amp;C100&amp;"|"&amp;D100&amp;"|"&amp;E100,QuestionTriggers!A:F,6,FALSE)),"","---&gt;")</f>
        <v/>
      </c>
      <c r="H100" s="2" t="s">
        <v>2110</v>
      </c>
      <c r="I100" s="2" t="s">
        <v>2111</v>
      </c>
      <c r="J100" s="2" t="s">
        <v>2112</v>
      </c>
      <c r="K100" s="2"/>
    </row>
    <row r="101" spans="1:11" hidden="1" x14ac:dyDescent="0.3">
      <c r="A101" t="str">
        <f t="shared" si="1"/>
        <v>Buccaneer’s Den|Boris|ITEM</v>
      </c>
      <c r="B101" s="2" t="s">
        <v>1768</v>
      </c>
      <c r="C101" s="2" t="s">
        <v>2019</v>
      </c>
      <c r="D101" s="2" t="s">
        <v>2109</v>
      </c>
      <c r="E101" s="2" t="s">
        <v>2116</v>
      </c>
      <c r="F101" s="2" t="s">
        <v>2117</v>
      </c>
      <c r="G101" s="8" t="str">
        <f>IF(ISNA(VLOOKUP(B101&amp;"|"&amp;C101&amp;"|"&amp;D101&amp;"|"&amp;E101,QuestionTriggers!A:F,6,FALSE)),"","---&gt;")</f>
        <v>---&gt;</v>
      </c>
      <c r="H101" s="2" t="s">
        <v>2110</v>
      </c>
      <c r="I101" s="2" t="s">
        <v>2111</v>
      </c>
      <c r="J101" s="2" t="s">
        <v>2112</v>
      </c>
      <c r="K101" s="2"/>
    </row>
    <row r="102" spans="1:11" hidden="1" x14ac:dyDescent="0.3">
      <c r="A102" t="str">
        <f t="shared" si="1"/>
        <v>Buccaneer’s Den|Boris|JOB</v>
      </c>
      <c r="B102" s="2" t="s">
        <v>1768</v>
      </c>
      <c r="C102" s="2" t="s">
        <v>2019</v>
      </c>
      <c r="D102" s="2" t="s">
        <v>2109</v>
      </c>
      <c r="E102" s="2" t="s">
        <v>18</v>
      </c>
      <c r="F102" s="2" t="s">
        <v>2114</v>
      </c>
      <c r="G102" s="8" t="str">
        <f>IF(ISNA(VLOOKUP(B102&amp;"|"&amp;C102&amp;"|"&amp;D102&amp;"|"&amp;E102,QuestionTriggers!A:F,6,FALSE)),"","---&gt;")</f>
        <v/>
      </c>
      <c r="H102" s="2" t="s">
        <v>2110</v>
      </c>
      <c r="I102" s="2" t="s">
        <v>2111</v>
      </c>
      <c r="J102" s="2" t="s">
        <v>2112</v>
      </c>
      <c r="K102" s="2"/>
    </row>
    <row r="103" spans="1:11" hidden="1" x14ac:dyDescent="0.3">
      <c r="A103" t="str">
        <f t="shared" si="1"/>
        <v>Buccaneer’s Den|Boris|LOOK</v>
      </c>
      <c r="B103" s="2" t="s">
        <v>1768</v>
      </c>
      <c r="C103" s="2" t="s">
        <v>2019</v>
      </c>
      <c r="D103" s="2" t="s">
        <v>2109</v>
      </c>
      <c r="E103" s="2" t="s">
        <v>16</v>
      </c>
      <c r="F103" s="2" t="s">
        <v>2113</v>
      </c>
      <c r="G103" s="8" t="str">
        <f>IF(ISNA(VLOOKUP(B103&amp;"|"&amp;C103&amp;"|"&amp;D103&amp;"|"&amp;E103,QuestionTriggers!A:F,6,FALSE)),"","---&gt;")</f>
        <v/>
      </c>
      <c r="H103" s="2" t="s">
        <v>2110</v>
      </c>
      <c r="I103" s="2" t="s">
        <v>2111</v>
      </c>
      <c r="J103" s="2" t="s">
        <v>2112</v>
      </c>
      <c r="K103" s="2"/>
    </row>
    <row r="104" spans="1:11" hidden="1" x14ac:dyDescent="0.3">
      <c r="A104" t="str">
        <f t="shared" si="1"/>
        <v>Buccaneer’s Den|Boris|NAME</v>
      </c>
      <c r="B104" s="2" t="s">
        <v>1768</v>
      </c>
      <c r="C104" s="2" t="s">
        <v>2019</v>
      </c>
      <c r="D104" s="2" t="s">
        <v>2109</v>
      </c>
      <c r="E104" s="2" t="s">
        <v>12</v>
      </c>
      <c r="F104" s="2" t="s">
        <v>2109</v>
      </c>
      <c r="G104" s="8" t="str">
        <f>IF(ISNA(VLOOKUP(B104&amp;"|"&amp;C104&amp;"|"&amp;D104&amp;"|"&amp;E104,QuestionTriggers!A:F,6,FALSE)),"","---&gt;")</f>
        <v/>
      </c>
      <c r="H104" s="2" t="s">
        <v>2110</v>
      </c>
      <c r="I104" s="2" t="s">
        <v>2111</v>
      </c>
      <c r="J104" s="2" t="s">
        <v>2112</v>
      </c>
      <c r="K104" s="2"/>
    </row>
    <row r="105" spans="1:11" hidden="1" x14ac:dyDescent="0.3">
      <c r="A105" t="str">
        <f t="shared" si="1"/>
        <v>Buccaneer’s Den|Brigant|HEALTH</v>
      </c>
      <c r="B105" s="2" t="s">
        <v>1768</v>
      </c>
      <c r="C105" s="2" t="s">
        <v>2019</v>
      </c>
      <c r="D105" s="2" t="s">
        <v>2100</v>
      </c>
      <c r="E105" s="2" t="s">
        <v>20</v>
      </c>
      <c r="F105" s="2" t="s">
        <v>2106</v>
      </c>
      <c r="G105" s="8" t="str">
        <f>IF(ISNA(VLOOKUP(B105&amp;"|"&amp;C105&amp;"|"&amp;D105&amp;"|"&amp;E105,QuestionTriggers!A:F,6,FALSE)),"","---&gt;")</f>
        <v/>
      </c>
      <c r="H105" s="2" t="s">
        <v>2101</v>
      </c>
      <c r="I105" s="2" t="s">
        <v>2102</v>
      </c>
      <c r="J105" s="2" t="s">
        <v>2103</v>
      </c>
      <c r="K105" s="2"/>
    </row>
    <row r="106" spans="1:11" hidden="1" x14ac:dyDescent="0.3">
      <c r="A106" t="str">
        <f t="shared" si="1"/>
        <v>Buccaneer’s Den|Brigant|IT</v>
      </c>
      <c r="B106" s="2" t="s">
        <v>1768</v>
      </c>
      <c r="C106" s="2" t="s">
        <v>2019</v>
      </c>
      <c r="D106" s="2" t="s">
        <v>2100</v>
      </c>
      <c r="E106" s="2" t="s">
        <v>2107</v>
      </c>
      <c r="F106" s="2" t="s">
        <v>2108</v>
      </c>
      <c r="G106" s="8" t="str">
        <f>IF(ISNA(VLOOKUP(B106&amp;"|"&amp;C106&amp;"|"&amp;D106&amp;"|"&amp;E106,QuestionTriggers!A:F,6,FALSE)),"","---&gt;")</f>
        <v>---&gt;</v>
      </c>
      <c r="H106" s="2" t="s">
        <v>2101</v>
      </c>
      <c r="I106" s="2" t="s">
        <v>2102</v>
      </c>
      <c r="J106" s="2" t="s">
        <v>2103</v>
      </c>
      <c r="K106" s="2"/>
    </row>
    <row r="107" spans="1:11" hidden="1" x14ac:dyDescent="0.3">
      <c r="A107" t="str">
        <f t="shared" si="1"/>
        <v>Buccaneer’s Den|Brigant|JOB</v>
      </c>
      <c r="B107" s="2" t="s">
        <v>1768</v>
      </c>
      <c r="C107" s="2" t="s">
        <v>2019</v>
      </c>
      <c r="D107" s="2" t="s">
        <v>2100</v>
      </c>
      <c r="E107" s="2" t="s">
        <v>18</v>
      </c>
      <c r="F107" s="2" t="s">
        <v>2105</v>
      </c>
      <c r="G107" s="8" t="str">
        <f>IF(ISNA(VLOOKUP(B107&amp;"|"&amp;C107&amp;"|"&amp;D107&amp;"|"&amp;E107,QuestionTriggers!A:F,6,FALSE)),"","---&gt;")</f>
        <v/>
      </c>
      <c r="H107" s="2" t="s">
        <v>2101</v>
      </c>
      <c r="I107" s="2" t="s">
        <v>2102</v>
      </c>
      <c r="J107" s="2" t="s">
        <v>2103</v>
      </c>
      <c r="K107" s="2"/>
    </row>
    <row r="108" spans="1:11" hidden="1" x14ac:dyDescent="0.3">
      <c r="A108" t="str">
        <f t="shared" si="1"/>
        <v>Buccaneer’s Den|Brigant|LOOK</v>
      </c>
      <c r="B108" s="2" t="s">
        <v>1768</v>
      </c>
      <c r="C108" s="2" t="s">
        <v>2019</v>
      </c>
      <c r="D108" s="2" t="s">
        <v>2100</v>
      </c>
      <c r="E108" s="2" t="s">
        <v>16</v>
      </c>
      <c r="F108" s="2" t="s">
        <v>2104</v>
      </c>
      <c r="G108" s="8" t="str">
        <f>IF(ISNA(VLOOKUP(B108&amp;"|"&amp;C108&amp;"|"&amp;D108&amp;"|"&amp;E108,QuestionTriggers!A:F,6,FALSE)),"","---&gt;")</f>
        <v/>
      </c>
      <c r="H108" s="2" t="s">
        <v>2101</v>
      </c>
      <c r="I108" s="2" t="s">
        <v>2102</v>
      </c>
      <c r="J108" s="2" t="s">
        <v>2103</v>
      </c>
      <c r="K108" s="2"/>
    </row>
    <row r="109" spans="1:11" hidden="1" x14ac:dyDescent="0.3">
      <c r="A109" t="str">
        <f t="shared" si="1"/>
        <v>Buccaneer’s Den|Brigant|NAME</v>
      </c>
      <c r="B109" s="2" t="s">
        <v>1768</v>
      </c>
      <c r="C109" s="2" t="s">
        <v>2019</v>
      </c>
      <c r="D109" s="2" t="s">
        <v>2100</v>
      </c>
      <c r="E109" s="2" t="s">
        <v>12</v>
      </c>
      <c r="F109" s="2" t="s">
        <v>2100</v>
      </c>
      <c r="G109" s="8" t="str">
        <f>IF(ISNA(VLOOKUP(B109&amp;"|"&amp;C109&amp;"|"&amp;D109&amp;"|"&amp;E109,QuestionTriggers!A:F,6,FALSE)),"","---&gt;")</f>
        <v/>
      </c>
      <c r="H109" s="2" t="s">
        <v>2101</v>
      </c>
      <c r="I109" s="2" t="s">
        <v>2102</v>
      </c>
      <c r="J109" s="2" t="s">
        <v>2103</v>
      </c>
      <c r="K109" s="2"/>
    </row>
    <row r="110" spans="1:11" hidden="1" x14ac:dyDescent="0.3">
      <c r="A110" t="str">
        <f t="shared" si="1"/>
        <v>Buccaneer’s Den|Dancek|HEALTH</v>
      </c>
      <c r="B110" s="2" t="s">
        <v>1768</v>
      </c>
      <c r="C110" s="2" t="s">
        <v>2019</v>
      </c>
      <c r="D110" s="2" t="s">
        <v>2145</v>
      </c>
      <c r="E110" s="2" t="s">
        <v>20</v>
      </c>
      <c r="F110" s="2" t="s">
        <v>2151</v>
      </c>
      <c r="G110" s="8" t="str">
        <f>IF(ISNA(VLOOKUP(B110&amp;"|"&amp;C110&amp;"|"&amp;D110&amp;"|"&amp;E110,QuestionTriggers!A:F,6,FALSE)),"","---&gt;")</f>
        <v/>
      </c>
      <c r="H110" s="2" t="s">
        <v>2146</v>
      </c>
      <c r="I110" s="2" t="s">
        <v>2147</v>
      </c>
      <c r="J110" s="2" t="s">
        <v>2148</v>
      </c>
      <c r="K110" s="2"/>
    </row>
    <row r="111" spans="1:11" hidden="1" x14ac:dyDescent="0.3">
      <c r="A111" t="str">
        <f t="shared" si="1"/>
        <v>Buccaneer’s Den|Dancek|JOB</v>
      </c>
      <c r="B111" s="2" t="s">
        <v>1768</v>
      </c>
      <c r="C111" s="2" t="s">
        <v>2019</v>
      </c>
      <c r="D111" s="2" t="s">
        <v>2145</v>
      </c>
      <c r="E111" s="2" t="s">
        <v>18</v>
      </c>
      <c r="F111" s="2" t="s">
        <v>2150</v>
      </c>
      <c r="G111" s="8" t="str">
        <f>IF(ISNA(VLOOKUP(B111&amp;"|"&amp;C111&amp;"|"&amp;D111&amp;"|"&amp;E111,QuestionTriggers!A:F,6,FALSE)),"","---&gt;")</f>
        <v/>
      </c>
      <c r="H111" s="2" t="s">
        <v>2146</v>
      </c>
      <c r="I111" s="2" t="s">
        <v>2147</v>
      </c>
      <c r="J111" s="2" t="s">
        <v>2148</v>
      </c>
      <c r="K111" s="2"/>
    </row>
    <row r="112" spans="1:11" hidden="1" x14ac:dyDescent="0.3">
      <c r="A112" t="str">
        <f t="shared" si="1"/>
        <v>Buccaneer’s Den|Dancek|LOOK</v>
      </c>
      <c r="B112" s="2" t="s">
        <v>1768</v>
      </c>
      <c r="C112" s="2" t="s">
        <v>2019</v>
      </c>
      <c r="D112" s="2" t="s">
        <v>2145</v>
      </c>
      <c r="E112" s="2" t="s">
        <v>16</v>
      </c>
      <c r="F112" s="2" t="s">
        <v>2149</v>
      </c>
      <c r="G112" s="8" t="str">
        <f>IF(ISNA(VLOOKUP(B112&amp;"|"&amp;C112&amp;"|"&amp;D112&amp;"|"&amp;E112,QuestionTriggers!A:F,6,FALSE)),"","---&gt;")</f>
        <v/>
      </c>
      <c r="H112" s="2" t="s">
        <v>2146</v>
      </c>
      <c r="I112" s="2" t="s">
        <v>2147</v>
      </c>
      <c r="J112" s="2" t="s">
        <v>2148</v>
      </c>
      <c r="K112" s="2"/>
    </row>
    <row r="113" spans="1:11" hidden="1" x14ac:dyDescent="0.3">
      <c r="A113" t="str">
        <f t="shared" si="1"/>
        <v>Buccaneer’s Den|Dancek|MACH</v>
      </c>
      <c r="B113" s="2" t="s">
        <v>1768</v>
      </c>
      <c r="C113" s="2" t="s">
        <v>2019</v>
      </c>
      <c r="D113" s="2" t="s">
        <v>2145</v>
      </c>
      <c r="E113" s="2" t="s">
        <v>2153</v>
      </c>
      <c r="F113" s="2" t="s">
        <v>2154</v>
      </c>
      <c r="G113" s="8" t="str">
        <f>IF(ISNA(VLOOKUP(B113&amp;"|"&amp;C113&amp;"|"&amp;D113&amp;"|"&amp;E113,QuestionTriggers!A:F,6,FALSE)),"","---&gt;")</f>
        <v>---&gt;</v>
      </c>
      <c r="H113" s="2" t="s">
        <v>2146</v>
      </c>
      <c r="I113" s="2" t="s">
        <v>2147</v>
      </c>
      <c r="J113" s="2" t="s">
        <v>2148</v>
      </c>
      <c r="K113" s="2"/>
    </row>
    <row r="114" spans="1:11" hidden="1" x14ac:dyDescent="0.3">
      <c r="A114" t="str">
        <f t="shared" si="1"/>
        <v>Buccaneer’s Den|Dancek|NAME</v>
      </c>
      <c r="B114" s="2" t="s">
        <v>1768</v>
      </c>
      <c r="C114" s="2" t="s">
        <v>2019</v>
      </c>
      <c r="D114" s="2" t="s">
        <v>2145</v>
      </c>
      <c r="E114" s="2" t="s">
        <v>12</v>
      </c>
      <c r="F114" s="2" t="s">
        <v>2145</v>
      </c>
      <c r="G114" s="8" t="str">
        <f>IF(ISNA(VLOOKUP(B114&amp;"|"&amp;C114&amp;"|"&amp;D114&amp;"|"&amp;E114,QuestionTriggers!A:F,6,FALSE)),"","---&gt;")</f>
        <v/>
      </c>
      <c r="H114" s="2" t="s">
        <v>2146</v>
      </c>
      <c r="I114" s="2" t="s">
        <v>2147</v>
      </c>
      <c r="J114" s="2" t="s">
        <v>2148</v>
      </c>
      <c r="K114" s="2"/>
    </row>
    <row r="115" spans="1:11" hidden="1" x14ac:dyDescent="0.3">
      <c r="A115" t="str">
        <f t="shared" si="1"/>
        <v>Buccaneer’s Den|Dancek|TINK</v>
      </c>
      <c r="B115" s="2" t="s">
        <v>1768</v>
      </c>
      <c r="C115" s="2" t="s">
        <v>2019</v>
      </c>
      <c r="D115" s="2" t="s">
        <v>2145</v>
      </c>
      <c r="E115" s="2" t="s">
        <v>1919</v>
      </c>
      <c r="F115" s="2" t="s">
        <v>2152</v>
      </c>
      <c r="G115" s="8" t="str">
        <f>IF(ISNA(VLOOKUP(B115&amp;"|"&amp;C115&amp;"|"&amp;D115&amp;"|"&amp;E115,QuestionTriggers!A:F,6,FALSE)),"","---&gt;")</f>
        <v/>
      </c>
      <c r="H115" s="2" t="s">
        <v>2146</v>
      </c>
      <c r="I115" s="2" t="s">
        <v>2147</v>
      </c>
      <c r="J115" s="2" t="s">
        <v>2148</v>
      </c>
      <c r="K115" s="2"/>
    </row>
    <row r="116" spans="1:11" hidden="1" x14ac:dyDescent="0.3">
      <c r="A116" t="str">
        <f t="shared" si="1"/>
        <v>Buccaneer’s Den|Green Beard|ARMO</v>
      </c>
      <c r="B116" s="2" t="s">
        <v>1768</v>
      </c>
      <c r="C116" s="2" t="s">
        <v>2019</v>
      </c>
      <c r="D116" s="2" t="s">
        <v>2127</v>
      </c>
      <c r="E116" s="2" t="s">
        <v>388</v>
      </c>
      <c r="F116" s="2" t="s">
        <v>2134</v>
      </c>
      <c r="G116" s="8" t="str">
        <f>IF(ISNA(VLOOKUP(B116&amp;"|"&amp;C116&amp;"|"&amp;D116&amp;"|"&amp;E116,QuestionTriggers!A:F,6,FALSE)),"","---&gt;")</f>
        <v/>
      </c>
      <c r="H116" s="2" t="s">
        <v>2128</v>
      </c>
      <c r="I116" s="2" t="s">
        <v>2129</v>
      </c>
      <c r="J116" s="2" t="s">
        <v>2130</v>
      </c>
      <c r="K116" s="2"/>
    </row>
    <row r="117" spans="1:11" hidden="1" x14ac:dyDescent="0.3">
      <c r="A117" t="str">
        <f t="shared" si="1"/>
        <v>Buccaneer’s Den|Green Beard|HEALTH</v>
      </c>
      <c r="B117" s="2" t="s">
        <v>1768</v>
      </c>
      <c r="C117" s="2" t="s">
        <v>2019</v>
      </c>
      <c r="D117" s="2" t="s">
        <v>2127</v>
      </c>
      <c r="E117" s="2" t="s">
        <v>20</v>
      </c>
      <c r="F117" s="2" t="s">
        <v>2133</v>
      </c>
      <c r="G117" s="8" t="str">
        <f>IF(ISNA(VLOOKUP(B117&amp;"|"&amp;C117&amp;"|"&amp;D117&amp;"|"&amp;E117,QuestionTriggers!A:F,6,FALSE)),"","---&gt;")</f>
        <v/>
      </c>
      <c r="H117" s="2" t="s">
        <v>2128</v>
      </c>
      <c r="I117" s="2" t="s">
        <v>2129</v>
      </c>
      <c r="J117" s="2" t="s">
        <v>2130</v>
      </c>
      <c r="K117" s="2"/>
    </row>
    <row r="118" spans="1:11" hidden="1" x14ac:dyDescent="0.3">
      <c r="A118" t="str">
        <f t="shared" si="1"/>
        <v>Buccaneer’s Den|Green Beard|JOB</v>
      </c>
      <c r="B118" s="2" t="s">
        <v>1768</v>
      </c>
      <c r="C118" s="2" t="s">
        <v>2019</v>
      </c>
      <c r="D118" s="2" t="s">
        <v>2127</v>
      </c>
      <c r="E118" s="2" t="s">
        <v>18</v>
      </c>
      <c r="F118" s="2" t="s">
        <v>2132</v>
      </c>
      <c r="G118" s="8" t="str">
        <f>IF(ISNA(VLOOKUP(B118&amp;"|"&amp;C118&amp;"|"&amp;D118&amp;"|"&amp;E118,QuestionTriggers!A:F,6,FALSE)),"","---&gt;")</f>
        <v/>
      </c>
      <c r="H118" s="2" t="s">
        <v>2128</v>
      </c>
      <c r="I118" s="2" t="s">
        <v>2129</v>
      </c>
      <c r="J118" s="2" t="s">
        <v>2130</v>
      </c>
      <c r="K118" s="2"/>
    </row>
    <row r="119" spans="1:11" hidden="1" x14ac:dyDescent="0.3">
      <c r="A119" t="str">
        <f t="shared" si="1"/>
        <v>Buccaneer’s Den|Green Beard|LOOK</v>
      </c>
      <c r="B119" s="2" t="s">
        <v>1768</v>
      </c>
      <c r="C119" s="2" t="s">
        <v>2019</v>
      </c>
      <c r="D119" s="2" t="s">
        <v>2127</v>
      </c>
      <c r="E119" s="2" t="s">
        <v>16</v>
      </c>
      <c r="F119" s="2" t="s">
        <v>2131</v>
      </c>
      <c r="G119" s="8" t="str">
        <f>IF(ISNA(VLOOKUP(B119&amp;"|"&amp;C119&amp;"|"&amp;D119&amp;"|"&amp;E119,QuestionTriggers!A:F,6,FALSE)),"","---&gt;")</f>
        <v/>
      </c>
      <c r="H119" s="2" t="s">
        <v>2128</v>
      </c>
      <c r="I119" s="2" t="s">
        <v>2129</v>
      </c>
      <c r="J119" s="2" t="s">
        <v>2130</v>
      </c>
      <c r="K119" s="2"/>
    </row>
    <row r="120" spans="1:11" hidden="1" x14ac:dyDescent="0.3">
      <c r="A120" t="str">
        <f t="shared" si="1"/>
        <v>Buccaneer’s Den|Green Beard|NAME</v>
      </c>
      <c r="B120" s="2" t="s">
        <v>1768</v>
      </c>
      <c r="C120" s="2" t="s">
        <v>2019</v>
      </c>
      <c r="D120" s="2" t="s">
        <v>2127</v>
      </c>
      <c r="E120" s="2" t="s">
        <v>12</v>
      </c>
      <c r="F120" s="2" t="s">
        <v>2127</v>
      </c>
      <c r="G120" s="8" t="str">
        <f>IF(ISNA(VLOOKUP(B120&amp;"|"&amp;C120&amp;"|"&amp;D120&amp;"|"&amp;E120,QuestionTriggers!A:F,6,FALSE)),"","---&gt;")</f>
        <v/>
      </c>
      <c r="H120" s="2" t="s">
        <v>2128</v>
      </c>
      <c r="I120" s="2" t="s">
        <v>2129</v>
      </c>
      <c r="J120" s="2" t="s">
        <v>2130</v>
      </c>
      <c r="K120" s="2"/>
    </row>
    <row r="121" spans="1:11" hidden="1" x14ac:dyDescent="0.3">
      <c r="A121" t="str">
        <f t="shared" si="1"/>
        <v>Buccaneer’s Den|Ignap|DOOM</v>
      </c>
      <c r="B121" s="2" t="s">
        <v>1768</v>
      </c>
      <c r="C121" s="2" t="s">
        <v>2019</v>
      </c>
      <c r="D121" s="2" t="s">
        <v>2118</v>
      </c>
      <c r="E121" s="2" t="s">
        <v>2125</v>
      </c>
      <c r="F121" s="2" t="s">
        <v>2126</v>
      </c>
      <c r="G121" s="8" t="str">
        <f>IF(ISNA(VLOOKUP(B121&amp;"|"&amp;C121&amp;"|"&amp;D121&amp;"|"&amp;E121,QuestionTriggers!A:F,6,FALSE)),"","---&gt;")</f>
        <v>---&gt;</v>
      </c>
      <c r="H121" s="2" t="s">
        <v>2119</v>
      </c>
      <c r="I121" s="2" t="s">
        <v>2120</v>
      </c>
      <c r="J121" s="2" t="s">
        <v>2121</v>
      </c>
      <c r="K121" s="2"/>
    </row>
    <row r="122" spans="1:11" hidden="1" x14ac:dyDescent="0.3">
      <c r="A122" t="str">
        <f t="shared" si="1"/>
        <v>Buccaneer’s Den|Ignap|HEALTH</v>
      </c>
      <c r="B122" s="2" t="s">
        <v>1768</v>
      </c>
      <c r="C122" s="2" t="s">
        <v>2019</v>
      </c>
      <c r="D122" s="2" t="s">
        <v>2118</v>
      </c>
      <c r="E122" s="2" t="s">
        <v>20</v>
      </c>
      <c r="F122" s="2" t="s">
        <v>1467</v>
      </c>
      <c r="G122" s="8" t="str">
        <f>IF(ISNA(VLOOKUP(B122&amp;"|"&amp;C122&amp;"|"&amp;D122&amp;"|"&amp;E122,QuestionTriggers!A:F,6,FALSE)),"","---&gt;")</f>
        <v/>
      </c>
      <c r="H122" s="2" t="s">
        <v>2119</v>
      </c>
      <c r="I122" s="2" t="s">
        <v>2120</v>
      </c>
      <c r="J122" s="2" t="s">
        <v>2121</v>
      </c>
      <c r="K122" s="2"/>
    </row>
    <row r="123" spans="1:11" hidden="1" x14ac:dyDescent="0.3">
      <c r="A123" t="str">
        <f t="shared" si="1"/>
        <v>Buccaneer’s Den|Ignap|JOB</v>
      </c>
      <c r="B123" s="2" t="s">
        <v>1768</v>
      </c>
      <c r="C123" s="2" t="s">
        <v>2019</v>
      </c>
      <c r="D123" s="2" t="s">
        <v>2118</v>
      </c>
      <c r="E123" s="2" t="s">
        <v>18</v>
      </c>
      <c r="F123" s="2" t="s">
        <v>2123</v>
      </c>
      <c r="G123" s="8" t="str">
        <f>IF(ISNA(VLOOKUP(B123&amp;"|"&amp;C123&amp;"|"&amp;D123&amp;"|"&amp;E123,QuestionTriggers!A:F,6,FALSE)),"","---&gt;")</f>
        <v/>
      </c>
      <c r="H123" s="2" t="s">
        <v>2119</v>
      </c>
      <c r="I123" s="2" t="s">
        <v>2120</v>
      </c>
      <c r="J123" s="2" t="s">
        <v>2121</v>
      </c>
      <c r="K123" s="2"/>
    </row>
    <row r="124" spans="1:11" hidden="1" x14ac:dyDescent="0.3">
      <c r="A124" t="str">
        <f t="shared" si="1"/>
        <v>Buccaneer’s Den|Ignap|LOOK</v>
      </c>
      <c r="B124" s="2" t="s">
        <v>1768</v>
      </c>
      <c r="C124" s="2" t="s">
        <v>2019</v>
      </c>
      <c r="D124" s="2" t="s">
        <v>2118</v>
      </c>
      <c r="E124" s="2" t="s">
        <v>16</v>
      </c>
      <c r="F124" s="2" t="s">
        <v>2122</v>
      </c>
      <c r="G124" s="8" t="str">
        <f>IF(ISNA(VLOOKUP(B124&amp;"|"&amp;C124&amp;"|"&amp;D124&amp;"|"&amp;E124,QuestionTriggers!A:F,6,FALSE)),"","---&gt;")</f>
        <v/>
      </c>
      <c r="H124" s="2" t="s">
        <v>2119</v>
      </c>
      <c r="I124" s="2" t="s">
        <v>2120</v>
      </c>
      <c r="J124" s="2" t="s">
        <v>2121</v>
      </c>
      <c r="K124" s="2"/>
    </row>
    <row r="125" spans="1:11" hidden="1" x14ac:dyDescent="0.3">
      <c r="A125" t="str">
        <f t="shared" si="1"/>
        <v>Buccaneer’s Den|Ignap|NAME</v>
      </c>
      <c r="B125" s="2" t="s">
        <v>1768</v>
      </c>
      <c r="C125" s="2" t="s">
        <v>2019</v>
      </c>
      <c r="D125" s="2" t="s">
        <v>2118</v>
      </c>
      <c r="E125" s="2" t="s">
        <v>12</v>
      </c>
      <c r="F125" s="2" t="s">
        <v>2118</v>
      </c>
      <c r="G125" s="8" t="str">
        <f>IF(ISNA(VLOOKUP(B125&amp;"|"&amp;C125&amp;"|"&amp;D125&amp;"|"&amp;E125,QuestionTriggers!A:F,6,FALSE)),"","---&gt;")</f>
        <v/>
      </c>
      <c r="H125" s="2" t="s">
        <v>2119</v>
      </c>
      <c r="I125" s="2" t="s">
        <v>2120</v>
      </c>
      <c r="J125" s="2" t="s">
        <v>2121</v>
      </c>
      <c r="K125" s="2"/>
    </row>
    <row r="126" spans="1:11" hidden="1" x14ac:dyDescent="0.3">
      <c r="A126" t="str">
        <f t="shared" si="1"/>
        <v>Buccaneer’s Den|Ignap|WARN</v>
      </c>
      <c r="B126" s="2" t="s">
        <v>1768</v>
      </c>
      <c r="C126" s="2" t="s">
        <v>2019</v>
      </c>
      <c r="D126" s="2" t="s">
        <v>2118</v>
      </c>
      <c r="E126" s="2" t="s">
        <v>115</v>
      </c>
      <c r="F126" s="2" t="s">
        <v>2124</v>
      </c>
      <c r="G126" s="8" t="str">
        <f>IF(ISNA(VLOOKUP(B126&amp;"|"&amp;C126&amp;"|"&amp;D126&amp;"|"&amp;E126,QuestionTriggers!A:F,6,FALSE)),"","---&gt;")</f>
        <v/>
      </c>
      <c r="H126" s="2" t="s">
        <v>2119</v>
      </c>
      <c r="I126" s="2" t="s">
        <v>2120</v>
      </c>
      <c r="J126" s="2" t="s">
        <v>2121</v>
      </c>
      <c r="K126" s="2"/>
    </row>
    <row r="127" spans="1:11" ht="26.4" hidden="1" x14ac:dyDescent="0.3">
      <c r="A127" t="str">
        <f t="shared" si="1"/>
        <v>Buccaneer’s Den|Jeremy James Scirlock|HEALTH</v>
      </c>
      <c r="B127" s="2" t="s">
        <v>1768</v>
      </c>
      <c r="C127" s="2" t="s">
        <v>2019</v>
      </c>
      <c r="D127" s="2" t="s">
        <v>2083</v>
      </c>
      <c r="E127" s="2" t="s">
        <v>20</v>
      </c>
      <c r="F127" s="2" t="s">
        <v>2088</v>
      </c>
      <c r="G127" s="8" t="str">
        <f>IF(ISNA(VLOOKUP(B127&amp;"|"&amp;C127&amp;"|"&amp;D127&amp;"|"&amp;E127,QuestionTriggers!A:F,6,FALSE)),"","---&gt;")</f>
        <v/>
      </c>
      <c r="H127" s="2" t="s">
        <v>2084</v>
      </c>
      <c r="I127" s="2" t="s">
        <v>827</v>
      </c>
      <c r="J127" s="2" t="s">
        <v>2085</v>
      </c>
      <c r="K127" s="2"/>
    </row>
    <row r="128" spans="1:11" ht="26.4" hidden="1" x14ac:dyDescent="0.3">
      <c r="A128" t="str">
        <f t="shared" si="1"/>
        <v>Buccaneer’s Den|Jeremy James Scirlock|HYTH</v>
      </c>
      <c r="B128" s="2" t="s">
        <v>1768</v>
      </c>
      <c r="C128" s="2" t="s">
        <v>2019</v>
      </c>
      <c r="D128" s="2" t="s">
        <v>2083</v>
      </c>
      <c r="E128" s="2" t="s">
        <v>2090</v>
      </c>
      <c r="F128" s="2" t="s">
        <v>2091</v>
      </c>
      <c r="G128" s="8" t="str">
        <f>IF(ISNA(VLOOKUP(B128&amp;"|"&amp;C128&amp;"|"&amp;D128&amp;"|"&amp;E128,QuestionTriggers!A:F,6,FALSE)),"","---&gt;")</f>
        <v>---&gt;</v>
      </c>
      <c r="H128" s="2" t="s">
        <v>2084</v>
      </c>
      <c r="I128" s="2" t="s">
        <v>827</v>
      </c>
      <c r="J128" s="2" t="s">
        <v>2085</v>
      </c>
      <c r="K128" s="2"/>
    </row>
    <row r="129" spans="1:11" ht="26.4" hidden="1" x14ac:dyDescent="0.3">
      <c r="A129" t="str">
        <f t="shared" si="1"/>
        <v>Buccaneer’s Den|Jeremy James Scirlock|JOB</v>
      </c>
      <c r="B129" s="2" t="s">
        <v>1768</v>
      </c>
      <c r="C129" s="2" t="s">
        <v>2019</v>
      </c>
      <c r="D129" s="2" t="s">
        <v>2083</v>
      </c>
      <c r="E129" s="2" t="s">
        <v>18</v>
      </c>
      <c r="F129" s="2" t="s">
        <v>2087</v>
      </c>
      <c r="G129" s="8" t="str">
        <f>IF(ISNA(VLOOKUP(B129&amp;"|"&amp;C129&amp;"|"&amp;D129&amp;"|"&amp;E129,QuestionTriggers!A:F,6,FALSE)),"","---&gt;")</f>
        <v/>
      </c>
      <c r="H129" s="2" t="s">
        <v>2084</v>
      </c>
      <c r="I129" s="2" t="s">
        <v>827</v>
      </c>
      <c r="J129" s="2" t="s">
        <v>2085</v>
      </c>
      <c r="K129" s="2"/>
    </row>
    <row r="130" spans="1:11" ht="26.4" hidden="1" x14ac:dyDescent="0.3">
      <c r="A130" t="str">
        <f t="shared" si="1"/>
        <v>Buccaneer’s Den|Jeremy James Scirlock|LOOK</v>
      </c>
      <c r="B130" s="2" t="s">
        <v>1768</v>
      </c>
      <c r="C130" s="2" t="s">
        <v>2019</v>
      </c>
      <c r="D130" s="2" t="s">
        <v>2083</v>
      </c>
      <c r="E130" s="2" t="s">
        <v>16</v>
      </c>
      <c r="F130" s="2" t="s">
        <v>2086</v>
      </c>
      <c r="G130" s="8" t="str">
        <f>IF(ISNA(VLOOKUP(B130&amp;"|"&amp;C130&amp;"|"&amp;D130&amp;"|"&amp;E130,QuestionTriggers!A:F,6,FALSE)),"","---&gt;")</f>
        <v/>
      </c>
      <c r="H130" s="2" t="s">
        <v>2084</v>
      </c>
      <c r="I130" s="2" t="s">
        <v>827</v>
      </c>
      <c r="J130" s="2" t="s">
        <v>2085</v>
      </c>
      <c r="K130" s="2"/>
    </row>
    <row r="131" spans="1:11" ht="26.4" hidden="1" x14ac:dyDescent="0.3">
      <c r="A131" t="str">
        <f t="shared" ref="A131:A194" si="2">C131&amp;"|"&amp;D131&amp;"|"&amp;E131</f>
        <v>Buccaneer’s Den|Jeremy James Scirlock|NAME</v>
      </c>
      <c r="B131" s="2" t="s">
        <v>1768</v>
      </c>
      <c r="C131" s="2" t="s">
        <v>2019</v>
      </c>
      <c r="D131" s="2" t="s">
        <v>2083</v>
      </c>
      <c r="E131" s="2" t="s">
        <v>12</v>
      </c>
      <c r="F131" s="2" t="s">
        <v>2083</v>
      </c>
      <c r="G131" s="8" t="str">
        <f>IF(ISNA(VLOOKUP(B131&amp;"|"&amp;C131&amp;"|"&amp;D131&amp;"|"&amp;E131,QuestionTriggers!A:F,6,FALSE)),"","---&gt;")</f>
        <v/>
      </c>
      <c r="H131" s="2" t="s">
        <v>2084</v>
      </c>
      <c r="I131" s="2" t="s">
        <v>827</v>
      </c>
      <c r="J131" s="2" t="s">
        <v>2085</v>
      </c>
      <c r="K131" s="2"/>
    </row>
    <row r="132" spans="1:11" ht="26.4" hidden="1" x14ac:dyDescent="0.3">
      <c r="A132" t="str">
        <f t="shared" si="2"/>
        <v>Buccaneer’s Den|Jeremy James Scirlock|SERV</v>
      </c>
      <c r="B132" s="2" t="s">
        <v>1768</v>
      </c>
      <c r="C132" s="2" t="s">
        <v>2019</v>
      </c>
      <c r="D132" s="2" t="s">
        <v>2083</v>
      </c>
      <c r="E132" s="2" t="s">
        <v>1873</v>
      </c>
      <c r="F132" s="2" t="s">
        <v>2089</v>
      </c>
      <c r="G132" s="8" t="str">
        <f>IF(ISNA(VLOOKUP(B132&amp;"|"&amp;C132&amp;"|"&amp;D132&amp;"|"&amp;E132,QuestionTriggers!A:F,6,FALSE)),"","---&gt;")</f>
        <v/>
      </c>
      <c r="H132" s="2" t="s">
        <v>2084</v>
      </c>
      <c r="I132" s="2" t="s">
        <v>827</v>
      </c>
      <c r="J132" s="2" t="s">
        <v>2085</v>
      </c>
      <c r="K132" s="2"/>
    </row>
    <row r="133" spans="1:11" hidden="1" x14ac:dyDescent="0.3">
      <c r="A133" t="str">
        <f t="shared" si="2"/>
        <v>Buccaneer’s Den|Marsor|HEALTH</v>
      </c>
      <c r="B133" s="2" t="s">
        <v>1768</v>
      </c>
      <c r="C133" s="2" t="s">
        <v>2019</v>
      </c>
      <c r="D133" s="2" t="s">
        <v>2135</v>
      </c>
      <c r="E133" s="2" t="s">
        <v>20</v>
      </c>
      <c r="F133" s="2" t="s">
        <v>53</v>
      </c>
      <c r="G133" s="8" t="str">
        <f>IF(ISNA(VLOOKUP(B133&amp;"|"&amp;C133&amp;"|"&amp;D133&amp;"|"&amp;E133,QuestionTriggers!A:F,6,FALSE)),"","---&gt;")</f>
        <v/>
      </c>
      <c r="H133" s="2" t="s">
        <v>2136</v>
      </c>
      <c r="I133" s="2" t="s">
        <v>2137</v>
      </c>
      <c r="J133" s="2" t="s">
        <v>2138</v>
      </c>
      <c r="K133" s="2"/>
    </row>
    <row r="134" spans="1:11" hidden="1" x14ac:dyDescent="0.3">
      <c r="A134" t="str">
        <f t="shared" si="2"/>
        <v>Buccaneer’s Den|Marsor|JOB</v>
      </c>
      <c r="B134" s="2" t="s">
        <v>1768</v>
      </c>
      <c r="C134" s="2" t="s">
        <v>2019</v>
      </c>
      <c r="D134" s="2" t="s">
        <v>2135</v>
      </c>
      <c r="E134" s="2" t="s">
        <v>18</v>
      </c>
      <c r="F134" s="2" t="s">
        <v>2140</v>
      </c>
      <c r="G134" s="8" t="str">
        <f>IF(ISNA(VLOOKUP(B134&amp;"|"&amp;C134&amp;"|"&amp;D134&amp;"|"&amp;E134,QuestionTriggers!A:F,6,FALSE)),"","---&gt;")</f>
        <v/>
      </c>
      <c r="H134" s="2" t="s">
        <v>2136</v>
      </c>
      <c r="I134" s="2" t="s">
        <v>2137</v>
      </c>
      <c r="J134" s="2" t="s">
        <v>2138</v>
      </c>
      <c r="K134" s="2"/>
    </row>
    <row r="135" spans="1:11" hidden="1" x14ac:dyDescent="0.3">
      <c r="A135" t="str">
        <f t="shared" si="2"/>
        <v>Buccaneer’s Den|Marsor|LOOK</v>
      </c>
      <c r="B135" s="2" t="s">
        <v>1768</v>
      </c>
      <c r="C135" s="2" t="s">
        <v>2019</v>
      </c>
      <c r="D135" s="2" t="s">
        <v>2135</v>
      </c>
      <c r="E135" s="2" t="s">
        <v>16</v>
      </c>
      <c r="F135" s="2" t="s">
        <v>2139</v>
      </c>
      <c r="G135" s="8" t="str">
        <f>IF(ISNA(VLOOKUP(B135&amp;"|"&amp;C135&amp;"|"&amp;D135&amp;"|"&amp;E135,QuestionTriggers!A:F,6,FALSE)),"","---&gt;")</f>
        <v/>
      </c>
      <c r="H135" s="2" t="s">
        <v>2136</v>
      </c>
      <c r="I135" s="2" t="s">
        <v>2137</v>
      </c>
      <c r="J135" s="2" t="s">
        <v>2138</v>
      </c>
      <c r="K135" s="2"/>
    </row>
    <row r="136" spans="1:11" hidden="1" x14ac:dyDescent="0.3">
      <c r="A136" t="str">
        <f t="shared" si="2"/>
        <v>Buccaneer’s Den|Marsor|NAME</v>
      </c>
      <c r="B136" s="2" t="s">
        <v>1768</v>
      </c>
      <c r="C136" s="2" t="s">
        <v>2019</v>
      </c>
      <c r="D136" s="2" t="s">
        <v>2135</v>
      </c>
      <c r="E136" s="2" t="s">
        <v>12</v>
      </c>
      <c r="F136" s="2" t="s">
        <v>2135</v>
      </c>
      <c r="G136" s="8" t="str">
        <f>IF(ISNA(VLOOKUP(B136&amp;"|"&amp;C136&amp;"|"&amp;D136&amp;"|"&amp;E136,QuestionTriggers!A:F,6,FALSE)),"","---&gt;")</f>
        <v/>
      </c>
      <c r="H136" s="2" t="s">
        <v>2136</v>
      </c>
      <c r="I136" s="2" t="s">
        <v>2137</v>
      </c>
      <c r="J136" s="2" t="s">
        <v>2138</v>
      </c>
      <c r="K136" s="2"/>
    </row>
    <row r="137" spans="1:11" hidden="1" x14ac:dyDescent="0.3">
      <c r="A137" t="str">
        <f t="shared" si="2"/>
        <v>Buccaneer’s Den|Marsor|VINT</v>
      </c>
      <c r="B137" s="2" t="s">
        <v>1768</v>
      </c>
      <c r="C137" s="2" t="s">
        <v>2019</v>
      </c>
      <c r="D137" s="2" t="s">
        <v>2135</v>
      </c>
      <c r="E137" s="2" t="s">
        <v>2143</v>
      </c>
      <c r="F137" s="2" t="s">
        <v>2144</v>
      </c>
      <c r="G137" s="8" t="str">
        <f>IF(ISNA(VLOOKUP(B137&amp;"|"&amp;C137&amp;"|"&amp;D137&amp;"|"&amp;E137,QuestionTriggers!A:F,6,FALSE)),"","---&gt;")</f>
        <v>---&gt;</v>
      </c>
      <c r="H137" s="2" t="s">
        <v>2136</v>
      </c>
      <c r="I137" s="2" t="s">
        <v>2137</v>
      </c>
      <c r="J137" s="2" t="s">
        <v>2138</v>
      </c>
      <c r="K137" s="2"/>
    </row>
    <row r="138" spans="1:11" hidden="1" x14ac:dyDescent="0.3">
      <c r="A138" t="str">
        <f t="shared" si="2"/>
        <v>Buccaneer’s Den|Marsor|WINE</v>
      </c>
      <c r="B138" s="2" t="s">
        <v>1768</v>
      </c>
      <c r="C138" s="2" t="s">
        <v>2019</v>
      </c>
      <c r="D138" s="2" t="s">
        <v>2135</v>
      </c>
      <c r="E138" s="2" t="s">
        <v>2141</v>
      </c>
      <c r="F138" s="2" t="s">
        <v>2142</v>
      </c>
      <c r="G138" s="8" t="str">
        <f>IF(ISNA(VLOOKUP(B138&amp;"|"&amp;C138&amp;"|"&amp;D138&amp;"|"&amp;E138,QuestionTriggers!A:F,6,FALSE)),"","---&gt;")</f>
        <v/>
      </c>
      <c r="H138" s="2" t="s">
        <v>2136</v>
      </c>
      <c r="I138" s="2" t="s">
        <v>2137</v>
      </c>
      <c r="J138" s="2" t="s">
        <v>2138</v>
      </c>
      <c r="K138" s="2"/>
    </row>
    <row r="139" spans="1:11" hidden="1" x14ac:dyDescent="0.3">
      <c r="A139" t="str">
        <f t="shared" si="2"/>
        <v>Buccaneer’s Den|Ragnar|HEALTH</v>
      </c>
      <c r="B139" s="2" t="s">
        <v>1768</v>
      </c>
      <c r="C139" s="2" t="s">
        <v>2019</v>
      </c>
      <c r="D139" s="2" t="s">
        <v>2067</v>
      </c>
      <c r="E139" s="2" t="s">
        <v>20</v>
      </c>
      <c r="F139" s="2" t="s">
        <v>946</v>
      </c>
      <c r="G139" s="8" t="str">
        <f>IF(ISNA(VLOOKUP(B139&amp;"|"&amp;C139&amp;"|"&amp;D139&amp;"|"&amp;E139,QuestionTriggers!A:F,6,FALSE)),"","---&gt;")</f>
        <v/>
      </c>
      <c r="H139" s="2" t="s">
        <v>2068</v>
      </c>
      <c r="I139" s="2" t="s">
        <v>2069</v>
      </c>
      <c r="J139" s="2" t="s">
        <v>2070</v>
      </c>
      <c r="K139" s="2"/>
    </row>
    <row r="140" spans="1:11" hidden="1" x14ac:dyDescent="0.3">
      <c r="A140" t="str">
        <f t="shared" si="2"/>
        <v>Buccaneer’s Den|Ragnar|JOB</v>
      </c>
      <c r="B140" s="2" t="s">
        <v>1768</v>
      </c>
      <c r="C140" s="2" t="s">
        <v>2019</v>
      </c>
      <c r="D140" s="2" t="s">
        <v>2067</v>
      </c>
      <c r="E140" s="2" t="s">
        <v>18</v>
      </c>
      <c r="F140" s="2" t="s">
        <v>2071</v>
      </c>
      <c r="G140" s="8" t="str">
        <f>IF(ISNA(VLOOKUP(B140&amp;"|"&amp;C140&amp;"|"&amp;D140&amp;"|"&amp;E140,QuestionTriggers!A:F,6,FALSE)),"","---&gt;")</f>
        <v/>
      </c>
      <c r="H140" s="2" t="s">
        <v>2068</v>
      </c>
      <c r="I140" s="2" t="s">
        <v>2069</v>
      </c>
      <c r="J140" s="2" t="s">
        <v>2070</v>
      </c>
      <c r="K140" s="2"/>
    </row>
    <row r="141" spans="1:11" hidden="1" x14ac:dyDescent="0.3">
      <c r="A141" t="str">
        <f t="shared" si="2"/>
        <v>Buccaneer’s Den|Ragnar|LOOK</v>
      </c>
      <c r="B141" s="2" t="s">
        <v>1768</v>
      </c>
      <c r="C141" s="2" t="s">
        <v>2019</v>
      </c>
      <c r="D141" s="2" t="s">
        <v>2067</v>
      </c>
      <c r="E141" s="2" t="s">
        <v>16</v>
      </c>
      <c r="F141" s="2" t="s">
        <v>179</v>
      </c>
      <c r="G141" s="8" t="str">
        <f>IF(ISNA(VLOOKUP(B141&amp;"|"&amp;C141&amp;"|"&amp;D141&amp;"|"&amp;E141,QuestionTriggers!A:F,6,FALSE)),"","---&gt;")</f>
        <v/>
      </c>
      <c r="H141" s="2" t="s">
        <v>2068</v>
      </c>
      <c r="I141" s="2" t="s">
        <v>2069</v>
      </c>
      <c r="J141" s="2" t="s">
        <v>2070</v>
      </c>
      <c r="K141" s="2"/>
    </row>
    <row r="142" spans="1:11" hidden="1" x14ac:dyDescent="0.3">
      <c r="A142" t="str">
        <f t="shared" si="2"/>
        <v>Buccaneer’s Den|Ragnar|NAME</v>
      </c>
      <c r="B142" s="2" t="s">
        <v>1768</v>
      </c>
      <c r="C142" s="2" t="s">
        <v>2019</v>
      </c>
      <c r="D142" s="2" t="s">
        <v>2067</v>
      </c>
      <c r="E142" s="2" t="s">
        <v>12</v>
      </c>
      <c r="F142" s="2" t="s">
        <v>2067</v>
      </c>
      <c r="G142" s="8" t="str">
        <f>IF(ISNA(VLOOKUP(B142&amp;"|"&amp;C142&amp;"|"&amp;D142&amp;"|"&amp;E142,QuestionTriggers!A:F,6,FALSE)),"","---&gt;")</f>
        <v/>
      </c>
      <c r="H142" s="2" t="s">
        <v>2068</v>
      </c>
      <c r="I142" s="2" t="s">
        <v>2069</v>
      </c>
      <c r="J142" s="2" t="s">
        <v>2070</v>
      </c>
      <c r="K142" s="2"/>
    </row>
    <row r="143" spans="1:11" ht="26.4" hidden="1" x14ac:dyDescent="0.3">
      <c r="A143" t="str">
        <f t="shared" si="2"/>
        <v>Buccaneer’s Den|Ragnar|SKUL</v>
      </c>
      <c r="B143" s="2" t="s">
        <v>1768</v>
      </c>
      <c r="C143" s="2" t="s">
        <v>2019</v>
      </c>
      <c r="D143" s="2" t="s">
        <v>2067</v>
      </c>
      <c r="E143" s="2" t="s">
        <v>1244</v>
      </c>
      <c r="F143" s="2" t="s">
        <v>2073</v>
      </c>
      <c r="G143" s="8" t="str">
        <f>IF(ISNA(VLOOKUP(B143&amp;"|"&amp;C143&amp;"|"&amp;D143&amp;"|"&amp;E143,QuestionTriggers!A:F,6,FALSE)),"","---&gt;")</f>
        <v>---&gt;</v>
      </c>
      <c r="H143" s="2" t="s">
        <v>2068</v>
      </c>
      <c r="I143" s="2" t="s">
        <v>2069</v>
      </c>
      <c r="J143" s="2" t="s">
        <v>2070</v>
      </c>
      <c r="K143" s="2"/>
    </row>
    <row r="144" spans="1:11" hidden="1" x14ac:dyDescent="0.3">
      <c r="A144" t="str">
        <f t="shared" si="2"/>
        <v>Buccaneer’s Den|Ragnar|TRAV</v>
      </c>
      <c r="B144" s="2" t="s">
        <v>1768</v>
      </c>
      <c r="C144" s="2" t="s">
        <v>2019</v>
      </c>
      <c r="D144" s="2" t="s">
        <v>2067</v>
      </c>
      <c r="E144" s="2" t="s">
        <v>1921</v>
      </c>
      <c r="F144" s="2" t="s">
        <v>2072</v>
      </c>
      <c r="G144" s="8" t="str">
        <f>IF(ISNA(VLOOKUP(B144&amp;"|"&amp;C144&amp;"|"&amp;D144&amp;"|"&amp;E144,QuestionTriggers!A:F,6,FALSE)),"","---&gt;")</f>
        <v/>
      </c>
      <c r="H144" s="2" t="s">
        <v>2068</v>
      </c>
      <c r="I144" s="2" t="s">
        <v>2069</v>
      </c>
      <c r="J144" s="2" t="s">
        <v>2070</v>
      </c>
      <c r="K144" s="2"/>
    </row>
    <row r="145" spans="1:11" hidden="1" x14ac:dyDescent="0.3">
      <c r="A145" t="str">
        <f t="shared" si="2"/>
        <v>Buccaneer’s Den|Rankbreath|GUAR</v>
      </c>
      <c r="B145" s="2" t="s">
        <v>1768</v>
      </c>
      <c r="C145" s="2" t="s">
        <v>2019</v>
      </c>
      <c r="D145" s="2" t="s">
        <v>2028</v>
      </c>
      <c r="E145" s="2" t="s">
        <v>34</v>
      </c>
      <c r="F145" s="2" t="s">
        <v>2035</v>
      </c>
      <c r="G145" s="8" t="str">
        <f>IF(ISNA(VLOOKUP(B145&amp;"|"&amp;C145&amp;"|"&amp;D145&amp;"|"&amp;E145,QuestionTriggers!A:F,6,FALSE)),"","---&gt;")</f>
        <v/>
      </c>
      <c r="H145" s="2" t="s">
        <v>2029</v>
      </c>
      <c r="I145" s="2" t="s">
        <v>2030</v>
      </c>
      <c r="J145" s="2" t="s">
        <v>2031</v>
      </c>
      <c r="K145" s="2"/>
    </row>
    <row r="146" spans="1:11" hidden="1" x14ac:dyDescent="0.3">
      <c r="A146" t="str">
        <f t="shared" si="2"/>
        <v>Buccaneer’s Den|Rankbreath|HEALTH</v>
      </c>
      <c r="B146" s="2" t="s">
        <v>1768</v>
      </c>
      <c r="C146" s="2" t="s">
        <v>2019</v>
      </c>
      <c r="D146" s="2" t="s">
        <v>2028</v>
      </c>
      <c r="E146" s="2" t="s">
        <v>20</v>
      </c>
      <c r="F146" s="2" t="s">
        <v>2034</v>
      </c>
      <c r="G146" s="8" t="str">
        <f>IF(ISNA(VLOOKUP(B146&amp;"|"&amp;C146&amp;"|"&amp;D146&amp;"|"&amp;E146,QuestionTriggers!A:F,6,FALSE)),"","---&gt;")</f>
        <v/>
      </c>
      <c r="H146" s="2" t="s">
        <v>2029</v>
      </c>
      <c r="I146" s="2" t="s">
        <v>2030</v>
      </c>
      <c r="J146" s="2" t="s">
        <v>2031</v>
      </c>
      <c r="K146" s="2"/>
    </row>
    <row r="147" spans="1:11" hidden="1" x14ac:dyDescent="0.3">
      <c r="A147" t="str">
        <f t="shared" si="2"/>
        <v>Buccaneer’s Den|Rankbreath|HUNG</v>
      </c>
      <c r="B147" s="2" t="s">
        <v>1768</v>
      </c>
      <c r="C147" s="2" t="s">
        <v>2019</v>
      </c>
      <c r="D147" s="2" t="s">
        <v>2028</v>
      </c>
      <c r="E147" s="2" t="s">
        <v>1225</v>
      </c>
      <c r="F147" s="2" t="s">
        <v>2036</v>
      </c>
      <c r="G147" s="8" t="str">
        <f>IF(ISNA(VLOOKUP(B147&amp;"|"&amp;C147&amp;"|"&amp;D147&amp;"|"&amp;E147,QuestionTriggers!A:F,6,FALSE)),"","---&gt;")</f>
        <v>---&gt;</v>
      </c>
      <c r="H147" s="2" t="s">
        <v>2029</v>
      </c>
      <c r="I147" s="2" t="s">
        <v>2030</v>
      </c>
      <c r="J147" s="2" t="s">
        <v>2031</v>
      </c>
      <c r="K147" s="2"/>
    </row>
    <row r="148" spans="1:11" hidden="1" x14ac:dyDescent="0.3">
      <c r="A148" t="str">
        <f t="shared" si="2"/>
        <v>Buccaneer’s Den|Rankbreath|JOB</v>
      </c>
      <c r="B148" s="2" t="s">
        <v>1768</v>
      </c>
      <c r="C148" s="2" t="s">
        <v>2019</v>
      </c>
      <c r="D148" s="2" t="s">
        <v>2028</v>
      </c>
      <c r="E148" s="2" t="s">
        <v>18</v>
      </c>
      <c r="F148" s="2" t="s">
        <v>2033</v>
      </c>
      <c r="G148" s="8" t="str">
        <f>IF(ISNA(VLOOKUP(B148&amp;"|"&amp;C148&amp;"|"&amp;D148&amp;"|"&amp;E148,QuestionTriggers!A:F,6,FALSE)),"","---&gt;")</f>
        <v/>
      </c>
      <c r="H148" s="2" t="s">
        <v>2029</v>
      </c>
      <c r="I148" s="2" t="s">
        <v>2030</v>
      </c>
      <c r="J148" s="2" t="s">
        <v>2031</v>
      </c>
      <c r="K148" s="2"/>
    </row>
    <row r="149" spans="1:11" hidden="1" x14ac:dyDescent="0.3">
      <c r="A149" t="str">
        <f t="shared" si="2"/>
        <v>Buccaneer’s Den|Rankbreath|LOOK</v>
      </c>
      <c r="B149" s="2" t="s">
        <v>1768</v>
      </c>
      <c r="C149" s="2" t="s">
        <v>2019</v>
      </c>
      <c r="D149" s="2" t="s">
        <v>2028</v>
      </c>
      <c r="E149" s="2" t="s">
        <v>16</v>
      </c>
      <c r="F149" s="2" t="s">
        <v>2032</v>
      </c>
      <c r="G149" s="8" t="str">
        <f>IF(ISNA(VLOOKUP(B149&amp;"|"&amp;C149&amp;"|"&amp;D149&amp;"|"&amp;E149,QuestionTriggers!A:F,6,FALSE)),"","---&gt;")</f>
        <v/>
      </c>
      <c r="H149" s="2" t="s">
        <v>2029</v>
      </c>
      <c r="I149" s="2" t="s">
        <v>2030</v>
      </c>
      <c r="J149" s="2" t="s">
        <v>2031</v>
      </c>
      <c r="K149" s="2"/>
    </row>
    <row r="150" spans="1:11" hidden="1" x14ac:dyDescent="0.3">
      <c r="A150" t="str">
        <f t="shared" si="2"/>
        <v>Buccaneer’s Den|Rankbreath|NAME</v>
      </c>
      <c r="B150" s="2" t="s">
        <v>1768</v>
      </c>
      <c r="C150" s="2" t="s">
        <v>2019</v>
      </c>
      <c r="D150" s="2" t="s">
        <v>2028</v>
      </c>
      <c r="E150" s="2" t="s">
        <v>12</v>
      </c>
      <c r="F150" s="2" t="s">
        <v>2028</v>
      </c>
      <c r="G150" s="8" t="str">
        <f>IF(ISNA(VLOOKUP(B150&amp;"|"&amp;C150&amp;"|"&amp;D150&amp;"|"&amp;E150,QuestionTriggers!A:F,6,FALSE)),"","---&gt;")</f>
        <v/>
      </c>
      <c r="H150" s="2" t="s">
        <v>2029</v>
      </c>
      <c r="I150" s="2" t="s">
        <v>2030</v>
      </c>
      <c r="J150" s="2" t="s">
        <v>2031</v>
      </c>
      <c r="K150" s="2"/>
    </row>
    <row r="151" spans="1:11" hidden="1" x14ac:dyDescent="0.3">
      <c r="A151" t="str">
        <f t="shared" si="2"/>
        <v>Buccaneer’s Den|Roofus|BRID</v>
      </c>
      <c r="B151" s="2" t="s">
        <v>1768</v>
      </c>
      <c r="C151" s="2" t="s">
        <v>2019</v>
      </c>
      <c r="D151" s="2" t="s">
        <v>2020</v>
      </c>
      <c r="E151" s="2" t="s">
        <v>894</v>
      </c>
      <c r="F151" s="2" t="s">
        <v>2027</v>
      </c>
      <c r="G151" s="8" t="str">
        <f>IF(ISNA(VLOOKUP(B151&amp;"|"&amp;C151&amp;"|"&amp;D151&amp;"|"&amp;E151,QuestionTriggers!A:F,6,FALSE)),"","---&gt;")</f>
        <v>---&gt;</v>
      </c>
      <c r="H151" s="2" t="s">
        <v>2021</v>
      </c>
      <c r="I151" s="2" t="s">
        <v>2022</v>
      </c>
      <c r="J151" s="2" t="s">
        <v>2023</v>
      </c>
      <c r="K151" s="2"/>
    </row>
    <row r="152" spans="1:11" hidden="1" x14ac:dyDescent="0.3">
      <c r="A152" t="str">
        <f t="shared" si="2"/>
        <v>Buccaneer’s Den|Roofus|HEALTH</v>
      </c>
      <c r="B152" s="2" t="s">
        <v>1768</v>
      </c>
      <c r="C152" s="2" t="s">
        <v>2019</v>
      </c>
      <c r="D152" s="2" t="s">
        <v>2020</v>
      </c>
      <c r="E152" s="2" t="s">
        <v>20</v>
      </c>
      <c r="F152" s="2" t="s">
        <v>2026</v>
      </c>
      <c r="G152" s="8" t="str">
        <f>IF(ISNA(VLOOKUP(B152&amp;"|"&amp;C152&amp;"|"&amp;D152&amp;"|"&amp;E152,QuestionTriggers!A:F,6,FALSE)),"","---&gt;")</f>
        <v/>
      </c>
      <c r="H152" s="2" t="s">
        <v>2021</v>
      </c>
      <c r="I152" s="2" t="s">
        <v>2022</v>
      </c>
      <c r="J152" s="2" t="s">
        <v>2023</v>
      </c>
      <c r="K152" s="2"/>
    </row>
    <row r="153" spans="1:11" hidden="1" x14ac:dyDescent="0.3">
      <c r="A153" t="str">
        <f t="shared" si="2"/>
        <v>Buccaneer’s Den|Roofus|JOB</v>
      </c>
      <c r="B153" s="2" t="s">
        <v>1768</v>
      </c>
      <c r="C153" s="2" t="s">
        <v>2019</v>
      </c>
      <c r="D153" s="2" t="s">
        <v>2020</v>
      </c>
      <c r="E153" s="2" t="s">
        <v>18</v>
      </c>
      <c r="F153" s="2" t="s">
        <v>2025</v>
      </c>
      <c r="G153" s="8" t="str">
        <f>IF(ISNA(VLOOKUP(B153&amp;"|"&amp;C153&amp;"|"&amp;D153&amp;"|"&amp;E153,QuestionTriggers!A:F,6,FALSE)),"","---&gt;")</f>
        <v/>
      </c>
      <c r="H153" s="2" t="s">
        <v>2021</v>
      </c>
      <c r="I153" s="2" t="s">
        <v>2022</v>
      </c>
      <c r="J153" s="2" t="s">
        <v>2023</v>
      </c>
      <c r="K153" s="2"/>
    </row>
    <row r="154" spans="1:11" hidden="1" x14ac:dyDescent="0.3">
      <c r="A154" t="str">
        <f t="shared" si="2"/>
        <v>Buccaneer’s Den|Roofus|LOOK</v>
      </c>
      <c r="B154" s="2" t="s">
        <v>1768</v>
      </c>
      <c r="C154" s="2" t="s">
        <v>2019</v>
      </c>
      <c r="D154" s="2" t="s">
        <v>2020</v>
      </c>
      <c r="E154" s="2" t="s">
        <v>16</v>
      </c>
      <c r="F154" s="2" t="s">
        <v>2024</v>
      </c>
      <c r="G154" s="8" t="str">
        <f>IF(ISNA(VLOOKUP(B154&amp;"|"&amp;C154&amp;"|"&amp;D154&amp;"|"&amp;E154,QuestionTriggers!A:F,6,FALSE)),"","---&gt;")</f>
        <v/>
      </c>
      <c r="H154" s="2" t="s">
        <v>2021</v>
      </c>
      <c r="I154" s="2" t="s">
        <v>2022</v>
      </c>
      <c r="J154" s="2" t="s">
        <v>2023</v>
      </c>
      <c r="K154" s="2"/>
    </row>
    <row r="155" spans="1:11" hidden="1" x14ac:dyDescent="0.3">
      <c r="A155" t="str">
        <f t="shared" si="2"/>
        <v>Buccaneer’s Den|Roofus|NAME</v>
      </c>
      <c r="B155" s="2" t="s">
        <v>1768</v>
      </c>
      <c r="C155" s="2" t="s">
        <v>2019</v>
      </c>
      <c r="D155" s="2" t="s">
        <v>2020</v>
      </c>
      <c r="E155" s="2" t="s">
        <v>12</v>
      </c>
      <c r="F155" s="2" t="s">
        <v>2020</v>
      </c>
      <c r="G155" s="8" t="str">
        <f>IF(ISNA(VLOOKUP(B155&amp;"|"&amp;C155&amp;"|"&amp;D155&amp;"|"&amp;E155,QuestionTriggers!A:F,6,FALSE)),"","---&gt;")</f>
        <v/>
      </c>
      <c r="H155" s="2" t="s">
        <v>2021</v>
      </c>
      <c r="I155" s="2" t="s">
        <v>2022</v>
      </c>
      <c r="J155" s="2" t="s">
        <v>2023</v>
      </c>
      <c r="K155" s="2"/>
    </row>
    <row r="156" spans="1:11" ht="39.6" hidden="1" x14ac:dyDescent="0.3">
      <c r="A156" t="str">
        <f t="shared" si="2"/>
        <v>Buccaneer’s Den|Sailor|HEALTH</v>
      </c>
      <c r="B156" s="2" t="s">
        <v>1768</v>
      </c>
      <c r="C156" s="2" t="s">
        <v>2019</v>
      </c>
      <c r="D156" s="2" t="s">
        <v>2037</v>
      </c>
      <c r="E156" s="2" t="s">
        <v>20</v>
      </c>
      <c r="F156" s="2" t="s">
        <v>2042</v>
      </c>
      <c r="G156" s="8" t="str">
        <f>IF(ISNA(VLOOKUP(B156&amp;"|"&amp;C156&amp;"|"&amp;D156&amp;"|"&amp;E156,QuestionTriggers!A:F,6,FALSE)),"","---&gt;")</f>
        <v/>
      </c>
      <c r="H156" s="2" t="s">
        <v>2038</v>
      </c>
      <c r="I156" s="2" t="s">
        <v>2039</v>
      </c>
      <c r="J156" s="2" t="s">
        <v>90</v>
      </c>
      <c r="K156" s="2"/>
    </row>
    <row r="157" spans="1:11" ht="39.6" hidden="1" x14ac:dyDescent="0.3">
      <c r="A157" t="str">
        <f t="shared" si="2"/>
        <v>Buccaneer’s Den|Sailor|JOB</v>
      </c>
      <c r="B157" s="2" t="s">
        <v>1768</v>
      </c>
      <c r="C157" s="2" t="s">
        <v>2019</v>
      </c>
      <c r="D157" s="2" t="s">
        <v>2037</v>
      </c>
      <c r="E157" s="2" t="s">
        <v>18</v>
      </c>
      <c r="F157" s="2" t="s">
        <v>2041</v>
      </c>
      <c r="G157" s="8" t="str">
        <f>IF(ISNA(VLOOKUP(B157&amp;"|"&amp;C157&amp;"|"&amp;D157&amp;"|"&amp;E157,QuestionTriggers!A:F,6,FALSE)),"","---&gt;")</f>
        <v/>
      </c>
      <c r="H157" s="2" t="s">
        <v>2038</v>
      </c>
      <c r="I157" s="2" t="s">
        <v>2039</v>
      </c>
      <c r="J157" s="2" t="s">
        <v>90</v>
      </c>
      <c r="K157" s="2"/>
    </row>
    <row r="158" spans="1:11" ht="39.6" hidden="1" x14ac:dyDescent="0.3">
      <c r="A158" t="str">
        <f t="shared" si="2"/>
        <v>Buccaneer’s Den|Sailor|LIFE</v>
      </c>
      <c r="B158" s="2" t="s">
        <v>1768</v>
      </c>
      <c r="C158" s="2" t="s">
        <v>2019</v>
      </c>
      <c r="D158" s="2" t="s">
        <v>2037</v>
      </c>
      <c r="E158" s="2" t="s">
        <v>1261</v>
      </c>
      <c r="F158" s="2" t="s">
        <v>2045</v>
      </c>
      <c r="G158" s="8" t="str">
        <f>IF(ISNA(VLOOKUP(B158&amp;"|"&amp;C158&amp;"|"&amp;D158&amp;"|"&amp;E158,QuestionTriggers!A:F,6,FALSE)),"","---&gt;")</f>
        <v>---&gt;</v>
      </c>
      <c r="H158" s="2" t="s">
        <v>2038</v>
      </c>
      <c r="I158" s="2" t="s">
        <v>2039</v>
      </c>
      <c r="J158" s="2" t="s">
        <v>90</v>
      </c>
      <c r="K158" s="2"/>
    </row>
    <row r="159" spans="1:11" ht="39.6" hidden="1" x14ac:dyDescent="0.3">
      <c r="A159" t="str">
        <f t="shared" si="2"/>
        <v>Buccaneer’s Den|Sailor|LOOK</v>
      </c>
      <c r="B159" s="2" t="s">
        <v>1768</v>
      </c>
      <c r="C159" s="2" t="s">
        <v>2019</v>
      </c>
      <c r="D159" s="2" t="s">
        <v>2037</v>
      </c>
      <c r="E159" s="2" t="s">
        <v>16</v>
      </c>
      <c r="F159" s="2" t="s">
        <v>2040</v>
      </c>
      <c r="G159" s="8" t="str">
        <f>IF(ISNA(VLOOKUP(B159&amp;"|"&amp;C159&amp;"|"&amp;D159&amp;"|"&amp;E159,QuestionTriggers!A:F,6,FALSE)),"","---&gt;")</f>
        <v/>
      </c>
      <c r="H159" s="2" t="s">
        <v>2038</v>
      </c>
      <c r="I159" s="2" t="s">
        <v>2039</v>
      </c>
      <c r="J159" s="2" t="s">
        <v>90</v>
      </c>
      <c r="K159" s="2"/>
    </row>
    <row r="160" spans="1:11" ht="39.6" hidden="1" x14ac:dyDescent="0.3">
      <c r="A160" t="str">
        <f t="shared" si="2"/>
        <v>Buccaneer’s Den|Sailor|NAME</v>
      </c>
      <c r="B160" s="2" t="s">
        <v>1768</v>
      </c>
      <c r="C160" s="2" t="s">
        <v>2019</v>
      </c>
      <c r="D160" s="2" t="s">
        <v>2037</v>
      </c>
      <c r="E160" s="2" t="s">
        <v>12</v>
      </c>
      <c r="F160" s="2" t="s">
        <v>2037</v>
      </c>
      <c r="G160" s="8" t="str">
        <f>IF(ISNA(VLOOKUP(B160&amp;"|"&amp;C160&amp;"|"&amp;D160&amp;"|"&amp;E160,QuestionTriggers!A:F,6,FALSE)),"","---&gt;")</f>
        <v/>
      </c>
      <c r="H160" s="2" t="s">
        <v>2038</v>
      </c>
      <c r="I160" s="2" t="s">
        <v>2039</v>
      </c>
      <c r="J160" s="2" t="s">
        <v>90</v>
      </c>
      <c r="K160" s="2"/>
    </row>
    <row r="161" spans="1:11" ht="39.6" hidden="1" x14ac:dyDescent="0.3">
      <c r="A161" t="str">
        <f t="shared" si="2"/>
        <v>Buccaneer’s Den|Sailor|SAIL</v>
      </c>
      <c r="B161" s="2" t="s">
        <v>1768</v>
      </c>
      <c r="C161" s="2" t="s">
        <v>2019</v>
      </c>
      <c r="D161" s="2" t="s">
        <v>2037</v>
      </c>
      <c r="E161" s="2" t="s">
        <v>2043</v>
      </c>
      <c r="F161" s="2" t="s">
        <v>2044</v>
      </c>
      <c r="G161" s="8" t="str">
        <f>IF(ISNA(VLOOKUP(B161&amp;"|"&amp;C161&amp;"|"&amp;D161&amp;"|"&amp;E161,QuestionTriggers!A:F,6,FALSE)),"","---&gt;")</f>
        <v/>
      </c>
      <c r="H161" s="2" t="s">
        <v>2038</v>
      </c>
      <c r="I161" s="2" t="s">
        <v>2039</v>
      </c>
      <c r="J161" s="2" t="s">
        <v>90</v>
      </c>
      <c r="K161" s="2"/>
    </row>
    <row r="162" spans="1:11" hidden="1" x14ac:dyDescent="0.3">
      <c r="A162" t="str">
        <f t="shared" si="2"/>
        <v>Buccaneer’s Den|Seanna|HEALTH</v>
      </c>
      <c r="B162" s="2" t="s">
        <v>1768</v>
      </c>
      <c r="C162" s="2" t="s">
        <v>2019</v>
      </c>
      <c r="D162" s="2" t="s">
        <v>2074</v>
      </c>
      <c r="E162" s="2" t="s">
        <v>20</v>
      </c>
      <c r="F162" s="2" t="s">
        <v>181</v>
      </c>
      <c r="G162" s="8" t="str">
        <f>IF(ISNA(VLOOKUP(B162&amp;"|"&amp;C162&amp;"|"&amp;D162&amp;"|"&amp;E162,QuestionTriggers!A:F,6,FALSE)),"","---&gt;")</f>
        <v/>
      </c>
      <c r="H162" s="2" t="s">
        <v>2075</v>
      </c>
      <c r="I162" s="2" t="s">
        <v>2076</v>
      </c>
      <c r="J162" s="2" t="s">
        <v>2077</v>
      </c>
      <c r="K162" s="2"/>
    </row>
    <row r="163" spans="1:11" hidden="1" x14ac:dyDescent="0.3">
      <c r="A163" t="str">
        <f t="shared" si="2"/>
        <v>Buccaneer’s Den|Seanna|JOB</v>
      </c>
      <c r="B163" s="2" t="s">
        <v>1768</v>
      </c>
      <c r="C163" s="2" t="s">
        <v>2019</v>
      </c>
      <c r="D163" s="2" t="s">
        <v>2074</v>
      </c>
      <c r="E163" s="2" t="s">
        <v>18</v>
      </c>
      <c r="F163" s="2" t="s">
        <v>2079</v>
      </c>
      <c r="G163" s="8" t="str">
        <f>IF(ISNA(VLOOKUP(B163&amp;"|"&amp;C163&amp;"|"&amp;D163&amp;"|"&amp;E163,QuestionTriggers!A:F,6,FALSE)),"","---&gt;")</f>
        <v/>
      </c>
      <c r="H163" s="2" t="s">
        <v>2075</v>
      </c>
      <c r="I163" s="2" t="s">
        <v>2076</v>
      </c>
      <c r="J163" s="2" t="s">
        <v>2077</v>
      </c>
      <c r="K163" s="2"/>
    </row>
    <row r="164" spans="1:11" hidden="1" x14ac:dyDescent="0.3">
      <c r="A164" t="str">
        <f t="shared" si="2"/>
        <v>Buccaneer’s Den|Seanna|LOOK</v>
      </c>
      <c r="B164" s="2" t="s">
        <v>1768</v>
      </c>
      <c r="C164" s="2" t="s">
        <v>2019</v>
      </c>
      <c r="D164" s="2" t="s">
        <v>2074</v>
      </c>
      <c r="E164" s="2" t="s">
        <v>16</v>
      </c>
      <c r="F164" s="2" t="s">
        <v>2078</v>
      </c>
      <c r="G164" s="8" t="str">
        <f>IF(ISNA(VLOOKUP(B164&amp;"|"&amp;C164&amp;"|"&amp;D164&amp;"|"&amp;E164,QuestionTriggers!A:F,6,FALSE)),"","---&gt;")</f>
        <v/>
      </c>
      <c r="H164" s="2" t="s">
        <v>2075</v>
      </c>
      <c r="I164" s="2" t="s">
        <v>2076</v>
      </c>
      <c r="J164" s="2" t="s">
        <v>2077</v>
      </c>
      <c r="K164" s="2"/>
    </row>
    <row r="165" spans="1:11" hidden="1" x14ac:dyDescent="0.3">
      <c r="A165" t="str">
        <f t="shared" si="2"/>
        <v>Buccaneer’s Den|Seanna|MAGI</v>
      </c>
      <c r="B165" s="2" t="s">
        <v>1768</v>
      </c>
      <c r="C165" s="2" t="s">
        <v>2019</v>
      </c>
      <c r="D165" s="2" t="s">
        <v>2074</v>
      </c>
      <c r="E165" s="2" t="s">
        <v>912</v>
      </c>
      <c r="F165" s="2" t="s">
        <v>2080</v>
      </c>
      <c r="G165" s="8" t="str">
        <f>IF(ISNA(VLOOKUP(B165&amp;"|"&amp;C165&amp;"|"&amp;D165&amp;"|"&amp;E165,QuestionTriggers!A:F,6,FALSE)),"","---&gt;")</f>
        <v/>
      </c>
      <c r="H165" s="2" t="s">
        <v>2075</v>
      </c>
      <c r="I165" s="2" t="s">
        <v>2076</v>
      </c>
      <c r="J165" s="2" t="s">
        <v>2077</v>
      </c>
      <c r="K165" s="2"/>
    </row>
    <row r="166" spans="1:11" hidden="1" x14ac:dyDescent="0.3">
      <c r="A166" t="str">
        <f t="shared" si="2"/>
        <v>Buccaneer’s Den|Seanna|NAME</v>
      </c>
      <c r="B166" s="2" t="s">
        <v>1768</v>
      </c>
      <c r="C166" s="2" t="s">
        <v>2019</v>
      </c>
      <c r="D166" s="2" t="s">
        <v>2074</v>
      </c>
      <c r="E166" s="2" t="s">
        <v>12</v>
      </c>
      <c r="F166" s="2" t="s">
        <v>2074</v>
      </c>
      <c r="G166" s="8" t="str">
        <f>IF(ISNA(VLOOKUP(B166&amp;"|"&amp;C166&amp;"|"&amp;D166&amp;"|"&amp;E166,QuestionTriggers!A:F,6,FALSE)),"","---&gt;")</f>
        <v/>
      </c>
      <c r="H166" s="2" t="s">
        <v>2075</v>
      </c>
      <c r="I166" s="2" t="s">
        <v>2076</v>
      </c>
      <c r="J166" s="2" t="s">
        <v>2077</v>
      </c>
      <c r="K166" s="2"/>
    </row>
    <row r="167" spans="1:11" hidden="1" x14ac:dyDescent="0.3">
      <c r="A167" t="str">
        <f t="shared" si="2"/>
        <v>Buccaneer’s Den|Seanna|SLEE</v>
      </c>
      <c r="B167" s="2" t="s">
        <v>1768</v>
      </c>
      <c r="C167" s="2" t="s">
        <v>2019</v>
      </c>
      <c r="D167" s="2" t="s">
        <v>2074</v>
      </c>
      <c r="E167" s="2" t="s">
        <v>2081</v>
      </c>
      <c r="F167" s="2" t="s">
        <v>2082</v>
      </c>
      <c r="G167" s="8" t="str">
        <f>IF(ISNA(VLOOKUP(B167&amp;"|"&amp;C167&amp;"|"&amp;D167&amp;"|"&amp;E167,QuestionTriggers!A:F,6,FALSE)),"","---&gt;")</f>
        <v>---&gt;</v>
      </c>
      <c r="H167" s="2" t="s">
        <v>2075</v>
      </c>
      <c r="I167" s="2" t="s">
        <v>2076</v>
      </c>
      <c r="J167" s="2" t="s">
        <v>2077</v>
      </c>
      <c r="K167" s="2"/>
    </row>
    <row r="168" spans="1:11" ht="26.4" hidden="1" x14ac:dyDescent="0.3">
      <c r="A168" t="str">
        <f t="shared" si="2"/>
        <v>Buccaneer’s Den|Silver John|HEALTH</v>
      </c>
      <c r="B168" s="2" t="s">
        <v>1768</v>
      </c>
      <c r="C168" s="2" t="s">
        <v>2019</v>
      </c>
      <c r="D168" s="2" t="s">
        <v>2046</v>
      </c>
      <c r="E168" s="2" t="s">
        <v>20</v>
      </c>
      <c r="F168" s="2" t="s">
        <v>2052</v>
      </c>
      <c r="G168" s="8" t="str">
        <f>IF(ISNA(VLOOKUP(B168&amp;"|"&amp;C168&amp;"|"&amp;D168&amp;"|"&amp;E168,QuestionTriggers!A:F,6,FALSE)),"","---&gt;")</f>
        <v/>
      </c>
      <c r="H168" s="2" t="s">
        <v>2047</v>
      </c>
      <c r="I168" s="2" t="s">
        <v>2048</v>
      </c>
      <c r="J168" s="2" t="s">
        <v>2049</v>
      </c>
      <c r="K168" s="2" t="s">
        <v>51</v>
      </c>
    </row>
    <row r="169" spans="1:11" ht="26.4" hidden="1" x14ac:dyDescent="0.3">
      <c r="A169" t="str">
        <f t="shared" si="2"/>
        <v>Buccaneer’s Den|Silver John|JOB</v>
      </c>
      <c r="B169" s="2" t="s">
        <v>1768</v>
      </c>
      <c r="C169" s="2" t="s">
        <v>2019</v>
      </c>
      <c r="D169" s="2" t="s">
        <v>2046</v>
      </c>
      <c r="E169" s="2" t="s">
        <v>18</v>
      </c>
      <c r="F169" s="2" t="s">
        <v>2051</v>
      </c>
      <c r="G169" s="8" t="str">
        <f>IF(ISNA(VLOOKUP(B169&amp;"|"&amp;C169&amp;"|"&amp;D169&amp;"|"&amp;E169,QuestionTriggers!A:F,6,FALSE)),"","---&gt;")</f>
        <v/>
      </c>
      <c r="H169" s="2" t="s">
        <v>2047</v>
      </c>
      <c r="I169" s="2" t="s">
        <v>2048</v>
      </c>
      <c r="J169" s="2" t="s">
        <v>2049</v>
      </c>
      <c r="K169" s="2" t="s">
        <v>51</v>
      </c>
    </row>
    <row r="170" spans="1:11" ht="26.4" hidden="1" x14ac:dyDescent="0.3">
      <c r="A170" t="str">
        <f t="shared" si="2"/>
        <v>Buccaneer’s Den|Silver John|LOOK</v>
      </c>
      <c r="B170" s="2" t="s">
        <v>1768</v>
      </c>
      <c r="C170" s="2" t="s">
        <v>2019</v>
      </c>
      <c r="D170" s="2" t="s">
        <v>2046</v>
      </c>
      <c r="E170" s="2" t="s">
        <v>16</v>
      </c>
      <c r="F170" s="2" t="s">
        <v>2050</v>
      </c>
      <c r="G170" s="8" t="str">
        <f>IF(ISNA(VLOOKUP(B170&amp;"|"&amp;C170&amp;"|"&amp;D170&amp;"|"&amp;E170,QuestionTriggers!A:F,6,FALSE)),"","---&gt;")</f>
        <v/>
      </c>
      <c r="H170" s="2" t="s">
        <v>2047</v>
      </c>
      <c r="I170" s="2" t="s">
        <v>2048</v>
      </c>
      <c r="J170" s="2" t="s">
        <v>2049</v>
      </c>
      <c r="K170" s="2" t="s">
        <v>51</v>
      </c>
    </row>
    <row r="171" spans="1:11" ht="26.4" hidden="1" x14ac:dyDescent="0.3">
      <c r="A171" t="str">
        <f t="shared" si="2"/>
        <v>Buccaneer’s Den|Silver John|NAME</v>
      </c>
      <c r="B171" s="2" t="s">
        <v>1768</v>
      </c>
      <c r="C171" s="2" t="s">
        <v>2019</v>
      </c>
      <c r="D171" s="2" t="s">
        <v>2046</v>
      </c>
      <c r="E171" s="2" t="s">
        <v>12</v>
      </c>
      <c r="F171" s="2" t="s">
        <v>2046</v>
      </c>
      <c r="G171" s="8" t="str">
        <f>IF(ISNA(VLOOKUP(B171&amp;"|"&amp;C171&amp;"|"&amp;D171&amp;"|"&amp;E171,QuestionTriggers!A:F,6,FALSE)),"","---&gt;")</f>
        <v/>
      </c>
      <c r="H171" s="2" t="s">
        <v>2047</v>
      </c>
      <c r="I171" s="2" t="s">
        <v>2048</v>
      </c>
      <c r="J171" s="2" t="s">
        <v>2049</v>
      </c>
      <c r="K171" s="2" t="s">
        <v>51</v>
      </c>
    </row>
    <row r="172" spans="1:11" ht="26.4" hidden="1" x14ac:dyDescent="0.3">
      <c r="A172" t="str">
        <f t="shared" si="2"/>
        <v>Buccaneer’s Den|Silver John|PIRA</v>
      </c>
      <c r="B172" s="2" t="s">
        <v>1768</v>
      </c>
      <c r="C172" s="2" t="s">
        <v>2019</v>
      </c>
      <c r="D172" s="2" t="s">
        <v>2046</v>
      </c>
      <c r="E172" s="2" t="s">
        <v>2053</v>
      </c>
      <c r="F172" s="2" t="s">
        <v>2054</v>
      </c>
      <c r="G172" s="8" t="str">
        <f>IF(ISNA(VLOOKUP(B172&amp;"|"&amp;C172&amp;"|"&amp;D172&amp;"|"&amp;E172,QuestionTriggers!A:F,6,FALSE)),"","---&gt;")</f>
        <v/>
      </c>
      <c r="H172" s="2" t="s">
        <v>2047</v>
      </c>
      <c r="I172" s="2" t="s">
        <v>2048</v>
      </c>
      <c r="J172" s="2" t="s">
        <v>2049</v>
      </c>
      <c r="K172" s="2" t="s">
        <v>51</v>
      </c>
    </row>
    <row r="173" spans="1:11" ht="26.4" hidden="1" x14ac:dyDescent="0.3">
      <c r="A173" t="str">
        <f t="shared" si="2"/>
        <v>Buccaneer’s Den|Silver John|RAID</v>
      </c>
      <c r="B173" s="2" t="s">
        <v>1768</v>
      </c>
      <c r="C173" s="2" t="s">
        <v>2019</v>
      </c>
      <c r="D173" s="2" t="s">
        <v>2046</v>
      </c>
      <c r="E173" s="2" t="s">
        <v>2055</v>
      </c>
      <c r="F173" s="2" t="s">
        <v>2056</v>
      </c>
      <c r="G173" s="8" t="str">
        <f>IF(ISNA(VLOOKUP(B173&amp;"|"&amp;C173&amp;"|"&amp;D173&amp;"|"&amp;E173,QuestionTriggers!A:F,6,FALSE)),"","---&gt;")</f>
        <v>---&gt;</v>
      </c>
      <c r="H173" s="2" t="s">
        <v>2047</v>
      </c>
      <c r="I173" s="2" t="s">
        <v>2048</v>
      </c>
      <c r="J173" s="2" t="s">
        <v>2049</v>
      </c>
      <c r="K173" s="2" t="s">
        <v>51</v>
      </c>
    </row>
    <row r="174" spans="1:11" hidden="1" x14ac:dyDescent="0.3">
      <c r="A174" t="str">
        <f t="shared" si="2"/>
        <v>Buccaneer’s Den|Slysam|CLEV</v>
      </c>
      <c r="B174" s="2" t="s">
        <v>1768</v>
      </c>
      <c r="C174" s="2" t="s">
        <v>2019</v>
      </c>
      <c r="D174" s="2" t="s">
        <v>2057</v>
      </c>
      <c r="E174" s="2" t="s">
        <v>2065</v>
      </c>
      <c r="F174" s="2" t="s">
        <v>2066</v>
      </c>
      <c r="G174" s="8" t="str">
        <f>IF(ISNA(VLOOKUP(B174&amp;"|"&amp;C174&amp;"|"&amp;D174&amp;"|"&amp;E174,QuestionTriggers!A:F,6,FALSE)),"","---&gt;")</f>
        <v>---&gt;</v>
      </c>
      <c r="H174" s="2" t="s">
        <v>2009</v>
      </c>
      <c r="I174" s="2" t="s">
        <v>2058</v>
      </c>
      <c r="J174" s="2" t="s">
        <v>2059</v>
      </c>
      <c r="K174" s="2"/>
    </row>
    <row r="175" spans="1:11" hidden="1" x14ac:dyDescent="0.3">
      <c r="A175" t="str">
        <f t="shared" si="2"/>
        <v>Buccaneer’s Den|Slysam|HEALTH</v>
      </c>
      <c r="B175" s="2" t="s">
        <v>1768</v>
      </c>
      <c r="C175" s="2" t="s">
        <v>2019</v>
      </c>
      <c r="D175" s="2" t="s">
        <v>2057</v>
      </c>
      <c r="E175" s="2" t="s">
        <v>20</v>
      </c>
      <c r="F175" s="2" t="s">
        <v>2062</v>
      </c>
      <c r="G175" s="8" t="str">
        <f>IF(ISNA(VLOOKUP(B175&amp;"|"&amp;C175&amp;"|"&amp;D175&amp;"|"&amp;E175,QuestionTriggers!A:F,6,FALSE)),"","---&gt;")</f>
        <v/>
      </c>
      <c r="H175" s="2" t="s">
        <v>2009</v>
      </c>
      <c r="I175" s="2" t="s">
        <v>2058</v>
      </c>
      <c r="J175" s="2" t="s">
        <v>2059</v>
      </c>
      <c r="K175" s="2"/>
    </row>
    <row r="176" spans="1:11" hidden="1" x14ac:dyDescent="0.3">
      <c r="A176" t="str">
        <f t="shared" si="2"/>
        <v>Buccaneer’s Den|Slysam|JOB</v>
      </c>
      <c r="B176" s="2" t="s">
        <v>1768</v>
      </c>
      <c r="C176" s="2" t="s">
        <v>2019</v>
      </c>
      <c r="D176" s="2" t="s">
        <v>2057</v>
      </c>
      <c r="E176" s="2" t="s">
        <v>18</v>
      </c>
      <c r="F176" s="2" t="s">
        <v>2061</v>
      </c>
      <c r="G176" s="8" t="str">
        <f>IF(ISNA(VLOOKUP(B176&amp;"|"&amp;C176&amp;"|"&amp;D176&amp;"|"&amp;E176,QuestionTriggers!A:F,6,FALSE)),"","---&gt;")</f>
        <v/>
      </c>
      <c r="H176" s="2" t="s">
        <v>2009</v>
      </c>
      <c r="I176" s="2" t="s">
        <v>2058</v>
      </c>
      <c r="J176" s="2" t="s">
        <v>2059</v>
      </c>
      <c r="K176" s="2"/>
    </row>
    <row r="177" spans="1:11" hidden="1" x14ac:dyDescent="0.3">
      <c r="A177" t="str">
        <f t="shared" si="2"/>
        <v>Buccaneer’s Den|Slysam|LOOK</v>
      </c>
      <c r="B177" s="2" t="s">
        <v>1768</v>
      </c>
      <c r="C177" s="2" t="s">
        <v>2019</v>
      </c>
      <c r="D177" s="2" t="s">
        <v>2057</v>
      </c>
      <c r="E177" s="2" t="s">
        <v>16</v>
      </c>
      <c r="F177" s="2" t="s">
        <v>2060</v>
      </c>
      <c r="G177" s="8" t="str">
        <f>IF(ISNA(VLOOKUP(B177&amp;"|"&amp;C177&amp;"|"&amp;D177&amp;"|"&amp;E177,QuestionTriggers!A:F,6,FALSE)),"","---&gt;")</f>
        <v/>
      </c>
      <c r="H177" s="2" t="s">
        <v>2009</v>
      </c>
      <c r="I177" s="2" t="s">
        <v>2058</v>
      </c>
      <c r="J177" s="2" t="s">
        <v>2059</v>
      </c>
      <c r="K177" s="2"/>
    </row>
    <row r="178" spans="1:11" hidden="1" x14ac:dyDescent="0.3">
      <c r="A178" t="str">
        <f t="shared" si="2"/>
        <v>Buccaneer’s Den|Slysam|NAME</v>
      </c>
      <c r="B178" s="2" t="s">
        <v>1768</v>
      </c>
      <c r="C178" s="2" t="s">
        <v>2019</v>
      </c>
      <c r="D178" s="2" t="s">
        <v>2057</v>
      </c>
      <c r="E178" s="2" t="s">
        <v>12</v>
      </c>
      <c r="F178" s="2" t="s">
        <v>2057</v>
      </c>
      <c r="G178" s="8" t="str">
        <f>IF(ISNA(VLOOKUP(B178&amp;"|"&amp;C178&amp;"|"&amp;D178&amp;"|"&amp;E178,QuestionTriggers!A:F,6,FALSE)),"","---&gt;")</f>
        <v/>
      </c>
      <c r="H178" s="2" t="s">
        <v>2009</v>
      </c>
      <c r="I178" s="2" t="s">
        <v>2058</v>
      </c>
      <c r="J178" s="2" t="s">
        <v>2059</v>
      </c>
      <c r="K178" s="2"/>
    </row>
    <row r="179" spans="1:11" hidden="1" x14ac:dyDescent="0.3">
      <c r="A179" t="str">
        <f t="shared" si="2"/>
        <v>Buccaneer’s Den|Slysam|THIE</v>
      </c>
      <c r="B179" s="2" t="s">
        <v>1768</v>
      </c>
      <c r="C179" s="2" t="s">
        <v>2019</v>
      </c>
      <c r="D179" s="2" t="s">
        <v>2057</v>
      </c>
      <c r="E179" s="2" t="s">
        <v>2063</v>
      </c>
      <c r="F179" s="2" t="s">
        <v>2064</v>
      </c>
      <c r="G179" s="8" t="str">
        <f>IF(ISNA(VLOOKUP(B179&amp;"|"&amp;C179&amp;"|"&amp;D179&amp;"|"&amp;E179,QuestionTriggers!A:F,6,FALSE)),"","---&gt;")</f>
        <v/>
      </c>
      <c r="H179" s="2" t="s">
        <v>2009</v>
      </c>
      <c r="I179" s="2" t="s">
        <v>2058</v>
      </c>
      <c r="J179" s="2" t="s">
        <v>2059</v>
      </c>
      <c r="K179" s="2"/>
    </row>
    <row r="180" spans="1:11" ht="26.4" hidden="1" x14ac:dyDescent="0.3">
      <c r="A180" t="str">
        <f t="shared" si="2"/>
        <v>Buccaneer’s Den|Sniflet|HEALTH</v>
      </c>
      <c r="B180" s="2" t="s">
        <v>1768</v>
      </c>
      <c r="C180" s="2" t="s">
        <v>2019</v>
      </c>
      <c r="D180" s="2" t="s">
        <v>2155</v>
      </c>
      <c r="E180" s="2" t="s">
        <v>20</v>
      </c>
      <c r="F180" s="2" t="s">
        <v>2161</v>
      </c>
      <c r="G180" s="8" t="str">
        <f>IF(ISNA(VLOOKUP(B180&amp;"|"&amp;C180&amp;"|"&amp;D180&amp;"|"&amp;E180,QuestionTriggers!A:F,6,FALSE)),"","---&gt;")</f>
        <v/>
      </c>
      <c r="H180" s="2" t="s">
        <v>2156</v>
      </c>
      <c r="I180" s="2" t="s">
        <v>2157</v>
      </c>
      <c r="J180" s="2" t="s">
        <v>2158</v>
      </c>
      <c r="K180" s="2"/>
    </row>
    <row r="181" spans="1:11" ht="26.4" hidden="1" x14ac:dyDescent="0.3">
      <c r="A181" t="str">
        <f t="shared" si="2"/>
        <v>Buccaneer’s Den|Sniflet|HIDE</v>
      </c>
      <c r="B181" s="2" t="s">
        <v>1768</v>
      </c>
      <c r="C181" s="2" t="s">
        <v>2019</v>
      </c>
      <c r="D181" s="2" t="s">
        <v>2155</v>
      </c>
      <c r="E181" s="2" t="s">
        <v>2162</v>
      </c>
      <c r="F181" s="2" t="s">
        <v>2163</v>
      </c>
      <c r="G181" s="8" t="str">
        <f>IF(ISNA(VLOOKUP(B181&amp;"|"&amp;C181&amp;"|"&amp;D181&amp;"|"&amp;E181,QuestionTriggers!A:F,6,FALSE)),"","---&gt;")</f>
        <v/>
      </c>
      <c r="H181" s="2" t="s">
        <v>2156</v>
      </c>
      <c r="I181" s="2" t="s">
        <v>2157</v>
      </c>
      <c r="J181" s="2" t="s">
        <v>2158</v>
      </c>
      <c r="K181" s="2"/>
    </row>
    <row r="182" spans="1:11" ht="26.4" hidden="1" x14ac:dyDescent="0.3">
      <c r="A182" t="str">
        <f t="shared" si="2"/>
        <v>Buccaneer’s Den|Sniflet|JOB</v>
      </c>
      <c r="B182" s="2" t="s">
        <v>1768</v>
      </c>
      <c r="C182" s="2" t="s">
        <v>2019</v>
      </c>
      <c r="D182" s="2" t="s">
        <v>2155</v>
      </c>
      <c r="E182" s="2" t="s">
        <v>18</v>
      </c>
      <c r="F182" s="2" t="s">
        <v>2160</v>
      </c>
      <c r="G182" s="8" t="str">
        <f>IF(ISNA(VLOOKUP(B182&amp;"|"&amp;C182&amp;"|"&amp;D182&amp;"|"&amp;E182,QuestionTriggers!A:F,6,FALSE)),"","---&gt;")</f>
        <v/>
      </c>
      <c r="H182" s="2" t="s">
        <v>2156</v>
      </c>
      <c r="I182" s="2" t="s">
        <v>2157</v>
      </c>
      <c r="J182" s="2" t="s">
        <v>2158</v>
      </c>
      <c r="K182" s="2"/>
    </row>
    <row r="183" spans="1:11" ht="26.4" hidden="1" x14ac:dyDescent="0.3">
      <c r="A183" t="str">
        <f t="shared" si="2"/>
        <v>Buccaneer’s Den|Sniflet|LOOK</v>
      </c>
      <c r="B183" s="2" t="s">
        <v>1768</v>
      </c>
      <c r="C183" s="2" t="s">
        <v>2019</v>
      </c>
      <c r="D183" s="2" t="s">
        <v>2155</v>
      </c>
      <c r="E183" s="2" t="s">
        <v>16</v>
      </c>
      <c r="F183" s="2" t="s">
        <v>2159</v>
      </c>
      <c r="G183" s="8" t="str">
        <f>IF(ISNA(VLOOKUP(B183&amp;"|"&amp;C183&amp;"|"&amp;D183&amp;"|"&amp;E183,QuestionTriggers!A:F,6,FALSE)),"","---&gt;")</f>
        <v/>
      </c>
      <c r="H183" s="2" t="s">
        <v>2156</v>
      </c>
      <c r="I183" s="2" t="s">
        <v>2157</v>
      </c>
      <c r="J183" s="2" t="s">
        <v>2158</v>
      </c>
      <c r="K183" s="2"/>
    </row>
    <row r="184" spans="1:11" ht="26.4" hidden="1" x14ac:dyDescent="0.3">
      <c r="A184" t="str">
        <f t="shared" si="2"/>
        <v>Buccaneer’s Den|Sniflet|NAME</v>
      </c>
      <c r="B184" s="2" t="s">
        <v>1768</v>
      </c>
      <c r="C184" s="2" t="s">
        <v>2019</v>
      </c>
      <c r="D184" s="2" t="s">
        <v>2155</v>
      </c>
      <c r="E184" s="2" t="s">
        <v>12</v>
      </c>
      <c r="F184" s="2" t="s">
        <v>2155</v>
      </c>
      <c r="G184" s="8" t="str">
        <f>IF(ISNA(VLOOKUP(B184&amp;"|"&amp;C184&amp;"|"&amp;D184&amp;"|"&amp;E184,QuestionTriggers!A:F,6,FALSE)),"","---&gt;")</f>
        <v/>
      </c>
      <c r="H184" s="2" t="s">
        <v>2156</v>
      </c>
      <c r="I184" s="2" t="s">
        <v>2157</v>
      </c>
      <c r="J184" s="2" t="s">
        <v>2158</v>
      </c>
      <c r="K184" s="2"/>
    </row>
    <row r="185" spans="1:11" ht="26.4" hidden="1" x14ac:dyDescent="0.3">
      <c r="A185" t="str">
        <f t="shared" si="2"/>
        <v>Buccaneer’s Den|Sniflet|SOME</v>
      </c>
      <c r="B185" s="2" t="s">
        <v>1768</v>
      </c>
      <c r="C185" s="2" t="s">
        <v>2019</v>
      </c>
      <c r="D185" s="2" t="s">
        <v>2155</v>
      </c>
      <c r="E185" s="2" t="s">
        <v>2164</v>
      </c>
      <c r="F185" s="2" t="s">
        <v>2165</v>
      </c>
      <c r="G185" s="8" t="str">
        <f>IF(ISNA(VLOOKUP(B185&amp;"|"&amp;C185&amp;"|"&amp;D185&amp;"|"&amp;E185,QuestionTriggers!A:F,6,FALSE)),"","---&gt;")</f>
        <v>---&gt;</v>
      </c>
      <c r="H185" s="2" t="s">
        <v>2156</v>
      </c>
      <c r="I185" s="2" t="s">
        <v>2157</v>
      </c>
      <c r="J185" s="2" t="s">
        <v>2158</v>
      </c>
      <c r="K185" s="2"/>
    </row>
    <row r="186" spans="1:11" hidden="1" x14ac:dyDescent="0.3">
      <c r="A186" t="str">
        <f t="shared" si="2"/>
        <v>Buccaneer’s Den|Starlight|HEALTH</v>
      </c>
      <c r="B186" s="2" t="s">
        <v>1768</v>
      </c>
      <c r="C186" s="2" t="s">
        <v>2019</v>
      </c>
      <c r="D186" s="2" t="s">
        <v>2092</v>
      </c>
      <c r="E186" s="2" t="s">
        <v>20</v>
      </c>
      <c r="F186" s="2" t="s">
        <v>2096</v>
      </c>
      <c r="G186" s="8" t="str">
        <f>IF(ISNA(VLOOKUP(B186&amp;"|"&amp;C186&amp;"|"&amp;D186&amp;"|"&amp;E186,QuestionTriggers!A:F,6,FALSE)),"","---&gt;")</f>
        <v/>
      </c>
      <c r="H186" s="2" t="s">
        <v>611</v>
      </c>
      <c r="I186" s="2" t="s">
        <v>2093</v>
      </c>
      <c r="J186" s="2" t="s">
        <v>881</v>
      </c>
      <c r="K186" s="2"/>
    </row>
    <row r="187" spans="1:11" hidden="1" x14ac:dyDescent="0.3">
      <c r="A187" t="str">
        <f t="shared" si="2"/>
        <v>Buccaneer’s Den|Starlight|JOB</v>
      </c>
      <c r="B187" s="2" t="s">
        <v>1768</v>
      </c>
      <c r="C187" s="2" t="s">
        <v>2019</v>
      </c>
      <c r="D187" s="2" t="s">
        <v>2092</v>
      </c>
      <c r="E187" s="2" t="s">
        <v>18</v>
      </c>
      <c r="F187" s="2" t="s">
        <v>2095</v>
      </c>
      <c r="G187" s="8" t="str">
        <f>IF(ISNA(VLOOKUP(B187&amp;"|"&amp;C187&amp;"|"&amp;D187&amp;"|"&amp;E187,QuestionTriggers!A:F,6,FALSE)),"","---&gt;")</f>
        <v/>
      </c>
      <c r="H187" s="2" t="s">
        <v>611</v>
      </c>
      <c r="I187" s="2" t="s">
        <v>2093</v>
      </c>
      <c r="J187" s="2" t="s">
        <v>881</v>
      </c>
      <c r="K187" s="2"/>
    </row>
    <row r="188" spans="1:11" hidden="1" x14ac:dyDescent="0.3">
      <c r="A188" t="str">
        <f t="shared" si="2"/>
        <v>Buccaneer’s Den|Starlight|LOOK</v>
      </c>
      <c r="B188" s="2" t="s">
        <v>1768</v>
      </c>
      <c r="C188" s="2" t="s">
        <v>2019</v>
      </c>
      <c r="D188" s="2" t="s">
        <v>2092</v>
      </c>
      <c r="E188" s="2" t="s">
        <v>16</v>
      </c>
      <c r="F188" s="2" t="s">
        <v>2094</v>
      </c>
      <c r="G188" s="8" t="str">
        <f>IF(ISNA(VLOOKUP(B188&amp;"|"&amp;C188&amp;"|"&amp;D188&amp;"|"&amp;E188,QuestionTriggers!A:F,6,FALSE)),"","---&gt;")</f>
        <v/>
      </c>
      <c r="H188" s="2" t="s">
        <v>611</v>
      </c>
      <c r="I188" s="2" t="s">
        <v>2093</v>
      </c>
      <c r="J188" s="2" t="s">
        <v>881</v>
      </c>
      <c r="K188" s="2"/>
    </row>
    <row r="189" spans="1:11" hidden="1" x14ac:dyDescent="0.3">
      <c r="A189" t="str">
        <f t="shared" si="2"/>
        <v>Buccaneer’s Den|Starlight|MAGI</v>
      </c>
      <c r="B189" s="2" t="s">
        <v>1768</v>
      </c>
      <c r="C189" s="2" t="s">
        <v>2019</v>
      </c>
      <c r="D189" s="2" t="s">
        <v>2092</v>
      </c>
      <c r="E189" s="2" t="s">
        <v>912</v>
      </c>
      <c r="F189" s="2" t="s">
        <v>2097</v>
      </c>
      <c r="G189" s="8" t="str">
        <f>IF(ISNA(VLOOKUP(B189&amp;"|"&amp;C189&amp;"|"&amp;D189&amp;"|"&amp;E189,QuestionTriggers!A:F,6,FALSE)),"","---&gt;")</f>
        <v/>
      </c>
      <c r="H189" s="2" t="s">
        <v>611</v>
      </c>
      <c r="I189" s="2" t="s">
        <v>2093</v>
      </c>
      <c r="J189" s="2" t="s">
        <v>881</v>
      </c>
      <c r="K189" s="2"/>
    </row>
    <row r="190" spans="1:11" hidden="1" x14ac:dyDescent="0.3">
      <c r="A190" t="str">
        <f t="shared" si="2"/>
        <v>Buccaneer’s Den|Starlight|MIX</v>
      </c>
      <c r="B190" s="2" t="s">
        <v>1768</v>
      </c>
      <c r="C190" s="2" t="s">
        <v>2019</v>
      </c>
      <c r="D190" s="2" t="s">
        <v>2092</v>
      </c>
      <c r="E190" s="2" t="s">
        <v>2098</v>
      </c>
      <c r="F190" s="2" t="s">
        <v>2099</v>
      </c>
      <c r="G190" s="8" t="str">
        <f>IF(ISNA(VLOOKUP(B190&amp;"|"&amp;C190&amp;"|"&amp;D190&amp;"|"&amp;E190,QuestionTriggers!A:F,6,FALSE)),"","---&gt;")</f>
        <v>---&gt;</v>
      </c>
      <c r="H190" s="2" t="s">
        <v>611</v>
      </c>
      <c r="I190" s="2" t="s">
        <v>2093</v>
      </c>
      <c r="J190" s="2" t="s">
        <v>881</v>
      </c>
      <c r="K190" s="2"/>
    </row>
    <row r="191" spans="1:11" hidden="1" x14ac:dyDescent="0.3">
      <c r="A191" t="str">
        <f t="shared" si="2"/>
        <v>Buccaneer’s Den|Starlight|NAME</v>
      </c>
      <c r="B191" s="2" t="s">
        <v>1768</v>
      </c>
      <c r="C191" s="2" t="s">
        <v>2019</v>
      </c>
      <c r="D191" s="2" t="s">
        <v>2092</v>
      </c>
      <c r="E191" s="2" t="s">
        <v>12</v>
      </c>
      <c r="F191" s="2" t="s">
        <v>2092</v>
      </c>
      <c r="G191" s="8" t="str">
        <f>IF(ISNA(VLOOKUP(B191&amp;"|"&amp;C191&amp;"|"&amp;D191&amp;"|"&amp;E191,QuestionTriggers!A:F,6,FALSE)),"","---&gt;")</f>
        <v/>
      </c>
      <c r="H191" s="2" t="s">
        <v>611</v>
      </c>
      <c r="I191" s="2" t="s">
        <v>2093</v>
      </c>
      <c r="J191" s="2" t="s">
        <v>881</v>
      </c>
      <c r="K191" s="2"/>
    </row>
    <row r="192" spans="1:11" hidden="1" x14ac:dyDescent="0.3">
      <c r="A192" t="str">
        <f t="shared" si="2"/>
        <v>Castle Britannia|Chuckles|CLUE</v>
      </c>
      <c r="B192" s="2" t="s">
        <v>9</v>
      </c>
      <c r="C192" s="2" t="s">
        <v>10</v>
      </c>
      <c r="D192" s="2" t="s">
        <v>11</v>
      </c>
      <c r="E192" s="2" t="s">
        <v>24</v>
      </c>
      <c r="F192" s="2" t="s">
        <v>25</v>
      </c>
      <c r="G192" s="8" t="str">
        <f>IF(ISNA(VLOOKUP(B192&amp;"|"&amp;C192&amp;"|"&amp;D192&amp;"|"&amp;E192,QuestionTriggers!A:F,6,FALSE)),"","---&gt;")</f>
        <v/>
      </c>
      <c r="H192" s="2" t="s">
        <v>13</v>
      </c>
      <c r="I192" s="2" t="s">
        <v>14</v>
      </c>
      <c r="J192" s="2" t="s">
        <v>15</v>
      </c>
      <c r="K192" s="2"/>
    </row>
    <row r="193" spans="1:11" hidden="1" x14ac:dyDescent="0.3">
      <c r="A193" t="str">
        <f t="shared" si="2"/>
        <v>Castle Britannia|Chuckles|HEALTH</v>
      </c>
      <c r="B193" s="2" t="s">
        <v>9</v>
      </c>
      <c r="C193" s="2" t="s">
        <v>10</v>
      </c>
      <c r="D193" s="2" t="s">
        <v>11</v>
      </c>
      <c r="E193" s="2" t="s">
        <v>20</v>
      </c>
      <c r="F193" s="2" t="s">
        <v>21</v>
      </c>
      <c r="G193" s="8" t="str">
        <f>IF(ISNA(VLOOKUP(B193&amp;"|"&amp;C193&amp;"|"&amp;D193&amp;"|"&amp;E193,QuestionTriggers!A:F,6,FALSE)),"","---&gt;")</f>
        <v/>
      </c>
      <c r="H193" s="2" t="s">
        <v>13</v>
      </c>
      <c r="I193" s="2" t="s">
        <v>14</v>
      </c>
      <c r="J193" s="2" t="s">
        <v>15</v>
      </c>
      <c r="K193" s="2"/>
    </row>
    <row r="194" spans="1:11" hidden="1" x14ac:dyDescent="0.3">
      <c r="A194" t="str">
        <f t="shared" si="2"/>
        <v>Castle Britannia|Chuckles|JEST</v>
      </c>
      <c r="B194" s="2" t="s">
        <v>9</v>
      </c>
      <c r="C194" s="2" t="s">
        <v>10</v>
      </c>
      <c r="D194" s="2" t="s">
        <v>11</v>
      </c>
      <c r="E194" s="2" t="s">
        <v>22</v>
      </c>
      <c r="F194" s="2" t="s">
        <v>23</v>
      </c>
      <c r="G194" s="8" t="str">
        <f>IF(ISNA(VLOOKUP(B194&amp;"|"&amp;C194&amp;"|"&amp;D194&amp;"|"&amp;E194,QuestionTriggers!A:F,6,FALSE)),"","---&gt;")</f>
        <v>---&gt;</v>
      </c>
      <c r="H194" s="2" t="s">
        <v>13</v>
      </c>
      <c r="I194" s="2" t="s">
        <v>14</v>
      </c>
      <c r="J194" s="2" t="s">
        <v>15</v>
      </c>
      <c r="K194" s="2"/>
    </row>
    <row r="195" spans="1:11" hidden="1" x14ac:dyDescent="0.3">
      <c r="A195" t="str">
        <f t="shared" ref="A195:A258" si="3">C195&amp;"|"&amp;D195&amp;"|"&amp;E195</f>
        <v>Castle Britannia|Chuckles|JOB</v>
      </c>
      <c r="B195" s="2" t="s">
        <v>9</v>
      </c>
      <c r="C195" s="2" t="s">
        <v>10</v>
      </c>
      <c r="D195" s="2" t="s">
        <v>11</v>
      </c>
      <c r="E195" s="2" t="s">
        <v>18</v>
      </c>
      <c r="F195" s="2" t="s">
        <v>19</v>
      </c>
      <c r="G195" s="8" t="str">
        <f>IF(ISNA(VLOOKUP(B195&amp;"|"&amp;C195&amp;"|"&amp;D195&amp;"|"&amp;E195,QuestionTriggers!A:F,6,FALSE)),"","---&gt;")</f>
        <v/>
      </c>
      <c r="H195" s="2" t="s">
        <v>13</v>
      </c>
      <c r="I195" s="2" t="s">
        <v>14</v>
      </c>
      <c r="J195" s="2" t="s">
        <v>15</v>
      </c>
      <c r="K195" s="2"/>
    </row>
    <row r="196" spans="1:11" hidden="1" x14ac:dyDescent="0.3">
      <c r="A196" t="str">
        <f t="shared" si="3"/>
        <v>Castle Britannia|Chuckles|LOOK</v>
      </c>
      <c r="B196" s="2" t="s">
        <v>9</v>
      </c>
      <c r="C196" s="2" t="s">
        <v>10</v>
      </c>
      <c r="D196" s="2" t="s">
        <v>11</v>
      </c>
      <c r="E196" s="2" t="s">
        <v>16</v>
      </c>
      <c r="F196" s="2" t="s">
        <v>17</v>
      </c>
      <c r="G196" s="8" t="str">
        <f>IF(ISNA(VLOOKUP(B196&amp;"|"&amp;C196&amp;"|"&amp;D196&amp;"|"&amp;E196,QuestionTriggers!A:F,6,FALSE)),"","---&gt;")</f>
        <v/>
      </c>
      <c r="H196" s="2" t="s">
        <v>13</v>
      </c>
      <c r="I196" s="2" t="s">
        <v>14</v>
      </c>
      <c r="J196" s="2" t="s">
        <v>15</v>
      </c>
      <c r="K196" s="2"/>
    </row>
    <row r="197" spans="1:11" hidden="1" x14ac:dyDescent="0.3">
      <c r="A197" t="str">
        <f t="shared" si="3"/>
        <v>Castle Britannia|Chuckles|NAME</v>
      </c>
      <c r="B197" s="2" t="s">
        <v>9</v>
      </c>
      <c r="C197" s="2" t="s">
        <v>10</v>
      </c>
      <c r="D197" s="2" t="s">
        <v>11</v>
      </c>
      <c r="E197" s="2" t="s">
        <v>12</v>
      </c>
      <c r="F197" s="2" t="s">
        <v>11</v>
      </c>
      <c r="G197" s="8" t="str">
        <f>IF(ISNA(VLOOKUP(B197&amp;"|"&amp;C197&amp;"|"&amp;D197&amp;"|"&amp;E197,QuestionTriggers!A:F,6,FALSE)),"","---&gt;")</f>
        <v/>
      </c>
      <c r="H197" s="2" t="s">
        <v>13</v>
      </c>
      <c r="I197" s="2" t="s">
        <v>14</v>
      </c>
      <c r="J197" s="2" t="s">
        <v>15</v>
      </c>
      <c r="K197" s="2"/>
    </row>
    <row r="198" spans="1:11" hidden="1" x14ac:dyDescent="0.3">
      <c r="A198" t="str">
        <f t="shared" si="3"/>
        <v>Castle Britannia|Gate Guard|CAST</v>
      </c>
      <c r="B198" s="2" t="s">
        <v>9</v>
      </c>
      <c r="C198" s="2" t="s">
        <v>10</v>
      </c>
      <c r="D198" s="2" t="s">
        <v>26</v>
      </c>
      <c r="E198" s="2" t="s">
        <v>36</v>
      </c>
      <c r="F198" s="2" t="s">
        <v>37</v>
      </c>
      <c r="G198" s="8" t="str">
        <f>IF(ISNA(VLOOKUP(B198&amp;"|"&amp;C198&amp;"|"&amp;D198&amp;"|"&amp;E198,QuestionTriggers!A:F,6,FALSE)),"","---&gt;")</f>
        <v>---&gt;</v>
      </c>
      <c r="H198" s="2" t="s">
        <v>28</v>
      </c>
      <c r="I198" s="2" t="s">
        <v>29</v>
      </c>
      <c r="J198" s="2" t="s">
        <v>30</v>
      </c>
      <c r="K198" s="2"/>
    </row>
    <row r="199" spans="1:11" hidden="1" x14ac:dyDescent="0.3">
      <c r="A199" t="str">
        <f t="shared" si="3"/>
        <v>Castle Britannia|Gate Guard|GUAR</v>
      </c>
      <c r="B199" s="2" t="s">
        <v>9</v>
      </c>
      <c r="C199" s="2" t="s">
        <v>10</v>
      </c>
      <c r="D199" s="2" t="s">
        <v>26</v>
      </c>
      <c r="E199" s="2" t="s">
        <v>34</v>
      </c>
      <c r="F199" s="2" t="s">
        <v>35</v>
      </c>
      <c r="G199" s="8" t="str">
        <f>IF(ISNA(VLOOKUP(B199&amp;"|"&amp;C199&amp;"|"&amp;D199&amp;"|"&amp;E199,QuestionTriggers!A:F,6,FALSE)),"","---&gt;")</f>
        <v/>
      </c>
      <c r="H199" s="2" t="s">
        <v>28</v>
      </c>
      <c r="I199" s="2" t="s">
        <v>29</v>
      </c>
      <c r="J199" s="2" t="s">
        <v>30</v>
      </c>
      <c r="K199" s="2"/>
    </row>
    <row r="200" spans="1:11" hidden="1" x14ac:dyDescent="0.3">
      <c r="A200" t="str">
        <f t="shared" si="3"/>
        <v>Castle Britannia|Gate Guard|HEALTH</v>
      </c>
      <c r="B200" s="2" t="s">
        <v>9</v>
      </c>
      <c r="C200" s="2" t="s">
        <v>10</v>
      </c>
      <c r="D200" s="2" t="s">
        <v>26</v>
      </c>
      <c r="E200" s="2" t="s">
        <v>20</v>
      </c>
      <c r="F200" s="2" t="s">
        <v>33</v>
      </c>
      <c r="G200" s="8" t="str">
        <f>IF(ISNA(VLOOKUP(B200&amp;"|"&amp;C200&amp;"|"&amp;D200&amp;"|"&amp;E200,QuestionTriggers!A:F,6,FALSE)),"","---&gt;")</f>
        <v/>
      </c>
      <c r="H200" s="2" t="s">
        <v>28</v>
      </c>
      <c r="I200" s="2" t="s">
        <v>29</v>
      </c>
      <c r="J200" s="2" t="s">
        <v>30</v>
      </c>
      <c r="K200" s="2"/>
    </row>
    <row r="201" spans="1:11" hidden="1" x14ac:dyDescent="0.3">
      <c r="A201" t="str">
        <f t="shared" si="3"/>
        <v>Castle Britannia|Gate Guard|JOB</v>
      </c>
      <c r="B201" s="2" t="s">
        <v>9</v>
      </c>
      <c r="C201" s="2" t="s">
        <v>10</v>
      </c>
      <c r="D201" s="2" t="s">
        <v>26</v>
      </c>
      <c r="E201" s="2" t="s">
        <v>18</v>
      </c>
      <c r="F201" s="2" t="s">
        <v>32</v>
      </c>
      <c r="G201" s="8" t="str">
        <f>IF(ISNA(VLOOKUP(B201&amp;"|"&amp;C201&amp;"|"&amp;D201&amp;"|"&amp;E201,QuestionTriggers!A:F,6,FALSE)),"","---&gt;")</f>
        <v/>
      </c>
      <c r="H201" s="2" t="s">
        <v>28</v>
      </c>
      <c r="I201" s="2" t="s">
        <v>29</v>
      </c>
      <c r="J201" s="2" t="s">
        <v>30</v>
      </c>
      <c r="K201" s="2"/>
    </row>
    <row r="202" spans="1:11" hidden="1" x14ac:dyDescent="0.3">
      <c r="A202" t="str">
        <f t="shared" si="3"/>
        <v>Castle Britannia|Gate Guard|LOOK</v>
      </c>
      <c r="B202" s="2" t="s">
        <v>9</v>
      </c>
      <c r="C202" s="2" t="s">
        <v>10</v>
      </c>
      <c r="D202" s="2" t="s">
        <v>26</v>
      </c>
      <c r="E202" s="2" t="s">
        <v>16</v>
      </c>
      <c r="F202" s="2" t="s">
        <v>31</v>
      </c>
      <c r="G202" s="8" t="str">
        <f>IF(ISNA(VLOOKUP(B202&amp;"|"&amp;C202&amp;"|"&amp;D202&amp;"|"&amp;E202,QuestionTriggers!A:F,6,FALSE)),"","---&gt;")</f>
        <v/>
      </c>
      <c r="H202" s="2" t="s">
        <v>28</v>
      </c>
      <c r="I202" s="2" t="s">
        <v>29</v>
      </c>
      <c r="J202" s="2" t="s">
        <v>30</v>
      </c>
      <c r="K202" s="2"/>
    </row>
    <row r="203" spans="1:11" hidden="1" x14ac:dyDescent="0.3">
      <c r="A203" t="str">
        <f t="shared" si="3"/>
        <v>Castle Britannia|Gate Guard|NAME</v>
      </c>
      <c r="B203" s="2" t="s">
        <v>9</v>
      </c>
      <c r="C203" s="2" t="s">
        <v>10</v>
      </c>
      <c r="D203" s="2" t="s">
        <v>26</v>
      </c>
      <c r="E203" s="2" t="s">
        <v>12</v>
      </c>
      <c r="F203" s="2" t="s">
        <v>27</v>
      </c>
      <c r="G203" s="8" t="str">
        <f>IF(ISNA(VLOOKUP(B203&amp;"|"&amp;C203&amp;"|"&amp;D203&amp;"|"&amp;E203,QuestionTriggers!A:F,6,FALSE)),"","---&gt;")</f>
        <v/>
      </c>
      <c r="H203" s="2" t="s">
        <v>28</v>
      </c>
      <c r="I203" s="2" t="s">
        <v>29</v>
      </c>
      <c r="J203" s="2" t="s">
        <v>30</v>
      </c>
      <c r="K203" s="2"/>
    </row>
    <row r="204" spans="1:11" hidden="1" x14ac:dyDescent="0.3">
      <c r="A204" t="str">
        <f t="shared" si="3"/>
        <v>Castle Britannia|Guard (2nd Floor)|GUAR</v>
      </c>
      <c r="B204" s="2" t="s">
        <v>9</v>
      </c>
      <c r="C204" s="2" t="s">
        <v>10</v>
      </c>
      <c r="D204" s="2" t="s">
        <v>47</v>
      </c>
      <c r="E204" s="2" t="s">
        <v>34</v>
      </c>
      <c r="F204" s="2" t="s">
        <v>54</v>
      </c>
      <c r="G204" s="8" t="str">
        <f>IF(ISNA(VLOOKUP(B204&amp;"|"&amp;C204&amp;"|"&amp;D204&amp;"|"&amp;E204,QuestionTriggers!A:F,6,FALSE)),"","---&gt;")</f>
        <v>---&gt;</v>
      </c>
      <c r="H204" s="2" t="s">
        <v>48</v>
      </c>
      <c r="I204" s="2" t="s">
        <v>49</v>
      </c>
      <c r="J204" s="2" t="s">
        <v>50</v>
      </c>
      <c r="K204" s="2" t="s">
        <v>51</v>
      </c>
    </row>
    <row r="205" spans="1:11" hidden="1" x14ac:dyDescent="0.3">
      <c r="A205" t="str">
        <f t="shared" si="3"/>
        <v>Castle Britannia|Guard (2nd Floor)|HEALTH</v>
      </c>
      <c r="B205" s="2" t="s">
        <v>9</v>
      </c>
      <c r="C205" s="2" t="s">
        <v>10</v>
      </c>
      <c r="D205" s="2" t="s">
        <v>47</v>
      </c>
      <c r="E205" s="2" t="s">
        <v>20</v>
      </c>
      <c r="F205" s="2" t="s">
        <v>53</v>
      </c>
      <c r="G205" s="8" t="str">
        <f>IF(ISNA(VLOOKUP(B205&amp;"|"&amp;C205&amp;"|"&amp;D205&amp;"|"&amp;E205,QuestionTriggers!A:F,6,FALSE)),"","---&gt;")</f>
        <v/>
      </c>
      <c r="H205" s="2" t="s">
        <v>48</v>
      </c>
      <c r="I205" s="2" t="s">
        <v>49</v>
      </c>
      <c r="J205" s="2" t="s">
        <v>50</v>
      </c>
      <c r="K205" s="2" t="s">
        <v>51</v>
      </c>
    </row>
    <row r="206" spans="1:11" hidden="1" x14ac:dyDescent="0.3">
      <c r="A206" t="str">
        <f t="shared" si="3"/>
        <v>Castle Britannia|Guard (2nd Floor)|JOB</v>
      </c>
      <c r="B206" s="2" t="s">
        <v>9</v>
      </c>
      <c r="C206" s="2" t="s">
        <v>10</v>
      </c>
      <c r="D206" s="2" t="s">
        <v>47</v>
      </c>
      <c r="E206" s="2" t="s">
        <v>18</v>
      </c>
      <c r="F206" s="2" t="s">
        <v>52</v>
      </c>
      <c r="G206" s="8" t="str">
        <f>IF(ISNA(VLOOKUP(B206&amp;"|"&amp;C206&amp;"|"&amp;D206&amp;"|"&amp;E206,QuestionTriggers!A:F,6,FALSE)),"","---&gt;")</f>
        <v/>
      </c>
      <c r="H206" s="2" t="s">
        <v>48</v>
      </c>
      <c r="I206" s="2" t="s">
        <v>49</v>
      </c>
      <c r="J206" s="2" t="s">
        <v>50</v>
      </c>
      <c r="K206" s="2" t="s">
        <v>51</v>
      </c>
    </row>
    <row r="207" spans="1:11" hidden="1" x14ac:dyDescent="0.3">
      <c r="A207" t="str">
        <f t="shared" si="3"/>
        <v>Castle Britannia|Guard (2nd Floor)|LIEG</v>
      </c>
      <c r="B207" s="2" t="s">
        <v>9</v>
      </c>
      <c r="C207" s="2" t="s">
        <v>10</v>
      </c>
      <c r="D207" s="2" t="s">
        <v>47</v>
      </c>
      <c r="E207" s="2" t="s">
        <v>55</v>
      </c>
      <c r="F207" s="2" t="s">
        <v>56</v>
      </c>
      <c r="G207" s="8" t="str">
        <f>IF(ISNA(VLOOKUP(B207&amp;"|"&amp;C207&amp;"|"&amp;D207&amp;"|"&amp;E207,QuestionTriggers!A:F,6,FALSE)),"","---&gt;")</f>
        <v/>
      </c>
      <c r="H207" s="2" t="s">
        <v>48</v>
      </c>
      <c r="I207" s="2" t="s">
        <v>49</v>
      </c>
      <c r="J207" s="2" t="s">
        <v>50</v>
      </c>
      <c r="K207" s="2" t="s">
        <v>51</v>
      </c>
    </row>
    <row r="208" spans="1:11" hidden="1" x14ac:dyDescent="0.3">
      <c r="A208" t="str">
        <f t="shared" si="3"/>
        <v>Castle Britannia|Guard (2nd Floor)|LOOK</v>
      </c>
      <c r="B208" s="2" t="s">
        <v>9</v>
      </c>
      <c r="C208" s="2" t="s">
        <v>10</v>
      </c>
      <c r="D208" s="2" t="s">
        <v>47</v>
      </c>
      <c r="E208" s="2" t="s">
        <v>16</v>
      </c>
      <c r="F208" s="2" t="s">
        <v>31</v>
      </c>
      <c r="G208" s="8" t="str">
        <f>IF(ISNA(VLOOKUP(B208&amp;"|"&amp;C208&amp;"|"&amp;D208&amp;"|"&amp;E208,QuestionTriggers!A:F,6,FALSE)),"","---&gt;")</f>
        <v/>
      </c>
      <c r="H208" s="2" t="s">
        <v>48</v>
      </c>
      <c r="I208" s="2" t="s">
        <v>49</v>
      </c>
      <c r="J208" s="2" t="s">
        <v>50</v>
      </c>
      <c r="K208" s="2" t="s">
        <v>51</v>
      </c>
    </row>
    <row r="209" spans="1:11" hidden="1" x14ac:dyDescent="0.3">
      <c r="A209" t="str">
        <f t="shared" si="3"/>
        <v>Castle Britannia|Guard (2nd Floor)|NAME</v>
      </c>
      <c r="B209" s="2" t="s">
        <v>9</v>
      </c>
      <c r="C209" s="2" t="s">
        <v>10</v>
      </c>
      <c r="D209" s="2" t="s">
        <v>47</v>
      </c>
      <c r="E209" s="2" t="s">
        <v>12</v>
      </c>
      <c r="F209" s="2" t="s">
        <v>27</v>
      </c>
      <c r="G209" s="8" t="str">
        <f>IF(ISNA(VLOOKUP(B209&amp;"|"&amp;C209&amp;"|"&amp;D209&amp;"|"&amp;E209,QuestionTriggers!A:F,6,FALSE)),"","---&gt;")</f>
        <v/>
      </c>
      <c r="H209" s="2" t="s">
        <v>48</v>
      </c>
      <c r="I209" s="2" t="s">
        <v>49</v>
      </c>
      <c r="J209" s="2" t="s">
        <v>50</v>
      </c>
      <c r="K209" s="2" t="s">
        <v>51</v>
      </c>
    </row>
    <row r="210" spans="1:11" ht="66" hidden="1" x14ac:dyDescent="0.3">
      <c r="A210" t="str">
        <f t="shared" si="3"/>
        <v>Castle Britannia|Hawkwind|Compassion</v>
      </c>
      <c r="B210" s="2" t="s">
        <v>9</v>
      </c>
      <c r="C210" s="2" t="s">
        <v>10</v>
      </c>
      <c r="D210" s="2" t="s">
        <v>57</v>
      </c>
      <c r="E210" s="2" t="s">
        <v>60</v>
      </c>
      <c r="F210" s="2" t="s">
        <v>61</v>
      </c>
      <c r="G210" s="8" t="str">
        <f>IF(ISNA(VLOOKUP(B210&amp;"|"&amp;C210&amp;"|"&amp;D210&amp;"|"&amp;E210,QuestionTriggers!A:F,6,FALSE)),"","---&gt;")</f>
        <v/>
      </c>
      <c r="H210" s="2"/>
      <c r="I210" s="2"/>
      <c r="J210" s="2"/>
      <c r="K210" s="2"/>
    </row>
    <row r="211" spans="1:11" ht="66" hidden="1" x14ac:dyDescent="0.3">
      <c r="A211" t="str">
        <f t="shared" si="3"/>
        <v>Castle Britannia|Hawkwind|Honesty</v>
      </c>
      <c r="B211" s="2" t="s">
        <v>9</v>
      </c>
      <c r="C211" s="2" t="s">
        <v>10</v>
      </c>
      <c r="D211" s="2" t="s">
        <v>57</v>
      </c>
      <c r="E211" s="2" t="s">
        <v>58</v>
      </c>
      <c r="F211" s="2" t="s">
        <v>59</v>
      </c>
      <c r="G211" s="8" t="str">
        <f>IF(ISNA(VLOOKUP(B211&amp;"|"&amp;C211&amp;"|"&amp;D211&amp;"|"&amp;E211,QuestionTriggers!A:F,6,FALSE)),"","---&gt;")</f>
        <v/>
      </c>
      <c r="H211" s="2"/>
      <c r="I211" s="2"/>
      <c r="J211" s="2"/>
      <c r="K211" s="2"/>
    </row>
    <row r="212" spans="1:11" ht="79.2" hidden="1" x14ac:dyDescent="0.3">
      <c r="A212" t="str">
        <f t="shared" si="3"/>
        <v>Castle Britannia|Hawkwind|Honor</v>
      </c>
      <c r="B212" s="2" t="s">
        <v>9</v>
      </c>
      <c r="C212" s="2" t="s">
        <v>10</v>
      </c>
      <c r="D212" s="2" t="s">
        <v>57</v>
      </c>
      <c r="E212" s="2" t="s">
        <v>68</v>
      </c>
      <c r="F212" s="2" t="s">
        <v>69</v>
      </c>
      <c r="G212" s="8" t="str">
        <f>IF(ISNA(VLOOKUP(B212&amp;"|"&amp;C212&amp;"|"&amp;D212&amp;"|"&amp;E212,QuestionTriggers!A:F,6,FALSE)),"","---&gt;")</f>
        <v/>
      </c>
      <c r="H212" s="2"/>
      <c r="I212" s="2"/>
      <c r="J212" s="2"/>
      <c r="K212" s="2"/>
    </row>
    <row r="213" spans="1:11" ht="66" hidden="1" x14ac:dyDescent="0.3">
      <c r="A213" t="str">
        <f t="shared" si="3"/>
        <v>Castle Britannia|Hawkwind|Humility</v>
      </c>
      <c r="B213" s="2" t="s">
        <v>9</v>
      </c>
      <c r="C213" s="2" t="s">
        <v>10</v>
      </c>
      <c r="D213" s="2" t="s">
        <v>57</v>
      </c>
      <c r="E213" s="2" t="s">
        <v>72</v>
      </c>
      <c r="F213" s="2" t="s">
        <v>73</v>
      </c>
      <c r="G213" s="8" t="str">
        <f>IF(ISNA(VLOOKUP(B213&amp;"|"&amp;C213&amp;"|"&amp;D213&amp;"|"&amp;E213,QuestionTriggers!A:F,6,FALSE)),"","---&gt;")</f>
        <v/>
      </c>
      <c r="H213" s="2"/>
      <c r="I213" s="2"/>
      <c r="J213" s="2"/>
      <c r="K213" s="2"/>
    </row>
    <row r="214" spans="1:11" ht="66" hidden="1" x14ac:dyDescent="0.3">
      <c r="A214" t="str">
        <f t="shared" si="3"/>
        <v>Castle Britannia|Hawkwind|Justice</v>
      </c>
      <c r="B214" s="2" t="s">
        <v>9</v>
      </c>
      <c r="C214" s="2" t="s">
        <v>10</v>
      </c>
      <c r="D214" s="2" t="s">
        <v>57</v>
      </c>
      <c r="E214" s="2" t="s">
        <v>64</v>
      </c>
      <c r="F214" s="2" t="s">
        <v>65</v>
      </c>
      <c r="G214" s="8" t="str">
        <f>IF(ISNA(VLOOKUP(B214&amp;"|"&amp;C214&amp;"|"&amp;D214&amp;"|"&amp;E214,QuestionTriggers!A:F,6,FALSE)),"","---&gt;")</f>
        <v/>
      </c>
      <c r="H214" s="2"/>
      <c r="I214" s="2"/>
      <c r="J214" s="2"/>
      <c r="K214" s="2"/>
    </row>
    <row r="215" spans="1:11" ht="79.2" hidden="1" x14ac:dyDescent="0.3">
      <c r="A215" t="str">
        <f t="shared" si="3"/>
        <v>Castle Britannia|Hawkwind|Other When asked about any virtue for which Partial Avatarhood has been attained:</v>
      </c>
      <c r="B215" s="2" t="s">
        <v>9</v>
      </c>
      <c r="C215" s="2" t="s">
        <v>10</v>
      </c>
      <c r="D215" s="2" t="s">
        <v>57</v>
      </c>
      <c r="E215" s="2" t="s">
        <v>74</v>
      </c>
      <c r="F215" s="2" t="s">
        <v>75</v>
      </c>
      <c r="G215" s="8" t="str">
        <f>IF(ISNA(VLOOKUP(B215&amp;"|"&amp;C215&amp;"|"&amp;D215&amp;"|"&amp;E215,QuestionTriggers!A:F,6,FALSE)),"","---&gt;")</f>
        <v/>
      </c>
      <c r="H215" s="2"/>
      <c r="I215" s="2"/>
      <c r="J215" s="2"/>
      <c r="K215" s="2"/>
    </row>
    <row r="216" spans="1:11" ht="66" hidden="1" x14ac:dyDescent="0.3">
      <c r="A216" t="str">
        <f t="shared" si="3"/>
        <v>Castle Britannia|Hawkwind|Sacrifice</v>
      </c>
      <c r="B216" s="2" t="s">
        <v>9</v>
      </c>
      <c r="C216" s="2" t="s">
        <v>10</v>
      </c>
      <c r="D216" s="2" t="s">
        <v>57</v>
      </c>
      <c r="E216" s="2" t="s">
        <v>66</v>
      </c>
      <c r="F216" s="2" t="s">
        <v>67</v>
      </c>
      <c r="G216" s="8" t="str">
        <f>IF(ISNA(VLOOKUP(B216&amp;"|"&amp;C216&amp;"|"&amp;D216&amp;"|"&amp;E216,QuestionTriggers!A:F,6,FALSE)),"","---&gt;")</f>
        <v/>
      </c>
      <c r="H216" s="2"/>
      <c r="I216" s="2"/>
      <c r="J216" s="2"/>
      <c r="K216" s="2"/>
    </row>
    <row r="217" spans="1:11" ht="66" hidden="1" x14ac:dyDescent="0.3">
      <c r="A217" t="str">
        <f t="shared" si="3"/>
        <v>Castle Britannia|Hawkwind|Spirituality</v>
      </c>
      <c r="B217" s="2" t="s">
        <v>9</v>
      </c>
      <c r="C217" s="2" t="s">
        <v>10</v>
      </c>
      <c r="D217" s="2" t="s">
        <v>57</v>
      </c>
      <c r="E217" s="2" t="s">
        <v>70</v>
      </c>
      <c r="F217" s="2" t="s">
        <v>71</v>
      </c>
      <c r="G217" s="8" t="str">
        <f>IF(ISNA(VLOOKUP(B217&amp;"|"&amp;C217&amp;"|"&amp;D217&amp;"|"&amp;E217,QuestionTriggers!A:F,6,FALSE)),"","---&gt;")</f>
        <v/>
      </c>
      <c r="H217" s="2"/>
      <c r="I217" s="2"/>
      <c r="J217" s="2"/>
      <c r="K217" s="2"/>
    </row>
    <row r="218" spans="1:11" ht="66" hidden="1" x14ac:dyDescent="0.3">
      <c r="A218" t="str">
        <f t="shared" si="3"/>
        <v>Castle Britannia|Hawkwind|Valor</v>
      </c>
      <c r="B218" s="2" t="s">
        <v>9</v>
      </c>
      <c r="C218" s="2" t="s">
        <v>10</v>
      </c>
      <c r="D218" s="2" t="s">
        <v>57</v>
      </c>
      <c r="E218" s="2" t="s">
        <v>62</v>
      </c>
      <c r="F218" s="2" t="s">
        <v>63</v>
      </c>
      <c r="G218" s="8" t="str">
        <f>IF(ISNA(VLOOKUP(B218&amp;"|"&amp;C218&amp;"|"&amp;D218&amp;"|"&amp;E218,QuestionTriggers!A:F,6,FALSE)),"","---&gt;")</f>
        <v/>
      </c>
      <c r="H218" s="2"/>
      <c r="I218" s="2"/>
      <c r="J218" s="2"/>
      <c r="K218" s="2"/>
    </row>
    <row r="219" spans="1:11" ht="26.4" hidden="1" x14ac:dyDescent="0.3">
      <c r="A219" t="str">
        <f t="shared" si="3"/>
        <v>Castle Britannia|Jester Twins|BARD</v>
      </c>
      <c r="B219" s="2" t="s">
        <v>9</v>
      </c>
      <c r="C219" s="2" t="s">
        <v>10</v>
      </c>
      <c r="D219" s="2" t="s">
        <v>76</v>
      </c>
      <c r="E219" s="2" t="s">
        <v>85</v>
      </c>
      <c r="F219" s="2" t="s">
        <v>86</v>
      </c>
      <c r="G219" s="8" t="str">
        <f>IF(ISNA(VLOOKUP(B219&amp;"|"&amp;C219&amp;"|"&amp;D219&amp;"|"&amp;E219,QuestionTriggers!A:F,6,FALSE)),"","---&gt;")</f>
        <v>---&gt;</v>
      </c>
      <c r="H219" s="2" t="s">
        <v>78</v>
      </c>
      <c r="I219" s="2" t="s">
        <v>79</v>
      </c>
      <c r="J219" s="2" t="s">
        <v>80</v>
      </c>
      <c r="K219" s="2"/>
    </row>
    <row r="220" spans="1:11" ht="26.4" hidden="1" x14ac:dyDescent="0.3">
      <c r="A220" t="str">
        <f t="shared" si="3"/>
        <v>Castle Britannia|Jester Twins|HEALTH</v>
      </c>
      <c r="B220" s="2" t="s">
        <v>9</v>
      </c>
      <c r="C220" s="2" t="s">
        <v>10</v>
      </c>
      <c r="D220" s="2" t="s">
        <v>76</v>
      </c>
      <c r="E220" s="2" t="s">
        <v>20</v>
      </c>
      <c r="F220" s="2" t="s">
        <v>83</v>
      </c>
      <c r="G220" s="8" t="str">
        <f>IF(ISNA(VLOOKUP(B220&amp;"|"&amp;C220&amp;"|"&amp;D220&amp;"|"&amp;E220,QuestionTriggers!A:F,6,FALSE)),"","---&gt;")</f>
        <v/>
      </c>
      <c r="H220" s="2" t="s">
        <v>78</v>
      </c>
      <c r="I220" s="2" t="s">
        <v>79</v>
      </c>
      <c r="J220" s="2" t="s">
        <v>80</v>
      </c>
      <c r="K220" s="2"/>
    </row>
    <row r="221" spans="1:11" ht="26.4" hidden="1" x14ac:dyDescent="0.3">
      <c r="A221" t="str">
        <f t="shared" si="3"/>
        <v>Castle Britannia|Jester Twins|JEST</v>
      </c>
      <c r="B221" s="2" t="s">
        <v>9</v>
      </c>
      <c r="C221" s="2" t="s">
        <v>10</v>
      </c>
      <c r="D221" s="2" t="s">
        <v>76</v>
      </c>
      <c r="E221" s="2" t="s">
        <v>22</v>
      </c>
      <c r="F221" s="2" t="s">
        <v>84</v>
      </c>
      <c r="G221" s="8" t="str">
        <f>IF(ISNA(VLOOKUP(B221&amp;"|"&amp;C221&amp;"|"&amp;D221&amp;"|"&amp;E221,QuestionTriggers!A:F,6,FALSE)),"","---&gt;")</f>
        <v/>
      </c>
      <c r="H221" s="2" t="s">
        <v>78</v>
      </c>
      <c r="I221" s="2" t="s">
        <v>79</v>
      </c>
      <c r="J221" s="2" t="s">
        <v>80</v>
      </c>
      <c r="K221" s="2"/>
    </row>
    <row r="222" spans="1:11" ht="26.4" hidden="1" x14ac:dyDescent="0.3">
      <c r="A222" t="str">
        <f t="shared" si="3"/>
        <v>Castle Britannia|Jester Twins|JOB</v>
      </c>
      <c r="B222" s="2" t="s">
        <v>9</v>
      </c>
      <c r="C222" s="2" t="s">
        <v>10</v>
      </c>
      <c r="D222" s="2" t="s">
        <v>76</v>
      </c>
      <c r="E222" s="2" t="s">
        <v>18</v>
      </c>
      <c r="F222" s="2" t="s">
        <v>82</v>
      </c>
      <c r="G222" s="8" t="str">
        <f>IF(ISNA(VLOOKUP(B222&amp;"|"&amp;C222&amp;"|"&amp;D222&amp;"|"&amp;E222,QuestionTriggers!A:F,6,FALSE)),"","---&gt;")</f>
        <v/>
      </c>
      <c r="H222" s="2" t="s">
        <v>78</v>
      </c>
      <c r="I222" s="2" t="s">
        <v>79</v>
      </c>
      <c r="J222" s="2" t="s">
        <v>80</v>
      </c>
      <c r="K222" s="2"/>
    </row>
    <row r="223" spans="1:11" ht="26.4" hidden="1" x14ac:dyDescent="0.3">
      <c r="A223" t="str">
        <f t="shared" si="3"/>
        <v>Castle Britannia|Jester Twins|LOOK</v>
      </c>
      <c r="B223" s="2" t="s">
        <v>9</v>
      </c>
      <c r="C223" s="2" t="s">
        <v>10</v>
      </c>
      <c r="D223" s="2" t="s">
        <v>76</v>
      </c>
      <c r="E223" s="2" t="s">
        <v>16</v>
      </c>
      <c r="F223" s="2" t="s">
        <v>81</v>
      </c>
      <c r="G223" s="8" t="str">
        <f>IF(ISNA(VLOOKUP(B223&amp;"|"&amp;C223&amp;"|"&amp;D223&amp;"|"&amp;E223,QuestionTriggers!A:F,6,FALSE)),"","---&gt;")</f>
        <v/>
      </c>
      <c r="H223" s="2" t="s">
        <v>78</v>
      </c>
      <c r="I223" s="2" t="s">
        <v>79</v>
      </c>
      <c r="J223" s="2" t="s">
        <v>80</v>
      </c>
      <c r="K223" s="2"/>
    </row>
    <row r="224" spans="1:11" ht="26.4" hidden="1" x14ac:dyDescent="0.3">
      <c r="A224" t="str">
        <f t="shared" si="3"/>
        <v>Castle Britannia|Jester Twins|NAME</v>
      </c>
      <c r="B224" s="2" t="s">
        <v>9</v>
      </c>
      <c r="C224" s="2" t="s">
        <v>10</v>
      </c>
      <c r="D224" s="2" t="s">
        <v>76</v>
      </c>
      <c r="E224" s="2" t="s">
        <v>12</v>
      </c>
      <c r="F224" s="2" t="s">
        <v>77</v>
      </c>
      <c r="G224" s="8" t="str">
        <f>IF(ISNA(VLOOKUP(B224&amp;"|"&amp;C224&amp;"|"&amp;D224&amp;"|"&amp;E224,QuestionTriggers!A:F,6,FALSE)),"","---&gt;")</f>
        <v/>
      </c>
      <c r="H224" s="2" t="s">
        <v>78</v>
      </c>
      <c r="I224" s="2" t="s">
        <v>79</v>
      </c>
      <c r="J224" s="2" t="s">
        <v>80</v>
      </c>
      <c r="K224" s="2"/>
    </row>
    <row r="225" spans="1:11" ht="26.4" hidden="1" x14ac:dyDescent="0.3">
      <c r="A225" t="str">
        <f t="shared" si="3"/>
        <v>Castle Britannia|Joshua|HEALTH</v>
      </c>
      <c r="B225" s="2" t="s">
        <v>9</v>
      </c>
      <c r="C225" s="2" t="s">
        <v>10</v>
      </c>
      <c r="D225" s="2" t="s">
        <v>87</v>
      </c>
      <c r="E225" s="2" t="s">
        <v>20</v>
      </c>
      <c r="F225" s="2" t="s">
        <v>93</v>
      </c>
      <c r="G225" s="8" t="str">
        <f>IF(ISNA(VLOOKUP(B225&amp;"|"&amp;C225&amp;"|"&amp;D225&amp;"|"&amp;E225,QuestionTriggers!A:F,6,FALSE)),"","---&gt;")</f>
        <v/>
      </c>
      <c r="H225" s="2" t="s">
        <v>88</v>
      </c>
      <c r="I225" s="2" t="s">
        <v>89</v>
      </c>
      <c r="J225" s="2" t="s">
        <v>90</v>
      </c>
      <c r="K225" s="2"/>
    </row>
    <row r="226" spans="1:11" ht="26.4" hidden="1" x14ac:dyDescent="0.3">
      <c r="A226" t="str">
        <f t="shared" si="3"/>
        <v>Castle Britannia|Joshua|HELP</v>
      </c>
      <c r="B226" s="2" t="s">
        <v>9</v>
      </c>
      <c r="C226" s="2" t="s">
        <v>10</v>
      </c>
      <c r="D226" s="2" t="s">
        <v>87</v>
      </c>
      <c r="E226" s="2" t="s">
        <v>94</v>
      </c>
      <c r="F226" s="2" t="s">
        <v>95</v>
      </c>
      <c r="G226" s="8" t="str">
        <f>IF(ISNA(VLOOKUP(B226&amp;"|"&amp;C226&amp;"|"&amp;D226&amp;"|"&amp;E226,QuestionTriggers!A:F,6,FALSE)),"","---&gt;")</f>
        <v/>
      </c>
      <c r="H226" s="2" t="s">
        <v>88</v>
      </c>
      <c r="I226" s="2" t="s">
        <v>89</v>
      </c>
      <c r="J226" s="2" t="s">
        <v>90</v>
      </c>
      <c r="K226" s="2"/>
    </row>
    <row r="227" spans="1:11" ht="26.4" hidden="1" x14ac:dyDescent="0.3">
      <c r="A227" t="str">
        <f t="shared" si="3"/>
        <v>Castle Britannia|Joshua|JOB</v>
      </c>
      <c r="B227" s="2" t="s">
        <v>9</v>
      </c>
      <c r="C227" s="2" t="s">
        <v>10</v>
      </c>
      <c r="D227" s="2" t="s">
        <v>87</v>
      </c>
      <c r="E227" s="2" t="s">
        <v>18</v>
      </c>
      <c r="F227" s="2" t="s">
        <v>92</v>
      </c>
      <c r="G227" s="8" t="str">
        <f>IF(ISNA(VLOOKUP(B227&amp;"|"&amp;C227&amp;"|"&amp;D227&amp;"|"&amp;E227,QuestionTriggers!A:F,6,FALSE)),"","---&gt;")</f>
        <v/>
      </c>
      <c r="H227" s="2" t="s">
        <v>88</v>
      </c>
      <c r="I227" s="2" t="s">
        <v>89</v>
      </c>
      <c r="J227" s="2" t="s">
        <v>90</v>
      </c>
      <c r="K227" s="2"/>
    </row>
    <row r="228" spans="1:11" ht="26.4" hidden="1" x14ac:dyDescent="0.3">
      <c r="A228" t="str">
        <f t="shared" si="3"/>
        <v>Castle Britannia|Joshua|LOOK</v>
      </c>
      <c r="B228" s="2" t="s">
        <v>9</v>
      </c>
      <c r="C228" s="2" t="s">
        <v>10</v>
      </c>
      <c r="D228" s="2" t="s">
        <v>87</v>
      </c>
      <c r="E228" s="2" t="s">
        <v>16</v>
      </c>
      <c r="F228" s="2" t="s">
        <v>91</v>
      </c>
      <c r="G228" s="8" t="str">
        <f>IF(ISNA(VLOOKUP(B228&amp;"|"&amp;C228&amp;"|"&amp;D228&amp;"|"&amp;E228,QuestionTriggers!A:F,6,FALSE)),"","---&gt;")</f>
        <v/>
      </c>
      <c r="H228" s="2" t="s">
        <v>88</v>
      </c>
      <c r="I228" s="2" t="s">
        <v>89</v>
      </c>
      <c r="J228" s="2" t="s">
        <v>90</v>
      </c>
      <c r="K228" s="2"/>
    </row>
    <row r="229" spans="1:11" ht="26.4" hidden="1" x14ac:dyDescent="0.3">
      <c r="A229" t="str">
        <f t="shared" si="3"/>
        <v>Castle Britannia|Joshua|NAME</v>
      </c>
      <c r="B229" s="2" t="s">
        <v>9</v>
      </c>
      <c r="C229" s="2" t="s">
        <v>10</v>
      </c>
      <c r="D229" s="2" t="s">
        <v>87</v>
      </c>
      <c r="E229" s="2" t="s">
        <v>12</v>
      </c>
      <c r="F229" s="2" t="s">
        <v>87</v>
      </c>
      <c r="G229" s="8" t="str">
        <f>IF(ISNA(VLOOKUP(B229&amp;"|"&amp;C229&amp;"|"&amp;D229&amp;"|"&amp;E229,QuestionTriggers!A:F,6,FALSE)),"","---&gt;")</f>
        <v/>
      </c>
      <c r="H229" s="2" t="s">
        <v>88</v>
      </c>
      <c r="I229" s="2" t="s">
        <v>89</v>
      </c>
      <c r="J229" s="2" t="s">
        <v>90</v>
      </c>
      <c r="K229" s="2"/>
    </row>
    <row r="230" spans="1:11" ht="26.4" hidden="1" x14ac:dyDescent="0.3">
      <c r="A230" t="str">
        <f t="shared" si="3"/>
        <v>Castle Britannia|Joshua|RIDD</v>
      </c>
      <c r="B230" s="2" t="s">
        <v>9</v>
      </c>
      <c r="C230" s="2" t="s">
        <v>10</v>
      </c>
      <c r="D230" s="2" t="s">
        <v>87</v>
      </c>
      <c r="E230" s="2" t="s">
        <v>96</v>
      </c>
      <c r="F230" s="2" t="s">
        <v>97</v>
      </c>
      <c r="G230" s="8" t="str">
        <f>IF(ISNA(VLOOKUP(B230&amp;"|"&amp;C230&amp;"|"&amp;D230&amp;"|"&amp;E230,QuestionTriggers!A:F,6,FALSE)),"","---&gt;")</f>
        <v>---&gt;</v>
      </c>
      <c r="H230" s="2" t="s">
        <v>88</v>
      </c>
      <c r="I230" s="2" t="s">
        <v>89</v>
      </c>
      <c r="J230" s="2" t="s">
        <v>90</v>
      </c>
      <c r="K230" s="2"/>
    </row>
    <row r="231" spans="1:11" hidden="1" x14ac:dyDescent="0.3">
      <c r="A231" t="str">
        <f t="shared" si="3"/>
        <v>Castle Britannia|Juliet|HEALTH</v>
      </c>
      <c r="B231" s="2" t="s">
        <v>9</v>
      </c>
      <c r="C231" s="2" t="s">
        <v>10</v>
      </c>
      <c r="D231" s="2" t="s">
        <v>98</v>
      </c>
      <c r="E231" s="2" t="s">
        <v>20</v>
      </c>
      <c r="F231" s="2" t="s">
        <v>104</v>
      </c>
      <c r="G231" s="8" t="str">
        <f>IF(ISNA(VLOOKUP(B231&amp;"|"&amp;C231&amp;"|"&amp;D231&amp;"|"&amp;E231,QuestionTriggers!A:F,6,FALSE)),"","---&gt;")</f>
        <v/>
      </c>
      <c r="H231" s="2" t="s">
        <v>99</v>
      </c>
      <c r="I231" s="2" t="s">
        <v>100</v>
      </c>
      <c r="J231" s="2" t="s">
        <v>101</v>
      </c>
      <c r="K231" s="2"/>
    </row>
    <row r="232" spans="1:11" hidden="1" x14ac:dyDescent="0.3">
      <c r="A232" t="str">
        <f t="shared" si="3"/>
        <v>Castle Britannia|Juliet|HELP</v>
      </c>
      <c r="B232" s="2" t="s">
        <v>9</v>
      </c>
      <c r="C232" s="2" t="s">
        <v>10</v>
      </c>
      <c r="D232" s="2" t="s">
        <v>98</v>
      </c>
      <c r="E232" s="2" t="s">
        <v>94</v>
      </c>
      <c r="F232" s="2" t="s">
        <v>105</v>
      </c>
      <c r="G232" s="8" t="str">
        <f>IF(ISNA(VLOOKUP(B232&amp;"|"&amp;C232&amp;"|"&amp;D232&amp;"|"&amp;E232,QuestionTriggers!A:F,6,FALSE)),"","---&gt;")</f>
        <v/>
      </c>
      <c r="H232" s="2" t="s">
        <v>99</v>
      </c>
      <c r="I232" s="2" t="s">
        <v>100</v>
      </c>
      <c r="J232" s="2" t="s">
        <v>101</v>
      </c>
      <c r="K232" s="2"/>
    </row>
    <row r="233" spans="1:11" hidden="1" x14ac:dyDescent="0.3">
      <c r="A233" t="str">
        <f t="shared" si="3"/>
        <v>Castle Britannia|Juliet|JOB</v>
      </c>
      <c r="B233" s="2" t="s">
        <v>9</v>
      </c>
      <c r="C233" s="2" t="s">
        <v>10</v>
      </c>
      <c r="D233" s="2" t="s">
        <v>98</v>
      </c>
      <c r="E233" s="2" t="s">
        <v>18</v>
      </c>
      <c r="F233" s="2" t="s">
        <v>103</v>
      </c>
      <c r="G233" s="8" t="str">
        <f>IF(ISNA(VLOOKUP(B233&amp;"|"&amp;C233&amp;"|"&amp;D233&amp;"|"&amp;E233,QuestionTriggers!A:F,6,FALSE)),"","---&gt;")</f>
        <v/>
      </c>
      <c r="H233" s="2" t="s">
        <v>99</v>
      </c>
      <c r="I233" s="2" t="s">
        <v>100</v>
      </c>
      <c r="J233" s="2" t="s">
        <v>101</v>
      </c>
      <c r="K233" s="2"/>
    </row>
    <row r="234" spans="1:11" hidden="1" x14ac:dyDescent="0.3">
      <c r="A234" t="str">
        <f t="shared" si="3"/>
        <v>Castle Britannia|Juliet|LOOK</v>
      </c>
      <c r="B234" s="2" t="s">
        <v>9</v>
      </c>
      <c r="C234" s="2" t="s">
        <v>10</v>
      </c>
      <c r="D234" s="2" t="s">
        <v>98</v>
      </c>
      <c r="E234" s="2" t="s">
        <v>16</v>
      </c>
      <c r="F234" s="2" t="s">
        <v>102</v>
      </c>
      <c r="G234" s="8" t="str">
        <f>IF(ISNA(VLOOKUP(B234&amp;"|"&amp;C234&amp;"|"&amp;D234&amp;"|"&amp;E234,QuestionTriggers!A:F,6,FALSE)),"","---&gt;")</f>
        <v/>
      </c>
      <c r="H234" s="2" t="s">
        <v>99</v>
      </c>
      <c r="I234" s="2" t="s">
        <v>100</v>
      </c>
      <c r="J234" s="2" t="s">
        <v>101</v>
      </c>
      <c r="K234" s="2"/>
    </row>
    <row r="235" spans="1:11" hidden="1" x14ac:dyDescent="0.3">
      <c r="A235" t="str">
        <f t="shared" si="3"/>
        <v>Castle Britannia|Juliet|NAME</v>
      </c>
      <c r="B235" s="2" t="s">
        <v>9</v>
      </c>
      <c r="C235" s="2" t="s">
        <v>10</v>
      </c>
      <c r="D235" s="2" t="s">
        <v>98</v>
      </c>
      <c r="E235" s="2" t="s">
        <v>12</v>
      </c>
      <c r="F235" s="2" t="s">
        <v>98</v>
      </c>
      <c r="G235" s="8" t="str">
        <f>IF(ISNA(VLOOKUP(B235&amp;"|"&amp;C235&amp;"|"&amp;D235&amp;"|"&amp;E235,QuestionTriggers!A:F,6,FALSE)),"","---&gt;")</f>
        <v/>
      </c>
      <c r="H235" s="2" t="s">
        <v>99</v>
      </c>
      <c r="I235" s="2" t="s">
        <v>100</v>
      </c>
      <c r="J235" s="2" t="s">
        <v>101</v>
      </c>
      <c r="K235" s="2"/>
    </row>
    <row r="236" spans="1:11" hidden="1" x14ac:dyDescent="0.3">
      <c r="A236" t="str">
        <f t="shared" si="3"/>
        <v>Castle Britannia|Juliet|ONE</v>
      </c>
      <c r="B236" s="2" t="s">
        <v>9</v>
      </c>
      <c r="C236" s="2" t="s">
        <v>10</v>
      </c>
      <c r="D236" s="2" t="s">
        <v>98</v>
      </c>
      <c r="E236" s="2" t="s">
        <v>106</v>
      </c>
      <c r="F236" s="2" t="s">
        <v>107</v>
      </c>
      <c r="G236" s="8" t="str">
        <f>IF(ISNA(VLOOKUP(B236&amp;"|"&amp;C236&amp;"|"&amp;D236&amp;"|"&amp;E236,QuestionTriggers!A:F,6,FALSE)),"","---&gt;")</f>
        <v>---&gt;</v>
      </c>
      <c r="H236" s="2" t="s">
        <v>99</v>
      </c>
      <c r="I236" s="2" t="s">
        <v>100</v>
      </c>
      <c r="J236" s="2" t="s">
        <v>101</v>
      </c>
      <c r="K236" s="2"/>
    </row>
    <row r="237" spans="1:11" hidden="1" x14ac:dyDescent="0.3">
      <c r="A237" t="str">
        <f t="shared" si="3"/>
        <v>Castle Britannia|Landri|HEALTH</v>
      </c>
      <c r="B237" s="2" t="s">
        <v>9</v>
      </c>
      <c r="C237" s="2" t="s">
        <v>10</v>
      </c>
      <c r="D237" s="2" t="s">
        <v>108</v>
      </c>
      <c r="E237" s="2" t="s">
        <v>20</v>
      </c>
      <c r="F237" s="2" t="s">
        <v>114</v>
      </c>
      <c r="G237" s="8" t="str">
        <f>IF(ISNA(VLOOKUP(B237&amp;"|"&amp;C237&amp;"|"&amp;D237&amp;"|"&amp;E237,QuestionTriggers!A:F,6,FALSE)),"","---&gt;")</f>
        <v/>
      </c>
      <c r="H237" s="2" t="s">
        <v>109</v>
      </c>
      <c r="I237" s="2" t="s">
        <v>110</v>
      </c>
      <c r="J237" s="2" t="s">
        <v>111</v>
      </c>
      <c r="K237" s="2"/>
    </row>
    <row r="238" spans="1:11" hidden="1" x14ac:dyDescent="0.3">
      <c r="A238" t="str">
        <f t="shared" si="3"/>
        <v>Castle Britannia|Landri|JOB</v>
      </c>
      <c r="B238" s="2" t="s">
        <v>9</v>
      </c>
      <c r="C238" s="2" t="s">
        <v>10</v>
      </c>
      <c r="D238" s="2" t="s">
        <v>108</v>
      </c>
      <c r="E238" s="2" t="s">
        <v>18</v>
      </c>
      <c r="F238" s="2" t="s">
        <v>113</v>
      </c>
      <c r="G238" s="8" t="str">
        <f>IF(ISNA(VLOOKUP(B238&amp;"|"&amp;C238&amp;"|"&amp;D238&amp;"|"&amp;E238,QuestionTriggers!A:F,6,FALSE)),"","---&gt;")</f>
        <v/>
      </c>
      <c r="H238" s="2" t="s">
        <v>109</v>
      </c>
      <c r="I238" s="2" t="s">
        <v>110</v>
      </c>
      <c r="J238" s="2" t="s">
        <v>111</v>
      </c>
      <c r="K238" s="2"/>
    </row>
    <row r="239" spans="1:11" hidden="1" x14ac:dyDescent="0.3">
      <c r="A239" t="str">
        <f t="shared" si="3"/>
        <v>Castle Britannia|Landri|LOOK</v>
      </c>
      <c r="B239" s="2" t="s">
        <v>9</v>
      </c>
      <c r="C239" s="2" t="s">
        <v>10</v>
      </c>
      <c r="D239" s="2" t="s">
        <v>108</v>
      </c>
      <c r="E239" s="2" t="s">
        <v>16</v>
      </c>
      <c r="F239" s="2" t="s">
        <v>112</v>
      </c>
      <c r="G239" s="8" t="str">
        <f>IF(ISNA(VLOOKUP(B239&amp;"|"&amp;C239&amp;"|"&amp;D239&amp;"|"&amp;E239,QuestionTriggers!A:F,6,FALSE)),"","---&gt;")</f>
        <v/>
      </c>
      <c r="H239" s="2" t="s">
        <v>109</v>
      </c>
      <c r="I239" s="2" t="s">
        <v>110</v>
      </c>
      <c r="J239" s="2" t="s">
        <v>111</v>
      </c>
      <c r="K239" s="2"/>
    </row>
    <row r="240" spans="1:11" hidden="1" x14ac:dyDescent="0.3">
      <c r="A240" t="str">
        <f t="shared" si="3"/>
        <v>Castle Britannia|Landri|NAME</v>
      </c>
      <c r="B240" s="2" t="s">
        <v>9</v>
      </c>
      <c r="C240" s="2" t="s">
        <v>10</v>
      </c>
      <c r="D240" s="2" t="s">
        <v>108</v>
      </c>
      <c r="E240" s="2" t="s">
        <v>12</v>
      </c>
      <c r="F240" s="2" t="s">
        <v>108</v>
      </c>
      <c r="G240" s="8" t="str">
        <f>IF(ISNA(VLOOKUP(B240&amp;"|"&amp;C240&amp;"|"&amp;D240&amp;"|"&amp;E240,QuestionTriggers!A:F,6,FALSE)),"","---&gt;")</f>
        <v/>
      </c>
      <c r="H240" s="2" t="s">
        <v>109</v>
      </c>
      <c r="I240" s="2" t="s">
        <v>110</v>
      </c>
      <c r="J240" s="2" t="s">
        <v>111</v>
      </c>
      <c r="K240" s="2"/>
    </row>
    <row r="241" spans="1:11" hidden="1" x14ac:dyDescent="0.3">
      <c r="A241" t="str">
        <f t="shared" si="3"/>
        <v>Castle Britannia|Landri|PERI</v>
      </c>
      <c r="B241" s="2" t="s">
        <v>9</v>
      </c>
      <c r="C241" s="2" t="s">
        <v>10</v>
      </c>
      <c r="D241" s="2" t="s">
        <v>108</v>
      </c>
      <c r="E241" s="2" t="s">
        <v>117</v>
      </c>
      <c r="F241" s="2" t="s">
        <v>118</v>
      </c>
      <c r="G241" s="8" t="str">
        <f>IF(ISNA(VLOOKUP(B241&amp;"|"&amp;C241&amp;"|"&amp;D241&amp;"|"&amp;E241,QuestionTriggers!A:F,6,FALSE)),"","---&gt;")</f>
        <v>---&gt;</v>
      </c>
      <c r="H241" s="2" t="s">
        <v>109</v>
      </c>
      <c r="I241" s="2" t="s">
        <v>110</v>
      </c>
      <c r="J241" s="2" t="s">
        <v>111</v>
      </c>
      <c r="K241" s="2"/>
    </row>
    <row r="242" spans="1:11" hidden="1" x14ac:dyDescent="0.3">
      <c r="A242" t="str">
        <f t="shared" si="3"/>
        <v>Castle Britannia|Landri|WARN</v>
      </c>
      <c r="B242" s="2" t="s">
        <v>9</v>
      </c>
      <c r="C242" s="2" t="s">
        <v>10</v>
      </c>
      <c r="D242" s="2" t="s">
        <v>108</v>
      </c>
      <c r="E242" s="2" t="s">
        <v>115</v>
      </c>
      <c r="F242" s="2" t="s">
        <v>116</v>
      </c>
      <c r="G242" s="8" t="str">
        <f>IF(ISNA(VLOOKUP(B242&amp;"|"&amp;C242&amp;"|"&amp;D242&amp;"|"&amp;E242,QuestionTriggers!A:F,6,FALSE)),"","---&gt;")</f>
        <v/>
      </c>
      <c r="H242" s="2" t="s">
        <v>109</v>
      </c>
      <c r="I242" s="2" t="s">
        <v>110</v>
      </c>
      <c r="J242" s="2" t="s">
        <v>111</v>
      </c>
      <c r="K242" s="2"/>
    </row>
    <row r="243" spans="1:11" hidden="1" x14ac:dyDescent="0.3">
      <c r="A243" t="str">
        <f t="shared" si="3"/>
        <v>Castle Britannia|Le Chef|COOK</v>
      </c>
      <c r="B243" s="2" t="s">
        <v>9</v>
      </c>
      <c r="C243" s="2" t="s">
        <v>10</v>
      </c>
      <c r="D243" s="2" t="s">
        <v>119</v>
      </c>
      <c r="E243" s="2" t="s">
        <v>128</v>
      </c>
      <c r="F243" s="2" t="s">
        <v>129</v>
      </c>
      <c r="G243" s="8" t="str">
        <f>IF(ISNA(VLOOKUP(B243&amp;"|"&amp;C243&amp;"|"&amp;D243&amp;"|"&amp;E243,QuestionTriggers!A:F,6,FALSE)),"","---&gt;")</f>
        <v>---&gt;</v>
      </c>
      <c r="H243" s="2" t="s">
        <v>120</v>
      </c>
      <c r="I243" s="2" t="s">
        <v>121</v>
      </c>
      <c r="J243" s="2" t="s">
        <v>122</v>
      </c>
      <c r="K243" s="2"/>
    </row>
    <row r="244" spans="1:11" hidden="1" x14ac:dyDescent="0.3">
      <c r="A244" t="str">
        <f t="shared" si="3"/>
        <v>Castle Britannia|Le Chef|FOOD</v>
      </c>
      <c r="B244" s="2" t="s">
        <v>9</v>
      </c>
      <c r="C244" s="2" t="s">
        <v>10</v>
      </c>
      <c r="D244" s="2" t="s">
        <v>119</v>
      </c>
      <c r="E244" s="2" t="s">
        <v>126</v>
      </c>
      <c r="F244" s="2" t="s">
        <v>127</v>
      </c>
      <c r="G244" s="8" t="str">
        <f>IF(ISNA(VLOOKUP(B244&amp;"|"&amp;C244&amp;"|"&amp;D244&amp;"|"&amp;E244,QuestionTriggers!A:F,6,FALSE)),"","---&gt;")</f>
        <v/>
      </c>
      <c r="H244" s="2" t="s">
        <v>120</v>
      </c>
      <c r="I244" s="2" t="s">
        <v>121</v>
      </c>
      <c r="J244" s="2" t="s">
        <v>122</v>
      </c>
      <c r="K244" s="2"/>
    </row>
    <row r="245" spans="1:11" hidden="1" x14ac:dyDescent="0.3">
      <c r="A245" t="str">
        <f t="shared" si="3"/>
        <v>Castle Britannia|Le Chef|HEALTH</v>
      </c>
      <c r="B245" s="2" t="s">
        <v>9</v>
      </c>
      <c r="C245" s="2" t="s">
        <v>10</v>
      </c>
      <c r="D245" s="2" t="s">
        <v>119</v>
      </c>
      <c r="E245" s="2" t="s">
        <v>20</v>
      </c>
      <c r="F245" s="2" t="s">
        <v>125</v>
      </c>
      <c r="G245" s="8" t="str">
        <f>IF(ISNA(VLOOKUP(B245&amp;"|"&amp;C245&amp;"|"&amp;D245&amp;"|"&amp;E245,QuestionTriggers!A:F,6,FALSE)),"","---&gt;")</f>
        <v/>
      </c>
      <c r="H245" s="2" t="s">
        <v>120</v>
      </c>
      <c r="I245" s="2" t="s">
        <v>121</v>
      </c>
      <c r="J245" s="2" t="s">
        <v>122</v>
      </c>
      <c r="K245" s="2"/>
    </row>
    <row r="246" spans="1:11" hidden="1" x14ac:dyDescent="0.3">
      <c r="A246" t="str">
        <f t="shared" si="3"/>
        <v>Castle Britannia|Le Chef|JOB</v>
      </c>
      <c r="B246" s="2" t="s">
        <v>9</v>
      </c>
      <c r="C246" s="2" t="s">
        <v>10</v>
      </c>
      <c r="D246" s="2" t="s">
        <v>119</v>
      </c>
      <c r="E246" s="2" t="s">
        <v>18</v>
      </c>
      <c r="F246" s="2" t="s">
        <v>124</v>
      </c>
      <c r="G246" s="8" t="str">
        <f>IF(ISNA(VLOOKUP(B246&amp;"|"&amp;C246&amp;"|"&amp;D246&amp;"|"&amp;E246,QuestionTriggers!A:F,6,FALSE)),"","---&gt;")</f>
        <v/>
      </c>
      <c r="H246" s="2" t="s">
        <v>120</v>
      </c>
      <c r="I246" s="2" t="s">
        <v>121</v>
      </c>
      <c r="J246" s="2" t="s">
        <v>122</v>
      </c>
      <c r="K246" s="2"/>
    </row>
    <row r="247" spans="1:11" hidden="1" x14ac:dyDescent="0.3">
      <c r="A247" t="str">
        <f t="shared" si="3"/>
        <v>Castle Britannia|Le Chef|LOOK</v>
      </c>
      <c r="B247" s="2" t="s">
        <v>9</v>
      </c>
      <c r="C247" s="2" t="s">
        <v>10</v>
      </c>
      <c r="D247" s="2" t="s">
        <v>119</v>
      </c>
      <c r="E247" s="2" t="s">
        <v>16</v>
      </c>
      <c r="F247" s="2" t="s">
        <v>123</v>
      </c>
      <c r="G247" s="8" t="str">
        <f>IF(ISNA(VLOOKUP(B247&amp;"|"&amp;C247&amp;"|"&amp;D247&amp;"|"&amp;E247,QuestionTriggers!A:F,6,FALSE)),"","---&gt;")</f>
        <v/>
      </c>
      <c r="H247" s="2" t="s">
        <v>120</v>
      </c>
      <c r="I247" s="2" t="s">
        <v>121</v>
      </c>
      <c r="J247" s="2" t="s">
        <v>122</v>
      </c>
      <c r="K247" s="2"/>
    </row>
    <row r="248" spans="1:11" hidden="1" x14ac:dyDescent="0.3">
      <c r="A248" t="str">
        <f t="shared" si="3"/>
        <v>Castle Britannia|Le Chef|NAME</v>
      </c>
      <c r="B248" s="2" t="s">
        <v>9</v>
      </c>
      <c r="C248" s="2" t="s">
        <v>10</v>
      </c>
      <c r="D248" s="2" t="s">
        <v>119</v>
      </c>
      <c r="E248" s="2" t="s">
        <v>12</v>
      </c>
      <c r="F248" s="2" t="s">
        <v>119</v>
      </c>
      <c r="G248" s="8" t="str">
        <f>IF(ISNA(VLOOKUP(B248&amp;"|"&amp;C248&amp;"|"&amp;D248&amp;"|"&amp;E248,QuestionTriggers!A:F,6,FALSE)),"","---&gt;")</f>
        <v/>
      </c>
      <c r="H248" s="2" t="s">
        <v>120</v>
      </c>
      <c r="I248" s="2" t="s">
        <v>121</v>
      </c>
      <c r="J248" s="2" t="s">
        <v>122</v>
      </c>
      <c r="K248" s="2"/>
    </row>
    <row r="249" spans="1:11" ht="52.8" hidden="1" x14ac:dyDescent="0.3">
      <c r="A249" t="str">
        <f t="shared" si="3"/>
        <v>Castle Britannia|Lord British|ABYS</v>
      </c>
      <c r="B249" s="2" t="s">
        <v>9</v>
      </c>
      <c r="C249" s="2" t="s">
        <v>10</v>
      </c>
      <c r="D249" s="2" t="s">
        <v>203</v>
      </c>
      <c r="E249" s="2" t="s">
        <v>265</v>
      </c>
      <c r="F249" s="2" t="s">
        <v>266</v>
      </c>
      <c r="G249" s="8" t="str">
        <f>IF(ISNA(VLOOKUP(B249&amp;"|"&amp;C249&amp;"|"&amp;D249&amp;"|"&amp;E249,QuestionTriggers!A:F,6,FALSE)),"","---&gt;")</f>
        <v/>
      </c>
      <c r="H249" s="2" t="s">
        <v>205</v>
      </c>
      <c r="I249" s="2" t="s">
        <v>111</v>
      </c>
      <c r="J249" s="2" t="s">
        <v>206</v>
      </c>
      <c r="K249" s="2"/>
    </row>
    <row r="250" spans="1:11" ht="26.4" hidden="1" x14ac:dyDescent="0.3">
      <c r="A250" t="str">
        <f t="shared" si="3"/>
        <v>Castle Britannia|Lord British|ANKH</v>
      </c>
      <c r="B250" s="2" t="s">
        <v>9</v>
      </c>
      <c r="C250" s="2" t="s">
        <v>10</v>
      </c>
      <c r="D250" s="2" t="s">
        <v>203</v>
      </c>
      <c r="E250" s="2" t="s">
        <v>263</v>
      </c>
      <c r="F250" s="2" t="s">
        <v>264</v>
      </c>
      <c r="G250" s="8" t="str">
        <f>IF(ISNA(VLOOKUP(B250&amp;"|"&amp;C250&amp;"|"&amp;D250&amp;"|"&amp;E250,QuestionTriggers!A:F,6,FALSE)),"","---&gt;")</f>
        <v/>
      </c>
      <c r="H250" s="2" t="s">
        <v>205</v>
      </c>
      <c r="I250" s="2" t="s">
        <v>111</v>
      </c>
      <c r="J250" s="2" t="s">
        <v>206</v>
      </c>
      <c r="K250" s="2"/>
    </row>
    <row r="251" spans="1:11" ht="39.6" hidden="1" x14ac:dyDescent="0.3">
      <c r="A251" t="str">
        <f t="shared" si="3"/>
        <v>Castle Britannia|Lord British|AVAT</v>
      </c>
      <c r="B251" s="2" t="s">
        <v>9</v>
      </c>
      <c r="C251" s="2" t="s">
        <v>10</v>
      </c>
      <c r="D251" s="2" t="s">
        <v>203</v>
      </c>
      <c r="E251" s="2" t="s">
        <v>257</v>
      </c>
      <c r="F251" s="2" t="s">
        <v>258</v>
      </c>
      <c r="G251" s="8" t="str">
        <f>IF(ISNA(VLOOKUP(B251&amp;"|"&amp;C251&amp;"|"&amp;D251&amp;"|"&amp;E251,QuestionTriggers!A:F,6,FALSE)),"","---&gt;")</f>
        <v/>
      </c>
      <c r="H251" s="2" t="s">
        <v>205</v>
      </c>
      <c r="I251" s="2" t="s">
        <v>111</v>
      </c>
      <c r="J251" s="2" t="s">
        <v>206</v>
      </c>
      <c r="K251" s="2"/>
    </row>
    <row r="252" spans="1:11" ht="66" hidden="1" x14ac:dyDescent="0.3">
      <c r="A252" t="str">
        <f t="shared" si="3"/>
        <v>Castle Britannia|Lord British|BRIT</v>
      </c>
      <c r="B252" s="2" t="s">
        <v>9</v>
      </c>
      <c r="C252" s="2" t="s">
        <v>10</v>
      </c>
      <c r="D252" s="2" t="s">
        <v>203</v>
      </c>
      <c r="E252" s="2" t="s">
        <v>261</v>
      </c>
      <c r="F252" s="2" t="s">
        <v>262</v>
      </c>
      <c r="G252" s="8" t="str">
        <f>IF(ISNA(VLOOKUP(B252&amp;"|"&amp;C252&amp;"|"&amp;D252&amp;"|"&amp;E252,QuestionTriggers!A:F,6,FALSE)),"","---&gt;")</f>
        <v/>
      </c>
      <c r="H252" s="2" t="s">
        <v>205</v>
      </c>
      <c r="I252" s="2" t="s">
        <v>111</v>
      </c>
      <c r="J252" s="2" t="s">
        <v>206</v>
      </c>
      <c r="K252" s="2"/>
    </row>
    <row r="253" spans="1:11" ht="26.4" hidden="1" x14ac:dyDescent="0.3">
      <c r="A253" t="str">
        <f t="shared" si="3"/>
        <v>Castle Britannia|Lord British|BYE</v>
      </c>
      <c r="B253" s="2" t="s">
        <v>9</v>
      </c>
      <c r="C253" s="2" t="s">
        <v>10</v>
      </c>
      <c r="D253" s="2" t="s">
        <v>203</v>
      </c>
      <c r="E253" s="2" t="s">
        <v>275</v>
      </c>
      <c r="F253" s="2" t="s">
        <v>276</v>
      </c>
      <c r="G253" s="8" t="str">
        <f>IF(ISNA(VLOOKUP(B253&amp;"|"&amp;C253&amp;"|"&amp;D253&amp;"|"&amp;E253,QuestionTriggers!A:F,6,FALSE)),"","---&gt;")</f>
        <v/>
      </c>
      <c r="H253" s="2" t="s">
        <v>205</v>
      </c>
      <c r="I253" s="2" t="s">
        <v>111</v>
      </c>
      <c r="J253" s="2" t="s">
        <v>206</v>
      </c>
      <c r="K253" s="2"/>
    </row>
    <row r="254" spans="1:11" ht="26.4" hidden="1" x14ac:dyDescent="0.3">
      <c r="A254" t="str">
        <f t="shared" si="3"/>
        <v>Castle Britannia|Lord British|COMP</v>
      </c>
      <c r="B254" s="2" t="s">
        <v>9</v>
      </c>
      <c r="C254" s="2" t="s">
        <v>10</v>
      </c>
      <c r="D254" s="2" t="s">
        <v>203</v>
      </c>
      <c r="E254" s="2" t="s">
        <v>241</v>
      </c>
      <c r="F254" s="2" t="s">
        <v>242</v>
      </c>
      <c r="G254" s="8" t="str">
        <f>IF(ISNA(VLOOKUP(B254&amp;"|"&amp;C254&amp;"|"&amp;D254&amp;"|"&amp;E254,QuestionTriggers!A:F,6,FALSE)),"","---&gt;")</f>
        <v/>
      </c>
      <c r="H254" s="2" t="s">
        <v>205</v>
      </c>
      <c r="I254" s="2" t="s">
        <v>111</v>
      </c>
      <c r="J254" s="2" t="s">
        <v>206</v>
      </c>
      <c r="K254" s="2"/>
    </row>
    <row r="255" spans="1:11" ht="26.4" hidden="1" x14ac:dyDescent="0.3">
      <c r="A255" t="str">
        <f t="shared" si="3"/>
        <v>Castle Britannia|Lord British|COUR</v>
      </c>
      <c r="B255" s="2" t="s">
        <v>9</v>
      </c>
      <c r="C255" s="2" t="s">
        <v>10</v>
      </c>
      <c r="D255" s="2" t="s">
        <v>203</v>
      </c>
      <c r="E255" s="2" t="s">
        <v>237</v>
      </c>
      <c r="F255" s="2" t="s">
        <v>238</v>
      </c>
      <c r="G255" s="8" t="str">
        <f>IF(ISNA(VLOOKUP(B255&amp;"|"&amp;C255&amp;"|"&amp;D255&amp;"|"&amp;E255,QuestionTriggers!A:F,6,FALSE)),"","---&gt;")</f>
        <v/>
      </c>
      <c r="H255" s="2" t="s">
        <v>205</v>
      </c>
      <c r="I255" s="2" t="s">
        <v>111</v>
      </c>
      <c r="J255" s="2" t="s">
        <v>206</v>
      </c>
      <c r="K255" s="2"/>
    </row>
    <row r="256" spans="1:11" ht="26.4" hidden="1" x14ac:dyDescent="0.3">
      <c r="A256" t="str">
        <f t="shared" si="3"/>
        <v>Castle Britannia|Lord British|EXOD</v>
      </c>
      <c r="B256" s="2" t="s">
        <v>9</v>
      </c>
      <c r="C256" s="2" t="s">
        <v>10</v>
      </c>
      <c r="D256" s="2" t="s">
        <v>203</v>
      </c>
      <c r="E256" s="2" t="s">
        <v>271</v>
      </c>
      <c r="F256" s="2" t="s">
        <v>272</v>
      </c>
      <c r="G256" s="8" t="str">
        <f>IF(ISNA(VLOOKUP(B256&amp;"|"&amp;C256&amp;"|"&amp;D256&amp;"|"&amp;E256,QuestionTriggers!A:F,6,FALSE)),"","---&gt;")</f>
        <v/>
      </c>
      <c r="H256" s="2" t="s">
        <v>205</v>
      </c>
      <c r="I256" s="2" t="s">
        <v>111</v>
      </c>
      <c r="J256" s="2" t="s">
        <v>206</v>
      </c>
      <c r="K256" s="2"/>
    </row>
    <row r="257" spans="1:11" ht="79.2" hidden="1" x14ac:dyDescent="0.3">
      <c r="A257" t="str">
        <f t="shared" si="3"/>
        <v>Castle Britannia|Lord British|first time</v>
      </c>
      <c r="B257" s="2" t="s">
        <v>9</v>
      </c>
      <c r="C257" s="2" t="s">
        <v>10</v>
      </c>
      <c r="D257" s="2" t="s">
        <v>203</v>
      </c>
      <c r="E257" s="2" t="s">
        <v>207</v>
      </c>
      <c r="F257" s="2" t="s">
        <v>208</v>
      </c>
      <c r="G257" s="8" t="str">
        <f>IF(ISNA(VLOOKUP(B257&amp;"|"&amp;C257&amp;"|"&amp;D257&amp;"|"&amp;E257,QuestionTriggers!A:F,6,FALSE)),"","---&gt;")</f>
        <v/>
      </c>
      <c r="H257" s="2" t="s">
        <v>205</v>
      </c>
      <c r="I257" s="2" t="s">
        <v>111</v>
      </c>
      <c r="J257" s="2" t="s">
        <v>206</v>
      </c>
      <c r="K257" s="2"/>
    </row>
    <row r="258" spans="1:11" ht="26.4" hidden="1" x14ac:dyDescent="0.3">
      <c r="A258" t="str">
        <f t="shared" si="3"/>
        <v>Castle Britannia|Lord British|HEAL</v>
      </c>
      <c r="B258" s="2" t="s">
        <v>9</v>
      </c>
      <c r="C258" s="2" t="s">
        <v>10</v>
      </c>
      <c r="D258" s="2" t="s">
        <v>203</v>
      </c>
      <c r="E258" s="2" t="s">
        <v>213</v>
      </c>
      <c r="F258" s="2" t="s">
        <v>214</v>
      </c>
      <c r="G258" s="8" t="str">
        <f>IF(ISNA(VLOOKUP(B258&amp;"|"&amp;C258&amp;"|"&amp;D258&amp;"|"&amp;E258,QuestionTriggers!A:F,6,FALSE)),"","---&gt;")</f>
        <v>---&gt;</v>
      </c>
      <c r="H258" s="2" t="s">
        <v>205</v>
      </c>
      <c r="I258" s="2" t="s">
        <v>111</v>
      </c>
      <c r="J258" s="2" t="s">
        <v>206</v>
      </c>
      <c r="K258" s="2"/>
    </row>
    <row r="259" spans="1:11" ht="52.8" hidden="1" x14ac:dyDescent="0.3">
      <c r="A259" t="str">
        <f t="shared" ref="A259:A322" si="4">C259&amp;"|"&amp;D259&amp;"|"&amp;E259</f>
        <v>Castle Britannia|Lord British|HELP(1)</v>
      </c>
      <c r="B259" s="2" t="s">
        <v>9</v>
      </c>
      <c r="C259" s="2" t="s">
        <v>10</v>
      </c>
      <c r="D259" s="2" t="s">
        <v>203</v>
      </c>
      <c r="E259" s="2" t="s">
        <v>215</v>
      </c>
      <c r="F259" s="2" t="s">
        <v>216</v>
      </c>
      <c r="G259" s="8" t="str">
        <f>IF(ISNA(VLOOKUP(B259&amp;"|"&amp;C259&amp;"|"&amp;D259&amp;"|"&amp;E259,QuestionTriggers!A:F,6,FALSE)),"","---&gt;")</f>
        <v/>
      </c>
      <c r="H259" s="2" t="s">
        <v>205</v>
      </c>
      <c r="I259" s="2" t="s">
        <v>111</v>
      </c>
      <c r="J259" s="2" t="s">
        <v>206</v>
      </c>
      <c r="K259" s="2"/>
    </row>
    <row r="260" spans="1:11" ht="39.6" hidden="1" x14ac:dyDescent="0.3">
      <c r="A260" t="str">
        <f t="shared" si="4"/>
        <v>Castle Britannia|Lord British|HELP(2)</v>
      </c>
      <c r="B260" s="2" t="s">
        <v>9</v>
      </c>
      <c r="C260" s="2" t="s">
        <v>10</v>
      </c>
      <c r="D260" s="2" t="s">
        <v>203</v>
      </c>
      <c r="E260" s="2" t="s">
        <v>217</v>
      </c>
      <c r="F260" s="2" t="s">
        <v>218</v>
      </c>
      <c r="G260" s="8" t="str">
        <f>IF(ISNA(VLOOKUP(B260&amp;"|"&amp;C260&amp;"|"&amp;D260&amp;"|"&amp;E260,QuestionTriggers!A:F,6,FALSE)),"","---&gt;")</f>
        <v/>
      </c>
      <c r="H260" s="2" t="s">
        <v>205</v>
      </c>
      <c r="I260" s="2" t="s">
        <v>111</v>
      </c>
      <c r="J260" s="2" t="s">
        <v>206</v>
      </c>
      <c r="K260" s="2"/>
    </row>
    <row r="261" spans="1:11" ht="52.8" hidden="1" x14ac:dyDescent="0.3">
      <c r="A261" t="str">
        <f t="shared" si="4"/>
        <v>Castle Britannia|Lord British|HELP(3)</v>
      </c>
      <c r="B261" s="2" t="s">
        <v>9</v>
      </c>
      <c r="C261" s="2" t="s">
        <v>10</v>
      </c>
      <c r="D261" s="2" t="s">
        <v>203</v>
      </c>
      <c r="E261" s="2" t="s">
        <v>219</v>
      </c>
      <c r="F261" s="2" t="s">
        <v>220</v>
      </c>
      <c r="G261" s="8" t="str">
        <f>IF(ISNA(VLOOKUP(B261&amp;"|"&amp;C261&amp;"|"&amp;D261&amp;"|"&amp;E261,QuestionTriggers!A:F,6,FALSE)),"","---&gt;")</f>
        <v/>
      </c>
      <c r="H261" s="2" t="s">
        <v>205</v>
      </c>
      <c r="I261" s="2" t="s">
        <v>111</v>
      </c>
      <c r="J261" s="2" t="s">
        <v>206</v>
      </c>
      <c r="K261" s="2"/>
    </row>
    <row r="262" spans="1:11" ht="79.2" hidden="1" x14ac:dyDescent="0.3">
      <c r="A262" t="str">
        <f t="shared" si="4"/>
        <v>Castle Britannia|Lord British|HELP(4)</v>
      </c>
      <c r="B262" s="2" t="s">
        <v>9</v>
      </c>
      <c r="C262" s="2" t="s">
        <v>10</v>
      </c>
      <c r="D262" s="2" t="s">
        <v>203</v>
      </c>
      <c r="E262" s="2" t="s">
        <v>221</v>
      </c>
      <c r="F262" s="2" t="s">
        <v>222</v>
      </c>
      <c r="G262" s="8" t="str">
        <f>IF(ISNA(VLOOKUP(B262&amp;"|"&amp;C262&amp;"|"&amp;D262&amp;"|"&amp;E262,QuestionTriggers!A:F,6,FALSE)),"","---&gt;")</f>
        <v/>
      </c>
      <c r="H262" s="2" t="s">
        <v>205</v>
      </c>
      <c r="I262" s="2" t="s">
        <v>111</v>
      </c>
      <c r="J262" s="2" t="s">
        <v>206</v>
      </c>
      <c r="K262" s="2"/>
    </row>
    <row r="263" spans="1:11" ht="39.6" hidden="1" x14ac:dyDescent="0.3">
      <c r="A263" t="str">
        <f t="shared" si="4"/>
        <v>Castle Britannia|Lord British|HELP(5)</v>
      </c>
      <c r="B263" s="2" t="s">
        <v>9</v>
      </c>
      <c r="C263" s="2" t="s">
        <v>10</v>
      </c>
      <c r="D263" s="2" t="s">
        <v>203</v>
      </c>
      <c r="E263" s="2" t="s">
        <v>223</v>
      </c>
      <c r="F263" s="2" t="s">
        <v>224</v>
      </c>
      <c r="G263" s="8" t="str">
        <f>IF(ISNA(VLOOKUP(B263&amp;"|"&amp;C263&amp;"|"&amp;D263&amp;"|"&amp;E263,QuestionTriggers!A:F,6,FALSE)),"","---&gt;")</f>
        <v/>
      </c>
      <c r="H263" s="2" t="s">
        <v>205</v>
      </c>
      <c r="I263" s="2" t="s">
        <v>111</v>
      </c>
      <c r="J263" s="2" t="s">
        <v>206</v>
      </c>
      <c r="K263" s="2"/>
    </row>
    <row r="264" spans="1:11" ht="26.4" hidden="1" x14ac:dyDescent="0.3">
      <c r="A264" t="str">
        <f t="shared" si="4"/>
        <v>Castle Britannia|Lord British|HELP(6)</v>
      </c>
      <c r="B264" s="2" t="s">
        <v>9</v>
      </c>
      <c r="C264" s="2" t="s">
        <v>10</v>
      </c>
      <c r="D264" s="2" t="s">
        <v>203</v>
      </c>
      <c r="E264" s="2" t="s">
        <v>225</v>
      </c>
      <c r="F264" s="2" t="s">
        <v>226</v>
      </c>
      <c r="G264" s="8" t="str">
        <f>IF(ISNA(VLOOKUP(B264&amp;"|"&amp;C264&amp;"|"&amp;D264&amp;"|"&amp;E264,QuestionTriggers!A:F,6,FALSE)),"","---&gt;")</f>
        <v/>
      </c>
      <c r="H264" s="2" t="s">
        <v>205</v>
      </c>
      <c r="I264" s="2" t="s">
        <v>111</v>
      </c>
      <c r="J264" s="2" t="s">
        <v>206</v>
      </c>
      <c r="K264" s="2"/>
    </row>
    <row r="265" spans="1:11" ht="26.4" hidden="1" x14ac:dyDescent="0.3">
      <c r="A265" t="str">
        <f t="shared" si="4"/>
        <v>Castle Britannia|Lord British|HELP(7)</v>
      </c>
      <c r="B265" s="2" t="s">
        <v>9</v>
      </c>
      <c r="C265" s="2" t="s">
        <v>10</v>
      </c>
      <c r="D265" s="2" t="s">
        <v>203</v>
      </c>
      <c r="E265" s="2" t="s">
        <v>227</v>
      </c>
      <c r="F265" s="2" t="s">
        <v>228</v>
      </c>
      <c r="G265" s="8" t="str">
        <f>IF(ISNA(VLOOKUP(B265&amp;"|"&amp;C265&amp;"|"&amp;D265&amp;"|"&amp;E265,QuestionTriggers!A:F,6,FALSE)),"","---&gt;")</f>
        <v/>
      </c>
      <c r="H265" s="2" t="s">
        <v>205</v>
      </c>
      <c r="I265" s="2" t="s">
        <v>111</v>
      </c>
      <c r="J265" s="2" t="s">
        <v>206</v>
      </c>
      <c r="K265" s="2"/>
    </row>
    <row r="266" spans="1:11" ht="39.6" hidden="1" x14ac:dyDescent="0.3">
      <c r="A266" t="str">
        <f t="shared" si="4"/>
        <v>Castle Britannia|Lord British|HELP(8)</v>
      </c>
      <c r="B266" s="2" t="s">
        <v>9</v>
      </c>
      <c r="C266" s="2" t="s">
        <v>10</v>
      </c>
      <c r="D266" s="2" t="s">
        <v>203</v>
      </c>
      <c r="E266" s="2" t="s">
        <v>229</v>
      </c>
      <c r="F266" s="2" t="s">
        <v>230</v>
      </c>
      <c r="G266" s="8" t="str">
        <f>IF(ISNA(VLOOKUP(B266&amp;"|"&amp;C266&amp;"|"&amp;D266&amp;"|"&amp;E266,QuestionTriggers!A:F,6,FALSE)),"","---&gt;")</f>
        <v/>
      </c>
      <c r="H266" s="2" t="s">
        <v>205</v>
      </c>
      <c r="I266" s="2" t="s">
        <v>111</v>
      </c>
      <c r="J266" s="2" t="s">
        <v>206</v>
      </c>
      <c r="K266" s="2"/>
    </row>
    <row r="267" spans="1:11" ht="52.8" hidden="1" x14ac:dyDescent="0.3">
      <c r="A267" t="str">
        <f t="shared" si="4"/>
        <v>Castle Britannia|Lord British|HELP(9)</v>
      </c>
      <c r="B267" s="2" t="s">
        <v>9</v>
      </c>
      <c r="C267" s="2" t="s">
        <v>10</v>
      </c>
      <c r="D267" s="2" t="s">
        <v>203</v>
      </c>
      <c r="E267" s="2" t="s">
        <v>231</v>
      </c>
      <c r="F267" s="2" t="s">
        <v>232</v>
      </c>
      <c r="G267" s="8" t="str">
        <f>IF(ISNA(VLOOKUP(B267&amp;"|"&amp;C267&amp;"|"&amp;D267&amp;"|"&amp;E267,QuestionTriggers!A:F,6,FALSE)),"","---&gt;")</f>
        <v/>
      </c>
      <c r="H267" s="2" t="s">
        <v>205</v>
      </c>
      <c r="I267" s="2" t="s">
        <v>111</v>
      </c>
      <c r="J267" s="2" t="s">
        <v>206</v>
      </c>
      <c r="K267" s="2"/>
    </row>
    <row r="268" spans="1:11" ht="26.4" hidden="1" x14ac:dyDescent="0.3">
      <c r="A268" t="str">
        <f t="shared" si="4"/>
        <v>Castle Britannia|Lord British|HONE</v>
      </c>
      <c r="B268" s="2" t="s">
        <v>9</v>
      </c>
      <c r="C268" s="2" t="s">
        <v>10</v>
      </c>
      <c r="D268" s="2" t="s">
        <v>203</v>
      </c>
      <c r="E268" s="2" t="s">
        <v>239</v>
      </c>
      <c r="F268" s="2" t="s">
        <v>240</v>
      </c>
      <c r="G268" s="8" t="str">
        <f>IF(ISNA(VLOOKUP(B268&amp;"|"&amp;C268&amp;"|"&amp;D268&amp;"|"&amp;E268,QuestionTriggers!A:F,6,FALSE)),"","---&gt;")</f>
        <v/>
      </c>
      <c r="H268" s="2" t="s">
        <v>205</v>
      </c>
      <c r="I268" s="2" t="s">
        <v>111</v>
      </c>
      <c r="J268" s="2" t="s">
        <v>206</v>
      </c>
      <c r="K268" s="2"/>
    </row>
    <row r="269" spans="1:11" ht="26.4" hidden="1" x14ac:dyDescent="0.3">
      <c r="A269" t="str">
        <f t="shared" si="4"/>
        <v>Castle Britannia|Lord British|HONO</v>
      </c>
      <c r="B269" s="2" t="s">
        <v>9</v>
      </c>
      <c r="C269" s="2" t="s">
        <v>10</v>
      </c>
      <c r="D269" s="2" t="s">
        <v>203</v>
      </c>
      <c r="E269" s="2" t="s">
        <v>249</v>
      </c>
      <c r="F269" s="2" t="s">
        <v>250</v>
      </c>
      <c r="G269" s="8" t="str">
        <f>IF(ISNA(VLOOKUP(B269&amp;"|"&amp;C269&amp;"|"&amp;D269&amp;"|"&amp;E269,QuestionTriggers!A:F,6,FALSE)),"","---&gt;")</f>
        <v/>
      </c>
      <c r="H269" s="2" t="s">
        <v>205</v>
      </c>
      <c r="I269" s="2" t="s">
        <v>111</v>
      </c>
      <c r="J269" s="2" t="s">
        <v>206</v>
      </c>
      <c r="K269" s="2"/>
    </row>
    <row r="270" spans="1:11" ht="39.6" hidden="1" x14ac:dyDescent="0.3">
      <c r="A270" t="str">
        <f t="shared" si="4"/>
        <v>Castle Britannia|Lord British|HUMI</v>
      </c>
      <c r="B270" s="2" t="s">
        <v>9</v>
      </c>
      <c r="C270" s="2" t="s">
        <v>10</v>
      </c>
      <c r="D270" s="2" t="s">
        <v>203</v>
      </c>
      <c r="E270" s="2" t="s">
        <v>253</v>
      </c>
      <c r="F270" s="2" t="s">
        <v>254</v>
      </c>
      <c r="G270" s="8" t="str">
        <f>IF(ISNA(VLOOKUP(B270&amp;"|"&amp;C270&amp;"|"&amp;D270&amp;"|"&amp;E270,QuestionTriggers!A:F,6,FALSE)),"","---&gt;")</f>
        <v/>
      </c>
      <c r="H270" s="2" t="s">
        <v>205</v>
      </c>
      <c r="I270" s="2" t="s">
        <v>111</v>
      </c>
      <c r="J270" s="2" t="s">
        <v>206</v>
      </c>
      <c r="K270" s="2"/>
    </row>
    <row r="271" spans="1:11" ht="26.4" hidden="1" x14ac:dyDescent="0.3">
      <c r="A271" t="str">
        <f t="shared" si="4"/>
        <v>Castle Britannia|Lord British|JOB</v>
      </c>
      <c r="B271" s="2" t="s">
        <v>9</v>
      </c>
      <c r="C271" s="2" t="s">
        <v>10</v>
      </c>
      <c r="D271" s="2" t="s">
        <v>203</v>
      </c>
      <c r="E271" s="2" t="s">
        <v>18</v>
      </c>
      <c r="F271" s="2" t="s">
        <v>212</v>
      </c>
      <c r="G271" s="8" t="str">
        <f>IF(ISNA(VLOOKUP(B271&amp;"|"&amp;C271&amp;"|"&amp;D271&amp;"|"&amp;E271,QuestionTriggers!A:F,6,FALSE)),"","---&gt;")</f>
        <v/>
      </c>
      <c r="H271" s="2" t="s">
        <v>205</v>
      </c>
      <c r="I271" s="2" t="s">
        <v>111</v>
      </c>
      <c r="J271" s="2" t="s">
        <v>206</v>
      </c>
      <c r="K271" s="2"/>
    </row>
    <row r="272" spans="1:11" ht="26.4" hidden="1" x14ac:dyDescent="0.3">
      <c r="A272" t="str">
        <f t="shared" si="4"/>
        <v>Castle Britannia|Lord British|JUST</v>
      </c>
      <c r="B272" s="2" t="s">
        <v>9</v>
      </c>
      <c r="C272" s="2" t="s">
        <v>10</v>
      </c>
      <c r="D272" s="2" t="s">
        <v>203</v>
      </c>
      <c r="E272" s="2" t="s">
        <v>245</v>
      </c>
      <c r="F272" s="2" t="s">
        <v>246</v>
      </c>
      <c r="G272" s="8" t="str">
        <f>IF(ISNA(VLOOKUP(B272&amp;"|"&amp;C272&amp;"|"&amp;D272&amp;"|"&amp;E272,QuestionTriggers!A:F,6,FALSE)),"","---&gt;")</f>
        <v/>
      </c>
      <c r="H272" s="2" t="s">
        <v>205</v>
      </c>
      <c r="I272" s="2" t="s">
        <v>111</v>
      </c>
      <c r="J272" s="2" t="s">
        <v>206</v>
      </c>
      <c r="K272" s="2"/>
    </row>
    <row r="273" spans="1:11" ht="26.4" hidden="1" x14ac:dyDescent="0.3">
      <c r="A273" t="str">
        <f t="shared" si="4"/>
        <v>Castle Britannia|Lord British|later times</v>
      </c>
      <c r="B273" s="2" t="s">
        <v>9</v>
      </c>
      <c r="C273" s="2" t="s">
        <v>10</v>
      </c>
      <c r="D273" s="2" t="s">
        <v>203</v>
      </c>
      <c r="E273" s="2" t="s">
        <v>209</v>
      </c>
      <c r="F273" s="2" t="s">
        <v>210</v>
      </c>
      <c r="G273" s="8" t="str">
        <f>IF(ISNA(VLOOKUP(B273&amp;"|"&amp;C273&amp;"|"&amp;D273&amp;"|"&amp;E273,QuestionTriggers!A:F,6,FALSE)),"","---&gt;")</f>
        <v/>
      </c>
      <c r="H273" s="2" t="s">
        <v>205</v>
      </c>
      <c r="I273" s="2" t="s">
        <v>111</v>
      </c>
      <c r="J273" s="2" t="s">
        <v>206</v>
      </c>
      <c r="K273" s="2"/>
    </row>
    <row r="274" spans="1:11" ht="26.4" hidden="1" x14ac:dyDescent="0.3">
      <c r="A274" t="str">
        <f t="shared" si="4"/>
        <v>Castle Britannia|Lord British|LOOK</v>
      </c>
      <c r="B274" s="2" t="s">
        <v>9</v>
      </c>
      <c r="C274" s="2" t="s">
        <v>10</v>
      </c>
      <c r="D274" s="2" t="s">
        <v>203</v>
      </c>
      <c r="E274" s="2" t="s">
        <v>16</v>
      </c>
      <c r="F274" s="2" t="s">
        <v>211</v>
      </c>
      <c r="G274" s="8" t="str">
        <f>IF(ISNA(VLOOKUP(B274&amp;"|"&amp;C274&amp;"|"&amp;D274&amp;"|"&amp;E274,QuestionTriggers!A:F,6,FALSE)),"","---&gt;")</f>
        <v/>
      </c>
      <c r="H274" s="2" t="s">
        <v>205</v>
      </c>
      <c r="I274" s="2" t="s">
        <v>111</v>
      </c>
      <c r="J274" s="2" t="s">
        <v>206</v>
      </c>
      <c r="K274" s="2"/>
    </row>
    <row r="275" spans="1:11" ht="26.4" hidden="1" x14ac:dyDescent="0.3">
      <c r="A275" t="str">
        <f t="shared" si="4"/>
        <v>Castle Britannia|Lord British|LOVE</v>
      </c>
      <c r="B275" s="2" t="s">
        <v>9</v>
      </c>
      <c r="C275" s="2" t="s">
        <v>10</v>
      </c>
      <c r="D275" s="2" t="s">
        <v>203</v>
      </c>
      <c r="E275" s="2" t="s">
        <v>235</v>
      </c>
      <c r="F275" s="2" t="s">
        <v>236</v>
      </c>
      <c r="G275" s="8" t="str">
        <f>IF(ISNA(VLOOKUP(B275&amp;"|"&amp;C275&amp;"|"&amp;D275&amp;"|"&amp;E275,QuestionTriggers!A:F,6,FALSE)),"","---&gt;")</f>
        <v/>
      </c>
      <c r="H275" s="2" t="s">
        <v>205</v>
      </c>
      <c r="I275" s="2" t="s">
        <v>111</v>
      </c>
      <c r="J275" s="2" t="s">
        <v>206</v>
      </c>
      <c r="K275" s="2"/>
    </row>
    <row r="276" spans="1:11" ht="26.4" hidden="1" x14ac:dyDescent="0.3">
      <c r="A276" t="str">
        <f t="shared" si="4"/>
        <v>Castle Britannia|Lord British|MINA</v>
      </c>
      <c r="B276" s="2" t="s">
        <v>9</v>
      </c>
      <c r="C276" s="2" t="s">
        <v>10</v>
      </c>
      <c r="D276" s="2" t="s">
        <v>203</v>
      </c>
      <c r="E276" s="2" t="s">
        <v>269</v>
      </c>
      <c r="F276" s="2" t="s">
        <v>270</v>
      </c>
      <c r="G276" s="8" t="str">
        <f>IF(ISNA(VLOOKUP(B276&amp;"|"&amp;C276&amp;"|"&amp;D276&amp;"|"&amp;E276,QuestionTriggers!A:F,6,FALSE)),"","---&gt;")</f>
        <v/>
      </c>
      <c r="H276" s="2" t="s">
        <v>205</v>
      </c>
      <c r="I276" s="2" t="s">
        <v>111</v>
      </c>
      <c r="J276" s="2" t="s">
        <v>206</v>
      </c>
      <c r="K276" s="2"/>
    </row>
    <row r="277" spans="1:11" ht="26.4" hidden="1" x14ac:dyDescent="0.3">
      <c r="A277" t="str">
        <f t="shared" si="4"/>
        <v>Castle Britannia|Lord British|MOND</v>
      </c>
      <c r="B277" s="2" t="s">
        <v>9</v>
      </c>
      <c r="C277" s="2" t="s">
        <v>10</v>
      </c>
      <c r="D277" s="2" t="s">
        <v>203</v>
      </c>
      <c r="E277" s="2" t="s">
        <v>267</v>
      </c>
      <c r="F277" s="2" t="s">
        <v>268</v>
      </c>
      <c r="G277" s="8" t="str">
        <f>IF(ISNA(VLOOKUP(B277&amp;"|"&amp;C277&amp;"|"&amp;D277&amp;"|"&amp;E277,QuestionTriggers!A:F,6,FALSE)),"","---&gt;")</f>
        <v/>
      </c>
      <c r="H277" s="2" t="s">
        <v>205</v>
      </c>
      <c r="I277" s="2" t="s">
        <v>111</v>
      </c>
      <c r="J277" s="2" t="s">
        <v>206</v>
      </c>
      <c r="K277" s="2"/>
    </row>
    <row r="278" spans="1:11" ht="26.4" hidden="1" x14ac:dyDescent="0.3">
      <c r="A278" t="str">
        <f t="shared" si="4"/>
        <v>Castle Britannia|Lord British|NAME</v>
      </c>
      <c r="B278" s="2" t="s">
        <v>9</v>
      </c>
      <c r="C278" s="2" t="s">
        <v>10</v>
      </c>
      <c r="D278" s="2" t="s">
        <v>203</v>
      </c>
      <c r="E278" s="2" t="s">
        <v>12</v>
      </c>
      <c r="F278" s="2" t="s">
        <v>204</v>
      </c>
      <c r="G278" s="8" t="str">
        <f>IF(ISNA(VLOOKUP(B278&amp;"|"&amp;C278&amp;"|"&amp;D278&amp;"|"&amp;E278,QuestionTriggers!A:F,6,FALSE)),"","---&gt;")</f>
        <v/>
      </c>
      <c r="H278" s="2" t="s">
        <v>205</v>
      </c>
      <c r="I278" s="2" t="s">
        <v>111</v>
      </c>
      <c r="J278" s="2" t="s">
        <v>206</v>
      </c>
      <c r="K278" s="2"/>
    </row>
    <row r="279" spans="1:11" ht="39.6" hidden="1" x14ac:dyDescent="0.3">
      <c r="A279" t="str">
        <f t="shared" si="4"/>
        <v>Castle Britannia|Lord British|PRID</v>
      </c>
      <c r="B279" s="2" t="s">
        <v>9</v>
      </c>
      <c r="C279" s="2" t="s">
        <v>10</v>
      </c>
      <c r="D279" s="2" t="s">
        <v>203</v>
      </c>
      <c r="E279" s="2" t="s">
        <v>255</v>
      </c>
      <c r="F279" s="2" t="s">
        <v>256</v>
      </c>
      <c r="G279" s="8" t="str">
        <f>IF(ISNA(VLOOKUP(B279&amp;"|"&amp;C279&amp;"|"&amp;D279&amp;"|"&amp;E279,QuestionTriggers!A:F,6,FALSE)),"","---&gt;")</f>
        <v/>
      </c>
      <c r="H279" s="2" t="s">
        <v>205</v>
      </c>
      <c r="I279" s="2" t="s">
        <v>111</v>
      </c>
      <c r="J279" s="2" t="s">
        <v>206</v>
      </c>
      <c r="K279" s="2"/>
    </row>
    <row r="280" spans="1:11" ht="52.8" hidden="1" x14ac:dyDescent="0.3">
      <c r="A280" t="str">
        <f t="shared" si="4"/>
        <v>Castle Britannia|Lord British|QUES</v>
      </c>
      <c r="B280" s="2" t="s">
        <v>9</v>
      </c>
      <c r="C280" s="2" t="s">
        <v>10</v>
      </c>
      <c r="D280" s="2" t="s">
        <v>203</v>
      </c>
      <c r="E280" s="2" t="s">
        <v>259</v>
      </c>
      <c r="F280" s="2" t="s">
        <v>260</v>
      </c>
      <c r="G280" s="8" t="str">
        <f>IF(ISNA(VLOOKUP(B280&amp;"|"&amp;C280&amp;"|"&amp;D280&amp;"|"&amp;E280,QuestionTriggers!A:F,6,FALSE)),"","---&gt;")</f>
        <v/>
      </c>
      <c r="H280" s="2" t="s">
        <v>205</v>
      </c>
      <c r="I280" s="2" t="s">
        <v>111</v>
      </c>
      <c r="J280" s="2" t="s">
        <v>206</v>
      </c>
      <c r="K280" s="2"/>
    </row>
    <row r="281" spans="1:11" ht="26.4" hidden="1" x14ac:dyDescent="0.3">
      <c r="A281" t="str">
        <f t="shared" si="4"/>
        <v>Castle Britannia|Lord British|SACR</v>
      </c>
      <c r="B281" s="2" t="s">
        <v>9</v>
      </c>
      <c r="C281" s="2" t="s">
        <v>10</v>
      </c>
      <c r="D281" s="2" t="s">
        <v>203</v>
      </c>
      <c r="E281" s="2" t="s">
        <v>247</v>
      </c>
      <c r="F281" s="2" t="s">
        <v>248</v>
      </c>
      <c r="G281" s="8" t="str">
        <f>IF(ISNA(VLOOKUP(B281&amp;"|"&amp;C281&amp;"|"&amp;D281&amp;"|"&amp;E281,QuestionTriggers!A:F,6,FALSE)),"","---&gt;")</f>
        <v/>
      </c>
      <c r="H281" s="2" t="s">
        <v>205</v>
      </c>
      <c r="I281" s="2" t="s">
        <v>111</v>
      </c>
      <c r="J281" s="2" t="s">
        <v>206</v>
      </c>
      <c r="K281" s="2"/>
    </row>
    <row r="282" spans="1:11" ht="26.4" hidden="1" x14ac:dyDescent="0.3">
      <c r="A282" t="str">
        <f t="shared" si="4"/>
        <v>Castle Britannia|Lord British|SPIR</v>
      </c>
      <c r="B282" s="2" t="s">
        <v>9</v>
      </c>
      <c r="C282" s="2" t="s">
        <v>10</v>
      </c>
      <c r="D282" s="2" t="s">
        <v>203</v>
      </c>
      <c r="E282" s="2" t="s">
        <v>251</v>
      </c>
      <c r="F282" s="2" t="s">
        <v>252</v>
      </c>
      <c r="G282" s="8" t="str">
        <f>IF(ISNA(VLOOKUP(B282&amp;"|"&amp;C282&amp;"|"&amp;D282&amp;"|"&amp;E282,QuestionTriggers!A:F,6,FALSE)),"","---&gt;")</f>
        <v/>
      </c>
      <c r="H282" s="2" t="s">
        <v>205</v>
      </c>
      <c r="I282" s="2" t="s">
        <v>111</v>
      </c>
      <c r="J282" s="2" t="s">
        <v>206</v>
      </c>
      <c r="K282" s="2"/>
    </row>
    <row r="283" spans="1:11" ht="26.4" hidden="1" x14ac:dyDescent="0.3">
      <c r="A283" t="str">
        <f t="shared" si="4"/>
        <v>Castle Britannia|Lord British|TRUT</v>
      </c>
      <c r="B283" s="2" t="s">
        <v>9</v>
      </c>
      <c r="C283" s="2" t="s">
        <v>10</v>
      </c>
      <c r="D283" s="2" t="s">
        <v>203</v>
      </c>
      <c r="E283" s="2" t="s">
        <v>233</v>
      </c>
      <c r="F283" s="2" t="s">
        <v>234</v>
      </c>
      <c r="G283" s="8" t="str">
        <f>IF(ISNA(VLOOKUP(B283&amp;"|"&amp;C283&amp;"|"&amp;D283&amp;"|"&amp;E283,QuestionTriggers!A:F,6,FALSE)),"","---&gt;")</f>
        <v/>
      </c>
      <c r="H283" s="2" t="s">
        <v>205</v>
      </c>
      <c r="I283" s="2" t="s">
        <v>111</v>
      </c>
      <c r="J283" s="2" t="s">
        <v>206</v>
      </c>
      <c r="K283" s="2"/>
    </row>
    <row r="284" spans="1:11" ht="26.4" hidden="1" x14ac:dyDescent="0.3">
      <c r="A284" t="str">
        <f t="shared" si="4"/>
        <v>Castle Britannia|Lord British|VALO</v>
      </c>
      <c r="B284" s="2" t="s">
        <v>9</v>
      </c>
      <c r="C284" s="2" t="s">
        <v>10</v>
      </c>
      <c r="D284" s="2" t="s">
        <v>203</v>
      </c>
      <c r="E284" s="2" t="s">
        <v>243</v>
      </c>
      <c r="F284" s="2" t="s">
        <v>244</v>
      </c>
      <c r="G284" s="8" t="str">
        <f>IF(ISNA(VLOOKUP(B284&amp;"|"&amp;C284&amp;"|"&amp;D284&amp;"|"&amp;E284,QuestionTriggers!A:F,6,FALSE)),"","---&gt;")</f>
        <v/>
      </c>
      <c r="H284" s="2" t="s">
        <v>205</v>
      </c>
      <c r="I284" s="2" t="s">
        <v>111</v>
      </c>
      <c r="J284" s="2" t="s">
        <v>206</v>
      </c>
      <c r="K284" s="2"/>
    </row>
    <row r="285" spans="1:11" ht="26.4" hidden="1" x14ac:dyDescent="0.3">
      <c r="A285" t="str">
        <f t="shared" si="4"/>
        <v>Castle Britannia|Lord British|VIRT</v>
      </c>
      <c r="B285" s="2" t="s">
        <v>9</v>
      </c>
      <c r="C285" s="2" t="s">
        <v>10</v>
      </c>
      <c r="D285" s="2" t="s">
        <v>203</v>
      </c>
      <c r="E285" s="2" t="s">
        <v>273</v>
      </c>
      <c r="F285" s="2" t="s">
        <v>274</v>
      </c>
      <c r="G285" s="8" t="str">
        <f>IF(ISNA(VLOOKUP(B285&amp;"|"&amp;C285&amp;"|"&amp;D285&amp;"|"&amp;E285,QuestionTriggers!A:F,6,FALSE)),"","---&gt;")</f>
        <v/>
      </c>
      <c r="H285" s="2" t="s">
        <v>205</v>
      </c>
      <c r="I285" s="2" t="s">
        <v>111</v>
      </c>
      <c r="J285" s="2" t="s">
        <v>206</v>
      </c>
      <c r="K285" s="2"/>
    </row>
    <row r="286" spans="1:11" ht="26.4" hidden="1" x14ac:dyDescent="0.3">
      <c r="A286" t="str">
        <f t="shared" si="4"/>
        <v>Castle Britannia|Prisoner|CRIM</v>
      </c>
      <c r="B286" s="2" t="s">
        <v>9</v>
      </c>
      <c r="C286" s="2" t="s">
        <v>10</v>
      </c>
      <c r="D286" s="2" t="s">
        <v>130</v>
      </c>
      <c r="E286" s="2" t="s">
        <v>138</v>
      </c>
      <c r="F286" s="2" t="s">
        <v>139</v>
      </c>
      <c r="G286" s="8" t="str">
        <f>IF(ISNA(VLOOKUP(B286&amp;"|"&amp;C286&amp;"|"&amp;D286&amp;"|"&amp;E286,QuestionTriggers!A:F,6,FALSE)),"","---&gt;")</f>
        <v/>
      </c>
      <c r="H286" s="2" t="s">
        <v>132</v>
      </c>
      <c r="I286" s="2" t="s">
        <v>133</v>
      </c>
      <c r="J286" s="2" t="s">
        <v>134</v>
      </c>
      <c r="K286" s="2" t="s">
        <v>51</v>
      </c>
    </row>
    <row r="287" spans="1:11" ht="26.4" hidden="1" x14ac:dyDescent="0.3">
      <c r="A287" t="str">
        <f t="shared" si="4"/>
        <v>Castle Britannia|Prisoner|HEALTH</v>
      </c>
      <c r="B287" s="2" t="s">
        <v>9</v>
      </c>
      <c r="C287" s="2" t="s">
        <v>10</v>
      </c>
      <c r="D287" s="2" t="s">
        <v>130</v>
      </c>
      <c r="E287" s="2" t="s">
        <v>20</v>
      </c>
      <c r="F287" s="2" t="s">
        <v>137</v>
      </c>
      <c r="G287" s="8" t="str">
        <f>IF(ISNA(VLOOKUP(B287&amp;"|"&amp;C287&amp;"|"&amp;D287&amp;"|"&amp;E287,QuestionTriggers!A:F,6,FALSE)),"","---&gt;")</f>
        <v/>
      </c>
      <c r="H287" s="2" t="s">
        <v>132</v>
      </c>
      <c r="I287" s="2" t="s">
        <v>133</v>
      </c>
      <c r="J287" s="2" t="s">
        <v>134</v>
      </c>
      <c r="K287" s="2" t="s">
        <v>51</v>
      </c>
    </row>
    <row r="288" spans="1:11" ht="26.4" hidden="1" x14ac:dyDescent="0.3">
      <c r="A288" t="str">
        <f t="shared" si="4"/>
        <v>Castle Britannia|Prisoner|JOB</v>
      </c>
      <c r="B288" s="2" t="s">
        <v>9</v>
      </c>
      <c r="C288" s="2" t="s">
        <v>10</v>
      </c>
      <c r="D288" s="2" t="s">
        <v>130</v>
      </c>
      <c r="E288" s="2" t="s">
        <v>18</v>
      </c>
      <c r="F288" s="2" t="s">
        <v>136</v>
      </c>
      <c r="G288" s="8" t="str">
        <f>IF(ISNA(VLOOKUP(B288&amp;"|"&amp;C288&amp;"|"&amp;D288&amp;"|"&amp;E288,QuestionTriggers!A:F,6,FALSE)),"","---&gt;")</f>
        <v/>
      </c>
      <c r="H288" s="2" t="s">
        <v>132</v>
      </c>
      <c r="I288" s="2" t="s">
        <v>133</v>
      </c>
      <c r="J288" s="2" t="s">
        <v>134</v>
      </c>
      <c r="K288" s="2" t="s">
        <v>51</v>
      </c>
    </row>
    <row r="289" spans="1:11" ht="26.4" hidden="1" x14ac:dyDescent="0.3">
      <c r="A289" t="str">
        <f t="shared" si="4"/>
        <v>Castle Britannia|Prisoner|LOOK</v>
      </c>
      <c r="B289" s="2" t="s">
        <v>9</v>
      </c>
      <c r="C289" s="2" t="s">
        <v>10</v>
      </c>
      <c r="D289" s="2" t="s">
        <v>130</v>
      </c>
      <c r="E289" s="2" t="s">
        <v>16</v>
      </c>
      <c r="F289" s="2" t="s">
        <v>135</v>
      </c>
      <c r="G289" s="8" t="str">
        <f>IF(ISNA(VLOOKUP(B289&amp;"|"&amp;C289&amp;"|"&amp;D289&amp;"|"&amp;E289,QuestionTriggers!A:F,6,FALSE)),"","---&gt;")</f>
        <v/>
      </c>
      <c r="H289" s="2" t="s">
        <v>132</v>
      </c>
      <c r="I289" s="2" t="s">
        <v>133</v>
      </c>
      <c r="J289" s="2" t="s">
        <v>134</v>
      </c>
      <c r="K289" s="2" t="s">
        <v>51</v>
      </c>
    </row>
    <row r="290" spans="1:11" ht="26.4" hidden="1" x14ac:dyDescent="0.3">
      <c r="A290" t="str">
        <f t="shared" si="4"/>
        <v>Castle Britannia|Prisoner|NAME</v>
      </c>
      <c r="B290" s="2" t="s">
        <v>9</v>
      </c>
      <c r="C290" s="2" t="s">
        <v>10</v>
      </c>
      <c r="D290" s="2" t="s">
        <v>130</v>
      </c>
      <c r="E290" s="2" t="s">
        <v>12</v>
      </c>
      <c r="F290" s="2" t="s">
        <v>131</v>
      </c>
      <c r="G290" s="8" t="str">
        <f>IF(ISNA(VLOOKUP(B290&amp;"|"&amp;C290&amp;"|"&amp;D290&amp;"|"&amp;E290,QuestionTriggers!A:F,6,FALSE)),"","---&gt;")</f>
        <v/>
      </c>
      <c r="H290" s="2" t="s">
        <v>132</v>
      </c>
      <c r="I290" s="2" t="s">
        <v>133</v>
      </c>
      <c r="J290" s="2" t="s">
        <v>134</v>
      </c>
      <c r="K290" s="2" t="s">
        <v>51</v>
      </c>
    </row>
    <row r="291" spans="1:11" ht="26.4" hidden="1" x14ac:dyDescent="0.3">
      <c r="A291" t="str">
        <f t="shared" si="4"/>
        <v>Castle Britannia|Prisoner|PRIS</v>
      </c>
      <c r="B291" s="2" t="s">
        <v>9</v>
      </c>
      <c r="C291" s="2" t="s">
        <v>10</v>
      </c>
      <c r="D291" s="2" t="s">
        <v>130</v>
      </c>
      <c r="E291" s="2" t="s">
        <v>140</v>
      </c>
      <c r="F291" s="2" t="s">
        <v>141</v>
      </c>
      <c r="G291" s="8" t="str">
        <f>IF(ISNA(VLOOKUP(B291&amp;"|"&amp;C291&amp;"|"&amp;D291&amp;"|"&amp;E291,QuestionTriggers!A:F,6,FALSE)),"","---&gt;")</f>
        <v>---&gt;</v>
      </c>
      <c r="H291" s="2" t="s">
        <v>132</v>
      </c>
      <c r="I291" s="2" t="s">
        <v>133</v>
      </c>
      <c r="J291" s="2" t="s">
        <v>134</v>
      </c>
      <c r="K291" s="2" t="s">
        <v>51</v>
      </c>
    </row>
    <row r="292" spans="1:11" hidden="1" x14ac:dyDescent="0.3">
      <c r="A292" t="str">
        <f t="shared" si="4"/>
        <v>Castle Britannia|Reaper|HEALTH</v>
      </c>
      <c r="B292" s="2" t="s">
        <v>9</v>
      </c>
      <c r="C292" s="2" t="s">
        <v>10</v>
      </c>
      <c r="D292" s="2" t="s">
        <v>142</v>
      </c>
      <c r="E292" s="2" t="s">
        <v>20</v>
      </c>
      <c r="F292" s="2" t="s">
        <v>149</v>
      </c>
      <c r="G292" s="8" t="str">
        <f>IF(ISNA(VLOOKUP(B292&amp;"|"&amp;C292&amp;"|"&amp;D292&amp;"|"&amp;E292,QuestionTriggers!A:F,6,FALSE)),"","---&gt;")</f>
        <v/>
      </c>
      <c r="H292" s="2" t="s">
        <v>144</v>
      </c>
      <c r="I292" s="2" t="s">
        <v>145</v>
      </c>
      <c r="J292" s="2" t="s">
        <v>146</v>
      </c>
      <c r="K292" s="2"/>
    </row>
    <row r="293" spans="1:11" hidden="1" x14ac:dyDescent="0.3">
      <c r="A293" t="str">
        <f t="shared" si="4"/>
        <v>Castle Britannia|Reaper|JOB</v>
      </c>
      <c r="B293" s="2" t="s">
        <v>9</v>
      </c>
      <c r="C293" s="2" t="s">
        <v>10</v>
      </c>
      <c r="D293" s="2" t="s">
        <v>142</v>
      </c>
      <c r="E293" s="2" t="s">
        <v>18</v>
      </c>
      <c r="F293" s="2" t="s">
        <v>148</v>
      </c>
      <c r="G293" s="8" t="str">
        <f>IF(ISNA(VLOOKUP(B293&amp;"|"&amp;C293&amp;"|"&amp;D293&amp;"|"&amp;E293,QuestionTriggers!A:F,6,FALSE)),"","---&gt;")</f>
        <v/>
      </c>
      <c r="H293" s="2" t="s">
        <v>144</v>
      </c>
      <c r="I293" s="2" t="s">
        <v>145</v>
      </c>
      <c r="J293" s="2" t="s">
        <v>146</v>
      </c>
      <c r="K293" s="2"/>
    </row>
    <row r="294" spans="1:11" hidden="1" x14ac:dyDescent="0.3">
      <c r="A294" t="str">
        <f t="shared" si="4"/>
        <v>Castle Britannia|Reaper|KILL</v>
      </c>
      <c r="B294" s="2" t="s">
        <v>9</v>
      </c>
      <c r="C294" s="2" t="s">
        <v>10</v>
      </c>
      <c r="D294" s="2" t="s">
        <v>142</v>
      </c>
      <c r="E294" s="2" t="s">
        <v>150</v>
      </c>
      <c r="F294" s="2" t="s">
        <v>151</v>
      </c>
      <c r="G294" s="8" t="str">
        <f>IF(ISNA(VLOOKUP(B294&amp;"|"&amp;C294&amp;"|"&amp;D294&amp;"|"&amp;E294,QuestionTriggers!A:F,6,FALSE)),"","---&gt;")</f>
        <v/>
      </c>
      <c r="H294" s="2" t="s">
        <v>144</v>
      </c>
      <c r="I294" s="2" t="s">
        <v>145</v>
      </c>
      <c r="J294" s="2" t="s">
        <v>146</v>
      </c>
      <c r="K294" s="2"/>
    </row>
    <row r="295" spans="1:11" hidden="1" x14ac:dyDescent="0.3">
      <c r="A295" t="str">
        <f t="shared" si="4"/>
        <v>Castle Britannia|Reaper|LOOK</v>
      </c>
      <c r="B295" s="2" t="s">
        <v>9</v>
      </c>
      <c r="C295" s="2" t="s">
        <v>10</v>
      </c>
      <c r="D295" s="2" t="s">
        <v>142</v>
      </c>
      <c r="E295" s="2" t="s">
        <v>16</v>
      </c>
      <c r="F295" s="2" t="s">
        <v>147</v>
      </c>
      <c r="G295" s="8" t="str">
        <f>IF(ISNA(VLOOKUP(B295&amp;"|"&amp;C295&amp;"|"&amp;D295&amp;"|"&amp;E295,QuestionTriggers!A:F,6,FALSE)),"","---&gt;")</f>
        <v/>
      </c>
      <c r="H295" s="2" t="s">
        <v>144</v>
      </c>
      <c r="I295" s="2" t="s">
        <v>145</v>
      </c>
      <c r="J295" s="2" t="s">
        <v>146</v>
      </c>
      <c r="K295" s="2"/>
    </row>
    <row r="296" spans="1:11" hidden="1" x14ac:dyDescent="0.3">
      <c r="A296" t="str">
        <f t="shared" si="4"/>
        <v>Castle Britannia|Reaper|NAME</v>
      </c>
      <c r="B296" s="2" t="s">
        <v>9</v>
      </c>
      <c r="C296" s="2" t="s">
        <v>10</v>
      </c>
      <c r="D296" s="2" t="s">
        <v>142</v>
      </c>
      <c r="E296" s="2" t="s">
        <v>12</v>
      </c>
      <c r="F296" s="2" t="s">
        <v>143</v>
      </c>
      <c r="G296" s="8" t="str">
        <f>IF(ISNA(VLOOKUP(B296&amp;"|"&amp;C296&amp;"|"&amp;D296&amp;"|"&amp;E296,QuestionTriggers!A:F,6,FALSE)),"","---&gt;")</f>
        <v/>
      </c>
      <c r="H296" s="2" t="s">
        <v>144</v>
      </c>
      <c r="I296" s="2" t="s">
        <v>145</v>
      </c>
      <c r="J296" s="2" t="s">
        <v>146</v>
      </c>
      <c r="K296" s="2"/>
    </row>
    <row r="297" spans="1:11" hidden="1" x14ac:dyDescent="0.3">
      <c r="A297" t="str">
        <f t="shared" si="4"/>
        <v>Castle Britannia|Reaper|THIN</v>
      </c>
      <c r="B297" s="2" t="s">
        <v>9</v>
      </c>
      <c r="C297" s="2" t="s">
        <v>10</v>
      </c>
      <c r="D297" s="2" t="s">
        <v>142</v>
      </c>
      <c r="E297" s="2" t="s">
        <v>152</v>
      </c>
      <c r="F297" s="2" t="s">
        <v>153</v>
      </c>
      <c r="G297" s="8" t="str">
        <f>IF(ISNA(VLOOKUP(B297&amp;"|"&amp;C297&amp;"|"&amp;D297&amp;"|"&amp;E297,QuestionTriggers!A:F,6,FALSE)),"","---&gt;")</f>
        <v>---&gt;</v>
      </c>
      <c r="H297" s="2" t="s">
        <v>144</v>
      </c>
      <c r="I297" s="2" t="s">
        <v>145</v>
      </c>
      <c r="J297" s="2" t="s">
        <v>146</v>
      </c>
      <c r="K297" s="2"/>
    </row>
    <row r="298" spans="1:11" ht="39.6" hidden="1" x14ac:dyDescent="0.3">
      <c r="A298" t="str">
        <f t="shared" si="4"/>
        <v>Castle Britannia|Seesha|COUN</v>
      </c>
      <c r="B298" s="2" t="s">
        <v>9</v>
      </c>
      <c r="C298" s="2" t="s">
        <v>10</v>
      </c>
      <c r="D298" s="2" t="s">
        <v>154</v>
      </c>
      <c r="E298" s="2" t="s">
        <v>163</v>
      </c>
      <c r="F298" s="2" t="s">
        <v>164</v>
      </c>
      <c r="G298" s="8" t="str">
        <f>IF(ISNA(VLOOKUP(B298&amp;"|"&amp;C298&amp;"|"&amp;D298&amp;"|"&amp;E298,QuestionTriggers!A:F,6,FALSE)),"","---&gt;")</f>
        <v>---&gt;</v>
      </c>
      <c r="H298" s="2" t="s">
        <v>155</v>
      </c>
      <c r="I298" s="2" t="s">
        <v>156</v>
      </c>
      <c r="J298" s="2" t="s">
        <v>157</v>
      </c>
      <c r="K298" s="2"/>
    </row>
    <row r="299" spans="1:11" ht="39.6" hidden="1" x14ac:dyDescent="0.3">
      <c r="A299" t="str">
        <f t="shared" si="4"/>
        <v>Castle Britannia|Seesha|HEALTH</v>
      </c>
      <c r="B299" s="2" t="s">
        <v>9</v>
      </c>
      <c r="C299" s="2" t="s">
        <v>10</v>
      </c>
      <c r="D299" s="2" t="s">
        <v>154</v>
      </c>
      <c r="E299" s="2" t="s">
        <v>20</v>
      </c>
      <c r="F299" s="2" t="s">
        <v>160</v>
      </c>
      <c r="G299" s="8" t="str">
        <f>IF(ISNA(VLOOKUP(B299&amp;"|"&amp;C299&amp;"|"&amp;D299&amp;"|"&amp;E299,QuestionTriggers!A:F,6,FALSE)),"","---&gt;")</f>
        <v/>
      </c>
      <c r="H299" s="2" t="s">
        <v>155</v>
      </c>
      <c r="I299" s="2" t="s">
        <v>156</v>
      </c>
      <c r="J299" s="2" t="s">
        <v>157</v>
      </c>
      <c r="K299" s="2"/>
    </row>
    <row r="300" spans="1:11" ht="39.6" hidden="1" x14ac:dyDescent="0.3">
      <c r="A300" t="str">
        <f t="shared" si="4"/>
        <v>Castle Britannia|Seesha|JOB</v>
      </c>
      <c r="B300" s="2" t="s">
        <v>9</v>
      </c>
      <c r="C300" s="2" t="s">
        <v>10</v>
      </c>
      <c r="D300" s="2" t="s">
        <v>154</v>
      </c>
      <c r="E300" s="2" t="s">
        <v>18</v>
      </c>
      <c r="F300" s="2" t="s">
        <v>159</v>
      </c>
      <c r="G300" s="8" t="str">
        <f>IF(ISNA(VLOOKUP(B300&amp;"|"&amp;C300&amp;"|"&amp;D300&amp;"|"&amp;E300,QuestionTriggers!A:F,6,FALSE)),"","---&gt;")</f>
        <v/>
      </c>
      <c r="H300" s="2" t="s">
        <v>155</v>
      </c>
      <c r="I300" s="2" t="s">
        <v>156</v>
      </c>
      <c r="J300" s="2" t="s">
        <v>157</v>
      </c>
      <c r="K300" s="2"/>
    </row>
    <row r="301" spans="1:11" ht="39.6" hidden="1" x14ac:dyDescent="0.3">
      <c r="A301" t="str">
        <f t="shared" si="4"/>
        <v>Castle Britannia|Seesha|LOOK</v>
      </c>
      <c r="B301" s="2" t="s">
        <v>9</v>
      </c>
      <c r="C301" s="2" t="s">
        <v>10</v>
      </c>
      <c r="D301" s="2" t="s">
        <v>154</v>
      </c>
      <c r="E301" s="2" t="s">
        <v>16</v>
      </c>
      <c r="F301" s="2" t="s">
        <v>158</v>
      </c>
      <c r="G301" s="8" t="str">
        <f>IF(ISNA(VLOOKUP(B301&amp;"|"&amp;C301&amp;"|"&amp;D301&amp;"|"&amp;E301,QuestionTriggers!A:F,6,FALSE)),"","---&gt;")</f>
        <v/>
      </c>
      <c r="H301" s="2" t="s">
        <v>155</v>
      </c>
      <c r="I301" s="2" t="s">
        <v>156</v>
      </c>
      <c r="J301" s="2" t="s">
        <v>157</v>
      </c>
      <c r="K301" s="2"/>
    </row>
    <row r="302" spans="1:11" ht="39.6" hidden="1" x14ac:dyDescent="0.3">
      <c r="A302" t="str">
        <f t="shared" si="4"/>
        <v>Castle Britannia|Seesha|NAME</v>
      </c>
      <c r="B302" s="2" t="s">
        <v>9</v>
      </c>
      <c r="C302" s="2" t="s">
        <v>10</v>
      </c>
      <c r="D302" s="2" t="s">
        <v>154</v>
      </c>
      <c r="E302" s="2" t="s">
        <v>12</v>
      </c>
      <c r="F302" s="2" t="s">
        <v>154</v>
      </c>
      <c r="G302" s="8" t="str">
        <f>IF(ISNA(VLOOKUP(B302&amp;"|"&amp;C302&amp;"|"&amp;D302&amp;"|"&amp;E302,QuestionTriggers!A:F,6,FALSE)),"","---&gt;")</f>
        <v/>
      </c>
      <c r="H302" s="2" t="s">
        <v>155</v>
      </c>
      <c r="I302" s="2" t="s">
        <v>156</v>
      </c>
      <c r="J302" s="2" t="s">
        <v>157</v>
      </c>
      <c r="K302" s="2"/>
    </row>
    <row r="303" spans="1:11" ht="39.6" hidden="1" x14ac:dyDescent="0.3">
      <c r="A303" t="str">
        <f t="shared" si="4"/>
        <v>Castle Britannia|Seesha|WOUN</v>
      </c>
      <c r="B303" s="2" t="s">
        <v>9</v>
      </c>
      <c r="C303" s="2" t="s">
        <v>10</v>
      </c>
      <c r="D303" s="2" t="s">
        <v>154</v>
      </c>
      <c r="E303" s="2" t="s">
        <v>161</v>
      </c>
      <c r="F303" s="2" t="s">
        <v>162</v>
      </c>
      <c r="G303" s="8" t="str">
        <f>IF(ISNA(VLOOKUP(B303&amp;"|"&amp;C303&amp;"|"&amp;D303&amp;"|"&amp;E303,QuestionTriggers!A:F,6,FALSE)),"","---&gt;")</f>
        <v/>
      </c>
      <c r="H303" s="2" t="s">
        <v>155</v>
      </c>
      <c r="I303" s="2" t="s">
        <v>156</v>
      </c>
      <c r="J303" s="2" t="s">
        <v>157</v>
      </c>
      <c r="K303" s="2"/>
    </row>
    <row r="304" spans="1:11" ht="39.6" hidden="1" x14ac:dyDescent="0.3">
      <c r="A304" t="str">
        <f t="shared" si="4"/>
        <v>Castle Britannia|Shawn|HEALTH</v>
      </c>
      <c r="B304" s="2" t="s">
        <v>9</v>
      </c>
      <c r="C304" s="2" t="s">
        <v>10</v>
      </c>
      <c r="D304" s="2" t="s">
        <v>165</v>
      </c>
      <c r="E304" s="2" t="s">
        <v>20</v>
      </c>
      <c r="F304" s="2" t="s">
        <v>93</v>
      </c>
      <c r="G304" s="8" t="str">
        <f>IF(ISNA(VLOOKUP(B304&amp;"|"&amp;C304&amp;"|"&amp;D304&amp;"|"&amp;E304,QuestionTriggers!A:F,6,FALSE)),"","---&gt;")</f>
        <v/>
      </c>
      <c r="H304" s="2" t="s">
        <v>166</v>
      </c>
      <c r="I304" s="2" t="s">
        <v>167</v>
      </c>
      <c r="J304" s="2" t="s">
        <v>168</v>
      </c>
      <c r="K304" s="2" t="s">
        <v>51</v>
      </c>
    </row>
    <row r="305" spans="1:11" ht="39.6" hidden="1" x14ac:dyDescent="0.3">
      <c r="A305" t="str">
        <f t="shared" si="4"/>
        <v>Castle Britannia|Shawn|JOB</v>
      </c>
      <c r="B305" s="2" t="s">
        <v>9</v>
      </c>
      <c r="C305" s="2" t="s">
        <v>10</v>
      </c>
      <c r="D305" s="2" t="s">
        <v>165</v>
      </c>
      <c r="E305" s="2" t="s">
        <v>18</v>
      </c>
      <c r="F305" s="2" t="s">
        <v>170</v>
      </c>
      <c r="G305" s="8" t="str">
        <f>IF(ISNA(VLOOKUP(B305&amp;"|"&amp;C305&amp;"|"&amp;D305&amp;"|"&amp;E305,QuestionTriggers!A:F,6,FALSE)),"","---&gt;")</f>
        <v/>
      </c>
      <c r="H305" s="2" t="s">
        <v>166</v>
      </c>
      <c r="I305" s="2" t="s">
        <v>167</v>
      </c>
      <c r="J305" s="2" t="s">
        <v>168</v>
      </c>
      <c r="K305" s="2" t="s">
        <v>51</v>
      </c>
    </row>
    <row r="306" spans="1:11" ht="39.6" hidden="1" x14ac:dyDescent="0.3">
      <c r="A306" t="str">
        <f t="shared" si="4"/>
        <v>Castle Britannia|Shawn|LOOK</v>
      </c>
      <c r="B306" s="2" t="s">
        <v>9</v>
      </c>
      <c r="C306" s="2" t="s">
        <v>10</v>
      </c>
      <c r="D306" s="2" t="s">
        <v>165</v>
      </c>
      <c r="E306" s="2" t="s">
        <v>16</v>
      </c>
      <c r="F306" s="2" t="s">
        <v>169</v>
      </c>
      <c r="G306" s="8" t="str">
        <f>IF(ISNA(VLOOKUP(B306&amp;"|"&amp;C306&amp;"|"&amp;D306&amp;"|"&amp;E306,QuestionTriggers!A:F,6,FALSE)),"","---&gt;")</f>
        <v/>
      </c>
      <c r="H306" s="2" t="s">
        <v>166</v>
      </c>
      <c r="I306" s="2" t="s">
        <v>167</v>
      </c>
      <c r="J306" s="2" t="s">
        <v>168</v>
      </c>
      <c r="K306" s="2" t="s">
        <v>51</v>
      </c>
    </row>
    <row r="307" spans="1:11" ht="39.6" hidden="1" x14ac:dyDescent="0.3">
      <c r="A307" t="str">
        <f t="shared" si="4"/>
        <v>Castle Britannia|Shawn|NAME</v>
      </c>
      <c r="B307" s="2" t="s">
        <v>9</v>
      </c>
      <c r="C307" s="2" t="s">
        <v>10</v>
      </c>
      <c r="D307" s="2" t="s">
        <v>165</v>
      </c>
      <c r="E307" s="2" t="s">
        <v>12</v>
      </c>
      <c r="F307" s="2" t="s">
        <v>165</v>
      </c>
      <c r="G307" s="8" t="str">
        <f>IF(ISNA(VLOOKUP(B307&amp;"|"&amp;C307&amp;"|"&amp;D307&amp;"|"&amp;E307,QuestionTriggers!A:F,6,FALSE)),"","---&gt;")</f>
        <v/>
      </c>
      <c r="H307" s="2" t="s">
        <v>166</v>
      </c>
      <c r="I307" s="2" t="s">
        <v>167</v>
      </c>
      <c r="J307" s="2" t="s">
        <v>168</v>
      </c>
      <c r="K307" s="2" t="s">
        <v>51</v>
      </c>
    </row>
    <row r="308" spans="1:11" ht="39.6" hidden="1" x14ac:dyDescent="0.3">
      <c r="A308" t="str">
        <f t="shared" si="4"/>
        <v>Castle Britannia|Shawn|PEAC</v>
      </c>
      <c r="B308" s="2" t="s">
        <v>9</v>
      </c>
      <c r="C308" s="2" t="s">
        <v>10</v>
      </c>
      <c r="D308" s="2" t="s">
        <v>165</v>
      </c>
      <c r="E308" s="2" t="s">
        <v>173</v>
      </c>
      <c r="F308" s="2" t="s">
        <v>174</v>
      </c>
      <c r="G308" s="8" t="str">
        <f>IF(ISNA(VLOOKUP(B308&amp;"|"&amp;C308&amp;"|"&amp;D308&amp;"|"&amp;E308,QuestionTriggers!A:F,6,FALSE)),"","---&gt;")</f>
        <v>---&gt;</v>
      </c>
      <c r="H308" s="2" t="s">
        <v>166</v>
      </c>
      <c r="I308" s="2" t="s">
        <v>167</v>
      </c>
      <c r="J308" s="2" t="s">
        <v>168</v>
      </c>
      <c r="K308" s="2" t="s">
        <v>51</v>
      </c>
    </row>
    <row r="309" spans="1:11" ht="39.6" hidden="1" x14ac:dyDescent="0.3">
      <c r="A309" t="str">
        <f t="shared" si="4"/>
        <v>Castle Britannia|Shawn|WATE</v>
      </c>
      <c r="B309" s="2" t="s">
        <v>9</v>
      </c>
      <c r="C309" s="2" t="s">
        <v>10</v>
      </c>
      <c r="D309" s="2" t="s">
        <v>165</v>
      </c>
      <c r="E309" s="2" t="s">
        <v>171</v>
      </c>
      <c r="F309" s="2" t="s">
        <v>172</v>
      </c>
      <c r="G309" s="8" t="str">
        <f>IF(ISNA(VLOOKUP(B309&amp;"|"&amp;C309&amp;"|"&amp;D309&amp;"|"&amp;E309,QuestionTriggers!A:F,6,FALSE)),"","---&gt;")</f>
        <v/>
      </c>
      <c r="H309" s="2" t="s">
        <v>166</v>
      </c>
      <c r="I309" s="2" t="s">
        <v>167</v>
      </c>
      <c r="J309" s="2" t="s">
        <v>168</v>
      </c>
      <c r="K309" s="2" t="s">
        <v>51</v>
      </c>
    </row>
    <row r="310" spans="1:11" ht="39.6" hidden="1" x14ac:dyDescent="0.3">
      <c r="A310" t="str">
        <f t="shared" si="4"/>
        <v>Castle Britannia|Sheila|HEALTH</v>
      </c>
      <c r="B310" s="2" t="s">
        <v>9</v>
      </c>
      <c r="C310" s="2" t="s">
        <v>10</v>
      </c>
      <c r="D310" s="2" t="s">
        <v>175</v>
      </c>
      <c r="E310" s="2" t="s">
        <v>20</v>
      </c>
      <c r="F310" s="2" t="s">
        <v>181</v>
      </c>
      <c r="G310" s="8" t="str">
        <f>IF(ISNA(VLOOKUP(B310&amp;"|"&amp;C310&amp;"|"&amp;D310&amp;"|"&amp;E310,QuestionTriggers!A:F,6,FALSE)),"","---&gt;")</f>
        <v/>
      </c>
      <c r="H310" s="2" t="s">
        <v>176</v>
      </c>
      <c r="I310" s="2" t="s">
        <v>177</v>
      </c>
      <c r="J310" s="2" t="s">
        <v>178</v>
      </c>
      <c r="K310" s="2"/>
    </row>
    <row r="311" spans="1:11" ht="39.6" hidden="1" x14ac:dyDescent="0.3">
      <c r="A311" t="str">
        <f t="shared" si="4"/>
        <v>Castle Britannia|Sheila|JOB</v>
      </c>
      <c r="B311" s="2" t="s">
        <v>9</v>
      </c>
      <c r="C311" s="2" t="s">
        <v>10</v>
      </c>
      <c r="D311" s="2" t="s">
        <v>175</v>
      </c>
      <c r="E311" s="2" t="s">
        <v>18</v>
      </c>
      <c r="F311" s="2" t="s">
        <v>180</v>
      </c>
      <c r="G311" s="8" t="str">
        <f>IF(ISNA(VLOOKUP(B311&amp;"|"&amp;C311&amp;"|"&amp;D311&amp;"|"&amp;E311,QuestionTriggers!A:F,6,FALSE)),"","---&gt;")</f>
        <v/>
      </c>
      <c r="H311" s="2" t="s">
        <v>176</v>
      </c>
      <c r="I311" s="2" t="s">
        <v>177</v>
      </c>
      <c r="J311" s="2" t="s">
        <v>178</v>
      </c>
      <c r="K311" s="2"/>
    </row>
    <row r="312" spans="1:11" ht="39.6" hidden="1" x14ac:dyDescent="0.3">
      <c r="A312" t="str">
        <f t="shared" si="4"/>
        <v>Castle Britannia|Sheila|LIGH</v>
      </c>
      <c r="B312" s="2" t="s">
        <v>9</v>
      </c>
      <c r="C312" s="2" t="s">
        <v>10</v>
      </c>
      <c r="D312" s="2" t="s">
        <v>175</v>
      </c>
      <c r="E312" s="2" t="s">
        <v>182</v>
      </c>
      <c r="F312" s="2" t="s">
        <v>183</v>
      </c>
      <c r="G312" s="8" t="str">
        <f>IF(ISNA(VLOOKUP(B312&amp;"|"&amp;C312&amp;"|"&amp;D312&amp;"|"&amp;E312,QuestionTriggers!A:F,6,FALSE)),"","---&gt;")</f>
        <v/>
      </c>
      <c r="H312" s="2" t="s">
        <v>176</v>
      </c>
      <c r="I312" s="2" t="s">
        <v>177</v>
      </c>
      <c r="J312" s="2" t="s">
        <v>178</v>
      </c>
      <c r="K312" s="2"/>
    </row>
    <row r="313" spans="1:11" ht="39.6" hidden="1" x14ac:dyDescent="0.3">
      <c r="A313" t="str">
        <f t="shared" si="4"/>
        <v>Castle Britannia|Sheila|LOOK</v>
      </c>
      <c r="B313" s="2" t="s">
        <v>9</v>
      </c>
      <c r="C313" s="2" t="s">
        <v>10</v>
      </c>
      <c r="D313" s="2" t="s">
        <v>175</v>
      </c>
      <c r="E313" s="2" t="s">
        <v>16</v>
      </c>
      <c r="F313" s="2" t="s">
        <v>179</v>
      </c>
      <c r="G313" s="8" t="str">
        <f>IF(ISNA(VLOOKUP(B313&amp;"|"&amp;C313&amp;"|"&amp;D313&amp;"|"&amp;E313,QuestionTriggers!A:F,6,FALSE)),"","---&gt;")</f>
        <v/>
      </c>
      <c r="H313" s="2" t="s">
        <v>176</v>
      </c>
      <c r="I313" s="2" t="s">
        <v>177</v>
      </c>
      <c r="J313" s="2" t="s">
        <v>178</v>
      </c>
      <c r="K313" s="2"/>
    </row>
    <row r="314" spans="1:11" ht="39.6" hidden="1" x14ac:dyDescent="0.3">
      <c r="A314" t="str">
        <f t="shared" si="4"/>
        <v>Castle Britannia|Sheila|NAME</v>
      </c>
      <c r="B314" s="2" t="s">
        <v>9</v>
      </c>
      <c r="C314" s="2" t="s">
        <v>10</v>
      </c>
      <c r="D314" s="2" t="s">
        <v>175</v>
      </c>
      <c r="E314" s="2" t="s">
        <v>12</v>
      </c>
      <c r="F314" s="2" t="s">
        <v>175</v>
      </c>
      <c r="G314" s="8" t="str">
        <f>IF(ISNA(VLOOKUP(B314&amp;"|"&amp;C314&amp;"|"&amp;D314&amp;"|"&amp;E314,QuestionTriggers!A:F,6,FALSE)),"","---&gt;")</f>
        <v/>
      </c>
      <c r="H314" s="2" t="s">
        <v>176</v>
      </c>
      <c r="I314" s="2" t="s">
        <v>177</v>
      </c>
      <c r="J314" s="2" t="s">
        <v>178</v>
      </c>
      <c r="K314" s="2"/>
    </row>
    <row r="315" spans="1:11" ht="39.6" hidden="1" x14ac:dyDescent="0.3">
      <c r="A315" t="str">
        <f t="shared" si="4"/>
        <v>Castle Britannia|Sheila|SHRI</v>
      </c>
      <c r="B315" s="2" t="s">
        <v>9</v>
      </c>
      <c r="C315" s="2" t="s">
        <v>10</v>
      </c>
      <c r="D315" s="2" t="s">
        <v>175</v>
      </c>
      <c r="E315" s="2" t="s">
        <v>184</v>
      </c>
      <c r="F315" s="2" t="s">
        <v>185</v>
      </c>
      <c r="G315" s="8" t="str">
        <f>IF(ISNA(VLOOKUP(B315&amp;"|"&amp;C315&amp;"|"&amp;D315&amp;"|"&amp;E315,QuestionTriggers!A:F,6,FALSE)),"","---&gt;")</f>
        <v>---&gt;</v>
      </c>
      <c r="H315" s="2" t="s">
        <v>176</v>
      </c>
      <c r="I315" s="2" t="s">
        <v>177</v>
      </c>
      <c r="J315" s="2" t="s">
        <v>178</v>
      </c>
      <c r="K315" s="2"/>
    </row>
    <row r="316" spans="1:11" hidden="1" x14ac:dyDescent="0.3">
      <c r="A316" t="str">
        <f t="shared" si="4"/>
        <v>Castle Britannia|Treasury Guard|GUAR</v>
      </c>
      <c r="B316" s="2" t="s">
        <v>9</v>
      </c>
      <c r="C316" s="2" t="s">
        <v>10</v>
      </c>
      <c r="D316" s="2" t="s">
        <v>38</v>
      </c>
      <c r="E316" s="2" t="s">
        <v>34</v>
      </c>
      <c r="F316" s="2" t="s">
        <v>44</v>
      </c>
      <c r="G316" s="8" t="str">
        <f>IF(ISNA(VLOOKUP(B316&amp;"|"&amp;C316&amp;"|"&amp;D316&amp;"|"&amp;E316,QuestionTriggers!A:F,6,FALSE)),"","---&gt;")</f>
        <v/>
      </c>
      <c r="H316" s="2" t="s">
        <v>39</v>
      </c>
      <c r="I316" s="2" t="s">
        <v>40</v>
      </c>
      <c r="J316" s="2" t="s">
        <v>41</v>
      </c>
      <c r="K316" s="2"/>
    </row>
    <row r="317" spans="1:11" hidden="1" x14ac:dyDescent="0.3">
      <c r="A317" t="str">
        <f t="shared" si="4"/>
        <v>Castle Britannia|Treasury Guard|HEALTH</v>
      </c>
      <c r="B317" s="2" t="s">
        <v>9</v>
      </c>
      <c r="C317" s="2" t="s">
        <v>10</v>
      </c>
      <c r="D317" s="2" t="s">
        <v>38</v>
      </c>
      <c r="E317" s="2" t="s">
        <v>20</v>
      </c>
      <c r="F317" s="2" t="s">
        <v>43</v>
      </c>
      <c r="G317" s="8" t="str">
        <f>IF(ISNA(VLOOKUP(B317&amp;"|"&amp;C317&amp;"|"&amp;D317&amp;"|"&amp;E317,QuestionTriggers!A:F,6,FALSE)),"","---&gt;")</f>
        <v/>
      </c>
      <c r="H317" s="2" t="s">
        <v>39</v>
      </c>
      <c r="I317" s="2" t="s">
        <v>40</v>
      </c>
      <c r="J317" s="2" t="s">
        <v>41</v>
      </c>
      <c r="K317" s="2"/>
    </row>
    <row r="318" spans="1:11" hidden="1" x14ac:dyDescent="0.3">
      <c r="A318" t="str">
        <f t="shared" si="4"/>
        <v>Castle Britannia|Treasury Guard|JOB</v>
      </c>
      <c r="B318" s="2" t="s">
        <v>9</v>
      </c>
      <c r="C318" s="2" t="s">
        <v>10</v>
      </c>
      <c r="D318" s="2" t="s">
        <v>38</v>
      </c>
      <c r="E318" s="2" t="s">
        <v>18</v>
      </c>
      <c r="F318" s="2" t="s">
        <v>42</v>
      </c>
      <c r="G318" s="8" t="str">
        <f>IF(ISNA(VLOOKUP(B318&amp;"|"&amp;C318&amp;"|"&amp;D318&amp;"|"&amp;E318,QuestionTriggers!A:F,6,FALSE)),"","---&gt;")</f>
        <v/>
      </c>
      <c r="H318" s="2" t="s">
        <v>39</v>
      </c>
      <c r="I318" s="2" t="s">
        <v>40</v>
      </c>
      <c r="J318" s="2" t="s">
        <v>41</v>
      </c>
      <c r="K318" s="2"/>
    </row>
    <row r="319" spans="1:11" hidden="1" x14ac:dyDescent="0.3">
      <c r="A319" t="str">
        <f t="shared" si="4"/>
        <v>Castle Britannia|Treasury Guard|LOOK</v>
      </c>
      <c r="B319" s="2" t="s">
        <v>9</v>
      </c>
      <c r="C319" s="2" t="s">
        <v>10</v>
      </c>
      <c r="D319" s="2" t="s">
        <v>38</v>
      </c>
      <c r="E319" s="2" t="s">
        <v>16</v>
      </c>
      <c r="F319" s="2" t="s">
        <v>42</v>
      </c>
      <c r="G319" s="8" t="str">
        <f>IF(ISNA(VLOOKUP(B319&amp;"|"&amp;C319&amp;"|"&amp;D319&amp;"|"&amp;E319,QuestionTriggers!A:F,6,FALSE)),"","---&gt;")</f>
        <v/>
      </c>
      <c r="H319" s="2" t="s">
        <v>39</v>
      </c>
      <c r="I319" s="2" t="s">
        <v>40</v>
      </c>
      <c r="J319" s="2" t="s">
        <v>41</v>
      </c>
      <c r="K319" s="2"/>
    </row>
    <row r="320" spans="1:11" hidden="1" x14ac:dyDescent="0.3">
      <c r="A320" t="str">
        <f t="shared" si="4"/>
        <v>Castle Britannia|Treasury Guard|NAME</v>
      </c>
      <c r="B320" s="2" t="s">
        <v>9</v>
      </c>
      <c r="C320" s="2" t="s">
        <v>10</v>
      </c>
      <c r="D320" s="2" t="s">
        <v>38</v>
      </c>
      <c r="E320" s="2" t="s">
        <v>12</v>
      </c>
      <c r="F320" s="2" t="s">
        <v>27</v>
      </c>
      <c r="G320" s="8" t="str">
        <f>IF(ISNA(VLOOKUP(B320&amp;"|"&amp;C320&amp;"|"&amp;D320&amp;"|"&amp;E320,QuestionTriggers!A:F,6,FALSE)),"","---&gt;")</f>
        <v/>
      </c>
      <c r="H320" s="2" t="s">
        <v>39</v>
      </c>
      <c r="I320" s="2" t="s">
        <v>40</v>
      </c>
      <c r="J320" s="2" t="s">
        <v>41</v>
      </c>
      <c r="K320" s="2"/>
    </row>
    <row r="321" spans="1:11" hidden="1" x14ac:dyDescent="0.3">
      <c r="A321" t="str">
        <f t="shared" si="4"/>
        <v>Castle Britannia|Treasury Guard|TREA</v>
      </c>
      <c r="B321" s="2" t="s">
        <v>9</v>
      </c>
      <c r="C321" s="2" t="s">
        <v>10</v>
      </c>
      <c r="D321" s="2" t="s">
        <v>38</v>
      </c>
      <c r="E321" s="2" t="s">
        <v>45</v>
      </c>
      <c r="F321" s="2" t="s">
        <v>46</v>
      </c>
      <c r="G321" s="8" t="str">
        <f>IF(ISNA(VLOOKUP(B321&amp;"|"&amp;C321&amp;"|"&amp;D321&amp;"|"&amp;E321,QuestionTriggers!A:F,6,FALSE)),"","---&gt;")</f>
        <v>---&gt;</v>
      </c>
      <c r="H321" s="2" t="s">
        <v>39</v>
      </c>
      <c r="I321" s="2" t="s">
        <v>40</v>
      </c>
      <c r="J321" s="2" t="s">
        <v>41</v>
      </c>
      <c r="K321" s="2"/>
    </row>
    <row r="322" spans="1:11" ht="26.4" hidden="1" x14ac:dyDescent="0.3">
      <c r="A322" t="str">
        <f t="shared" si="4"/>
        <v>Castle Britannia|Water|ALTA</v>
      </c>
      <c r="B322" s="2" t="s">
        <v>9</v>
      </c>
      <c r="C322" s="2" t="s">
        <v>10</v>
      </c>
      <c r="D322" s="2" t="s">
        <v>186</v>
      </c>
      <c r="E322" s="2" t="s">
        <v>192</v>
      </c>
      <c r="F322" s="2" t="s">
        <v>193</v>
      </c>
      <c r="G322" s="8" t="str">
        <f>IF(ISNA(VLOOKUP(B322&amp;"|"&amp;C322&amp;"|"&amp;D322&amp;"|"&amp;E322,QuestionTriggers!A:F,6,FALSE)),"","---&gt;")</f>
        <v>---&gt;</v>
      </c>
      <c r="H322" s="2" t="s">
        <v>88</v>
      </c>
      <c r="I322" s="2" t="s">
        <v>187</v>
      </c>
      <c r="J322" s="2" t="s">
        <v>90</v>
      </c>
      <c r="K322" s="2"/>
    </row>
    <row r="323" spans="1:11" ht="26.4" hidden="1" x14ac:dyDescent="0.3">
      <c r="A323" t="str">
        <f t="shared" ref="A323:A386" si="5">C323&amp;"|"&amp;D323&amp;"|"&amp;E323</f>
        <v>Castle Britannia|Water|HEALTH</v>
      </c>
      <c r="B323" s="2" t="s">
        <v>9</v>
      </c>
      <c r="C323" s="2" t="s">
        <v>10</v>
      </c>
      <c r="D323" s="2" t="s">
        <v>186</v>
      </c>
      <c r="E323" s="2" t="s">
        <v>20</v>
      </c>
      <c r="F323" s="2" t="s">
        <v>189</v>
      </c>
      <c r="G323" s="8" t="str">
        <f>IF(ISNA(VLOOKUP(B323&amp;"|"&amp;C323&amp;"|"&amp;D323&amp;"|"&amp;E323,QuestionTriggers!A:F,6,FALSE)),"","---&gt;")</f>
        <v/>
      </c>
      <c r="H323" s="2" t="s">
        <v>88</v>
      </c>
      <c r="I323" s="2" t="s">
        <v>187</v>
      </c>
      <c r="J323" s="2" t="s">
        <v>90</v>
      </c>
      <c r="K323" s="2"/>
    </row>
    <row r="324" spans="1:11" ht="26.4" hidden="1" x14ac:dyDescent="0.3">
      <c r="A324" t="str">
        <f t="shared" si="5"/>
        <v>Castle Britannia|Water|JOB</v>
      </c>
      <c r="B324" s="2" t="s">
        <v>9</v>
      </c>
      <c r="C324" s="2" t="s">
        <v>10</v>
      </c>
      <c r="D324" s="2" t="s">
        <v>186</v>
      </c>
      <c r="E324" s="2" t="s">
        <v>18</v>
      </c>
      <c r="F324" s="2" t="s">
        <v>188</v>
      </c>
      <c r="G324" s="8" t="str">
        <f>IF(ISNA(VLOOKUP(B324&amp;"|"&amp;C324&amp;"|"&amp;D324&amp;"|"&amp;E324,QuestionTriggers!A:F,6,FALSE)),"","---&gt;")</f>
        <v/>
      </c>
      <c r="H324" s="2" t="s">
        <v>88</v>
      </c>
      <c r="I324" s="2" t="s">
        <v>187</v>
      </c>
      <c r="J324" s="2" t="s">
        <v>90</v>
      </c>
      <c r="K324" s="2"/>
    </row>
    <row r="325" spans="1:11" ht="26.4" hidden="1" x14ac:dyDescent="0.3">
      <c r="A325" t="str">
        <f t="shared" si="5"/>
        <v>Castle Britannia|Water|LOOK</v>
      </c>
      <c r="B325" s="2" t="s">
        <v>9</v>
      </c>
      <c r="C325" s="2" t="s">
        <v>10</v>
      </c>
      <c r="D325" s="2" t="s">
        <v>186</v>
      </c>
      <c r="E325" s="2" t="s">
        <v>16</v>
      </c>
      <c r="F325" s="2" t="s">
        <v>186</v>
      </c>
      <c r="G325" s="8" t="str">
        <f>IF(ISNA(VLOOKUP(B325&amp;"|"&amp;C325&amp;"|"&amp;D325&amp;"|"&amp;E325,QuestionTriggers!A:F,6,FALSE)),"","---&gt;")</f>
        <v/>
      </c>
      <c r="H325" s="2" t="s">
        <v>88</v>
      </c>
      <c r="I325" s="2" t="s">
        <v>187</v>
      </c>
      <c r="J325" s="2" t="s">
        <v>90</v>
      </c>
      <c r="K325" s="2"/>
    </row>
    <row r="326" spans="1:11" ht="26.4" hidden="1" x14ac:dyDescent="0.3">
      <c r="A326" t="str">
        <f t="shared" si="5"/>
        <v>Castle Britannia|Water|NAME</v>
      </c>
      <c r="B326" s="2" t="s">
        <v>9</v>
      </c>
      <c r="C326" s="2" t="s">
        <v>10</v>
      </c>
      <c r="D326" s="2" t="s">
        <v>186</v>
      </c>
      <c r="E326" s="2" t="s">
        <v>12</v>
      </c>
      <c r="F326" s="2" t="s">
        <v>186</v>
      </c>
      <c r="G326" s="8" t="str">
        <f>IF(ISNA(VLOOKUP(B326&amp;"|"&amp;C326&amp;"|"&amp;D326&amp;"|"&amp;E326,QuestionTriggers!A:F,6,FALSE)),"","---&gt;")</f>
        <v/>
      </c>
      <c r="H326" s="2" t="s">
        <v>88</v>
      </c>
      <c r="I326" s="2" t="s">
        <v>187</v>
      </c>
      <c r="J326" s="2" t="s">
        <v>90</v>
      </c>
      <c r="K326" s="2"/>
    </row>
    <row r="327" spans="1:11" ht="26.4" hidden="1" x14ac:dyDescent="0.3">
      <c r="A327" t="str">
        <f t="shared" si="5"/>
        <v>Castle Britannia|Water|SECR</v>
      </c>
      <c r="B327" s="2" t="s">
        <v>9</v>
      </c>
      <c r="C327" s="2" t="s">
        <v>10</v>
      </c>
      <c r="D327" s="2" t="s">
        <v>186</v>
      </c>
      <c r="E327" s="2" t="s">
        <v>190</v>
      </c>
      <c r="F327" s="2" t="s">
        <v>191</v>
      </c>
      <c r="G327" s="8" t="str">
        <f>IF(ISNA(VLOOKUP(B327&amp;"|"&amp;C327&amp;"|"&amp;D327&amp;"|"&amp;E327,QuestionTriggers!A:F,6,FALSE)),"","---&gt;")</f>
        <v/>
      </c>
      <c r="H327" s="2" t="s">
        <v>88</v>
      </c>
      <c r="I327" s="2" t="s">
        <v>187</v>
      </c>
      <c r="J327" s="2" t="s">
        <v>90</v>
      </c>
      <c r="K327" s="2"/>
    </row>
    <row r="328" spans="1:11" ht="26.4" hidden="1" x14ac:dyDescent="0.3">
      <c r="A328" t="str">
        <f t="shared" si="5"/>
        <v>Castle Britannia|Zorin|CAST</v>
      </c>
      <c r="B328" s="2" t="s">
        <v>9</v>
      </c>
      <c r="C328" s="2" t="s">
        <v>10</v>
      </c>
      <c r="D328" s="2" t="s">
        <v>194</v>
      </c>
      <c r="E328" s="2" t="s">
        <v>36</v>
      </c>
      <c r="F328" s="2" t="s">
        <v>202</v>
      </c>
      <c r="G328" s="8" t="str">
        <f>IF(ISNA(VLOOKUP(B328&amp;"|"&amp;C328&amp;"|"&amp;D328&amp;"|"&amp;E328,QuestionTriggers!A:F,6,FALSE)),"","---&gt;")</f>
        <v>---&gt;</v>
      </c>
      <c r="H328" s="2" t="s">
        <v>195</v>
      </c>
      <c r="I328" s="2" t="s">
        <v>196</v>
      </c>
      <c r="J328" s="2" t="s">
        <v>197</v>
      </c>
      <c r="K328" s="2"/>
    </row>
    <row r="329" spans="1:11" ht="26.4" hidden="1" x14ac:dyDescent="0.3">
      <c r="A329" t="str">
        <f t="shared" si="5"/>
        <v>Castle Britannia|Zorin|HEALTH</v>
      </c>
      <c r="B329" s="2" t="s">
        <v>9</v>
      </c>
      <c r="C329" s="2" t="s">
        <v>10</v>
      </c>
      <c r="D329" s="2" t="s">
        <v>194</v>
      </c>
      <c r="E329" s="2" t="s">
        <v>20</v>
      </c>
      <c r="F329" s="2" t="s">
        <v>200</v>
      </c>
      <c r="G329" s="8" t="str">
        <f>IF(ISNA(VLOOKUP(B329&amp;"|"&amp;C329&amp;"|"&amp;D329&amp;"|"&amp;E329,QuestionTriggers!A:F,6,FALSE)),"","---&gt;")</f>
        <v/>
      </c>
      <c r="H329" s="2" t="s">
        <v>195</v>
      </c>
      <c r="I329" s="2" t="s">
        <v>196</v>
      </c>
      <c r="J329" s="2" t="s">
        <v>197</v>
      </c>
      <c r="K329" s="2"/>
    </row>
    <row r="330" spans="1:11" ht="26.4" hidden="1" x14ac:dyDescent="0.3">
      <c r="A330" t="str">
        <f t="shared" si="5"/>
        <v>Castle Britannia|Zorin|HELP</v>
      </c>
      <c r="B330" s="2" t="s">
        <v>9</v>
      </c>
      <c r="C330" s="2" t="s">
        <v>10</v>
      </c>
      <c r="D330" s="2" t="s">
        <v>194</v>
      </c>
      <c r="E330" s="2" t="s">
        <v>94</v>
      </c>
      <c r="F330" s="2" t="s">
        <v>201</v>
      </c>
      <c r="G330" s="8" t="str">
        <f>IF(ISNA(VLOOKUP(B330&amp;"|"&amp;C330&amp;"|"&amp;D330&amp;"|"&amp;E330,QuestionTriggers!A:F,6,FALSE)),"","---&gt;")</f>
        <v/>
      </c>
      <c r="H330" s="2" t="s">
        <v>195</v>
      </c>
      <c r="I330" s="2" t="s">
        <v>196</v>
      </c>
      <c r="J330" s="2" t="s">
        <v>197</v>
      </c>
      <c r="K330" s="2"/>
    </row>
    <row r="331" spans="1:11" ht="26.4" hidden="1" x14ac:dyDescent="0.3">
      <c r="A331" t="str">
        <f t="shared" si="5"/>
        <v>Castle Britannia|Zorin|JOB</v>
      </c>
      <c r="B331" s="2" t="s">
        <v>9</v>
      </c>
      <c r="C331" s="2" t="s">
        <v>10</v>
      </c>
      <c r="D331" s="2" t="s">
        <v>194</v>
      </c>
      <c r="E331" s="2" t="s">
        <v>18</v>
      </c>
      <c r="F331" s="2" t="s">
        <v>199</v>
      </c>
      <c r="G331" s="8" t="str">
        <f>IF(ISNA(VLOOKUP(B331&amp;"|"&amp;C331&amp;"|"&amp;D331&amp;"|"&amp;E331,QuestionTriggers!A:F,6,FALSE)),"","---&gt;")</f>
        <v/>
      </c>
      <c r="H331" s="2" t="s">
        <v>195</v>
      </c>
      <c r="I331" s="2" t="s">
        <v>196</v>
      </c>
      <c r="J331" s="2" t="s">
        <v>197</v>
      </c>
      <c r="K331" s="2"/>
    </row>
    <row r="332" spans="1:11" ht="26.4" hidden="1" x14ac:dyDescent="0.3">
      <c r="A332" t="str">
        <f t="shared" si="5"/>
        <v>Castle Britannia|Zorin|LOOK</v>
      </c>
      <c r="B332" s="2" t="s">
        <v>9</v>
      </c>
      <c r="C332" s="2" t="s">
        <v>10</v>
      </c>
      <c r="D332" s="2" t="s">
        <v>194</v>
      </c>
      <c r="E332" s="2" t="s">
        <v>16</v>
      </c>
      <c r="F332" s="2" t="s">
        <v>198</v>
      </c>
      <c r="G332" s="8" t="str">
        <f>IF(ISNA(VLOOKUP(B332&amp;"|"&amp;C332&amp;"|"&amp;D332&amp;"|"&amp;E332,QuestionTriggers!A:F,6,FALSE)),"","---&gt;")</f>
        <v/>
      </c>
      <c r="H332" s="2" t="s">
        <v>195</v>
      </c>
      <c r="I332" s="2" t="s">
        <v>196</v>
      </c>
      <c r="J332" s="2" t="s">
        <v>197</v>
      </c>
      <c r="K332" s="2"/>
    </row>
    <row r="333" spans="1:11" ht="26.4" hidden="1" x14ac:dyDescent="0.3">
      <c r="A333" t="str">
        <f t="shared" si="5"/>
        <v>Castle Britannia|Zorin|NAME</v>
      </c>
      <c r="B333" s="2" t="s">
        <v>9</v>
      </c>
      <c r="C333" s="2" t="s">
        <v>10</v>
      </c>
      <c r="D333" s="2" t="s">
        <v>194</v>
      </c>
      <c r="E333" s="2" t="s">
        <v>12</v>
      </c>
      <c r="F333" s="2" t="s">
        <v>194</v>
      </c>
      <c r="G333" s="8" t="str">
        <f>IF(ISNA(VLOOKUP(B333&amp;"|"&amp;C333&amp;"|"&amp;D333&amp;"|"&amp;E333,QuestionTriggers!A:F,6,FALSE)),"","---&gt;")</f>
        <v/>
      </c>
      <c r="H333" s="2" t="s">
        <v>195</v>
      </c>
      <c r="I333" s="2" t="s">
        <v>196</v>
      </c>
      <c r="J333" s="2" t="s">
        <v>197</v>
      </c>
      <c r="K333" s="2"/>
    </row>
    <row r="334" spans="1:11" hidden="1" x14ac:dyDescent="0.3">
      <c r="A334" t="str">
        <f t="shared" si="5"/>
        <v>Cove|Allen|ABYS</v>
      </c>
      <c r="B334" s="2" t="s">
        <v>1768</v>
      </c>
      <c r="C334" s="2" t="s">
        <v>2166</v>
      </c>
      <c r="D334" s="2" t="s">
        <v>2167</v>
      </c>
      <c r="E334" s="2" t="s">
        <v>265</v>
      </c>
      <c r="F334" s="2" t="s">
        <v>2172</v>
      </c>
      <c r="G334" s="8" t="str">
        <f>IF(ISNA(VLOOKUP(B334&amp;"|"&amp;C334&amp;"|"&amp;D334&amp;"|"&amp;E334,QuestionTriggers!A:F,6,FALSE)),"","---&gt;")</f>
        <v/>
      </c>
      <c r="H334" s="2" t="s">
        <v>2168</v>
      </c>
      <c r="I334" s="2" t="s">
        <v>2169</v>
      </c>
      <c r="J334" s="2" t="s">
        <v>2169</v>
      </c>
      <c r="K334" s="2"/>
    </row>
    <row r="335" spans="1:11" hidden="1" x14ac:dyDescent="0.3">
      <c r="A335" t="str">
        <f t="shared" si="5"/>
        <v>Cove|Allen|HEALTH</v>
      </c>
      <c r="B335" s="2" t="s">
        <v>1768</v>
      </c>
      <c r="C335" s="2" t="s">
        <v>2166</v>
      </c>
      <c r="D335" s="2" t="s">
        <v>2167</v>
      </c>
      <c r="E335" s="2" t="s">
        <v>20</v>
      </c>
      <c r="F335" s="2" t="s">
        <v>1369</v>
      </c>
      <c r="G335" s="8" t="str">
        <f>IF(ISNA(VLOOKUP(B335&amp;"|"&amp;C335&amp;"|"&amp;D335&amp;"|"&amp;E335,QuestionTriggers!A:F,6,FALSE)),"","---&gt;")</f>
        <v/>
      </c>
      <c r="H335" s="2" t="s">
        <v>2168</v>
      </c>
      <c r="I335" s="2" t="s">
        <v>2169</v>
      </c>
      <c r="J335" s="2" t="s">
        <v>2169</v>
      </c>
      <c r="K335" s="2"/>
    </row>
    <row r="336" spans="1:11" hidden="1" x14ac:dyDescent="0.3">
      <c r="A336" t="str">
        <f t="shared" si="5"/>
        <v>Cove|Allen|JOB</v>
      </c>
      <c r="B336" s="2" t="s">
        <v>1768</v>
      </c>
      <c r="C336" s="2" t="s">
        <v>2166</v>
      </c>
      <c r="D336" s="2" t="s">
        <v>2167</v>
      </c>
      <c r="E336" s="2" t="s">
        <v>18</v>
      </c>
      <c r="F336" s="2" t="s">
        <v>2171</v>
      </c>
      <c r="G336" s="8" t="str">
        <f>IF(ISNA(VLOOKUP(B336&amp;"|"&amp;C336&amp;"|"&amp;D336&amp;"|"&amp;E336,QuestionTriggers!A:F,6,FALSE)),"","---&gt;")</f>
        <v/>
      </c>
      <c r="H336" s="2" t="s">
        <v>2168</v>
      </c>
      <c r="I336" s="2" t="s">
        <v>2169</v>
      </c>
      <c r="J336" s="2" t="s">
        <v>2169</v>
      </c>
      <c r="K336" s="2"/>
    </row>
    <row r="337" spans="1:11" hidden="1" x14ac:dyDescent="0.3">
      <c r="A337" t="str">
        <f t="shared" si="5"/>
        <v>Cove|Allen|LOOK</v>
      </c>
      <c r="B337" s="2" t="s">
        <v>1768</v>
      </c>
      <c r="C337" s="2" t="s">
        <v>2166</v>
      </c>
      <c r="D337" s="2" t="s">
        <v>2167</v>
      </c>
      <c r="E337" s="2" t="s">
        <v>16</v>
      </c>
      <c r="F337" s="2" t="s">
        <v>2170</v>
      </c>
      <c r="G337" s="8" t="str">
        <f>IF(ISNA(VLOOKUP(B337&amp;"|"&amp;C337&amp;"|"&amp;D337&amp;"|"&amp;E337,QuestionTriggers!A:F,6,FALSE)),"","---&gt;")</f>
        <v/>
      </c>
      <c r="H337" s="2" t="s">
        <v>2168</v>
      </c>
      <c r="I337" s="2" t="s">
        <v>2169</v>
      </c>
      <c r="J337" s="2" t="s">
        <v>2169</v>
      </c>
      <c r="K337" s="2"/>
    </row>
    <row r="338" spans="1:11" hidden="1" x14ac:dyDescent="0.3">
      <c r="A338" t="str">
        <f t="shared" si="5"/>
        <v>Cove|Allen|NAME</v>
      </c>
      <c r="B338" s="2" t="s">
        <v>1768</v>
      </c>
      <c r="C338" s="2" t="s">
        <v>2166</v>
      </c>
      <c r="D338" s="2" t="s">
        <v>2167</v>
      </c>
      <c r="E338" s="2" t="s">
        <v>12</v>
      </c>
      <c r="F338" s="2" t="s">
        <v>2167</v>
      </c>
      <c r="G338" s="8" t="str">
        <f>IF(ISNA(VLOOKUP(B338&amp;"|"&amp;C338&amp;"|"&amp;D338&amp;"|"&amp;E338,QuestionTriggers!A:F,6,FALSE)),"","---&gt;")</f>
        <v/>
      </c>
      <c r="H338" s="2" t="s">
        <v>2168</v>
      </c>
      <c r="I338" s="2" t="s">
        <v>2169</v>
      </c>
      <c r="J338" s="2" t="s">
        <v>2169</v>
      </c>
      <c r="K338" s="2"/>
    </row>
    <row r="339" spans="1:11" hidden="1" x14ac:dyDescent="0.3">
      <c r="A339" t="str">
        <f t="shared" si="5"/>
        <v>Cove|Allen|SHIP</v>
      </c>
      <c r="B339" s="2" t="s">
        <v>1768</v>
      </c>
      <c r="C339" s="2" t="s">
        <v>2166</v>
      </c>
      <c r="D339" s="2" t="s">
        <v>2167</v>
      </c>
      <c r="E339" s="2" t="s">
        <v>596</v>
      </c>
      <c r="F339" s="2" t="s">
        <v>2173</v>
      </c>
      <c r="G339" s="8" t="str">
        <f>IF(ISNA(VLOOKUP(B339&amp;"|"&amp;C339&amp;"|"&amp;D339&amp;"|"&amp;E339,QuestionTriggers!A:F,6,FALSE)),"","---&gt;")</f>
        <v>---&gt;</v>
      </c>
      <c r="H339" s="2" t="s">
        <v>2168</v>
      </c>
      <c r="I339" s="2" t="s">
        <v>2169</v>
      </c>
      <c r="J339" s="2" t="s">
        <v>2169</v>
      </c>
      <c r="K339" s="2"/>
    </row>
    <row r="340" spans="1:11" ht="26.4" hidden="1" x14ac:dyDescent="0.3">
      <c r="A340" t="str">
        <f t="shared" si="5"/>
        <v>Cove|Ankh|CHAM</v>
      </c>
      <c r="B340" s="2" t="s">
        <v>1768</v>
      </c>
      <c r="C340" s="2" t="s">
        <v>2166</v>
      </c>
      <c r="D340" s="2" t="s">
        <v>2194</v>
      </c>
      <c r="E340" s="2" t="s">
        <v>2200</v>
      </c>
      <c r="F340" s="2" t="s">
        <v>2201</v>
      </c>
      <c r="G340" s="8" t="str">
        <f>IF(ISNA(VLOOKUP(B340&amp;"|"&amp;C340&amp;"|"&amp;D340&amp;"|"&amp;E340,QuestionTriggers!A:F,6,FALSE)),"","---&gt;")</f>
        <v>---&gt;</v>
      </c>
      <c r="H340" s="2" t="s">
        <v>2196</v>
      </c>
      <c r="I340" s="2" t="s">
        <v>545</v>
      </c>
      <c r="J340" s="2" t="s">
        <v>90</v>
      </c>
      <c r="K340" s="2"/>
    </row>
    <row r="341" spans="1:11" hidden="1" x14ac:dyDescent="0.3">
      <c r="A341" t="str">
        <f t="shared" si="5"/>
        <v>Cove|Ankh|CODE</v>
      </c>
      <c r="B341" s="2" t="s">
        <v>1768</v>
      </c>
      <c r="C341" s="2" t="s">
        <v>2166</v>
      </c>
      <c r="D341" s="2" t="s">
        <v>2194</v>
      </c>
      <c r="E341" s="2" t="s">
        <v>607</v>
      </c>
      <c r="F341" s="2" t="s">
        <v>2199</v>
      </c>
      <c r="G341" s="8" t="str">
        <f>IF(ISNA(VLOOKUP(B341&amp;"|"&amp;C341&amp;"|"&amp;D341&amp;"|"&amp;E341,QuestionTriggers!A:F,6,FALSE)),"","---&gt;")</f>
        <v/>
      </c>
      <c r="H341" s="2" t="s">
        <v>2196</v>
      </c>
      <c r="I341" s="2" t="s">
        <v>545</v>
      </c>
      <c r="J341" s="2" t="s">
        <v>90</v>
      </c>
      <c r="K341" s="2"/>
    </row>
    <row r="342" spans="1:11" hidden="1" x14ac:dyDescent="0.3">
      <c r="A342" t="str">
        <f t="shared" si="5"/>
        <v>Cove|Ankh|HEALTH</v>
      </c>
      <c r="B342" s="2" t="s">
        <v>1768</v>
      </c>
      <c r="C342" s="2" t="s">
        <v>2166</v>
      </c>
      <c r="D342" s="2" t="s">
        <v>2194</v>
      </c>
      <c r="E342" s="2" t="s">
        <v>20</v>
      </c>
      <c r="F342" s="2" t="s">
        <v>1285</v>
      </c>
      <c r="G342" s="8" t="str">
        <f>IF(ISNA(VLOOKUP(B342&amp;"|"&amp;C342&amp;"|"&amp;D342&amp;"|"&amp;E342,QuestionTriggers!A:F,6,FALSE)),"","---&gt;")</f>
        <v/>
      </c>
      <c r="H342" s="2" t="s">
        <v>2196</v>
      </c>
      <c r="I342" s="2" t="s">
        <v>545</v>
      </c>
      <c r="J342" s="2" t="s">
        <v>90</v>
      </c>
      <c r="K342" s="2"/>
    </row>
    <row r="343" spans="1:11" hidden="1" x14ac:dyDescent="0.3">
      <c r="A343" t="str">
        <f t="shared" si="5"/>
        <v>Cove|Ankh|JOB</v>
      </c>
      <c r="B343" s="2" t="s">
        <v>1768</v>
      </c>
      <c r="C343" s="2" t="s">
        <v>2166</v>
      </c>
      <c r="D343" s="2" t="s">
        <v>2194</v>
      </c>
      <c r="E343" s="2" t="s">
        <v>18</v>
      </c>
      <c r="F343" s="2" t="s">
        <v>2198</v>
      </c>
      <c r="G343" s="8" t="str">
        <f>IF(ISNA(VLOOKUP(B343&amp;"|"&amp;C343&amp;"|"&amp;D343&amp;"|"&amp;E343,QuestionTriggers!A:F,6,FALSE)),"","---&gt;")</f>
        <v/>
      </c>
      <c r="H343" s="2" t="s">
        <v>2196</v>
      </c>
      <c r="I343" s="2" t="s">
        <v>545</v>
      </c>
      <c r="J343" s="2" t="s">
        <v>90</v>
      </c>
      <c r="K343" s="2"/>
    </row>
    <row r="344" spans="1:11" hidden="1" x14ac:dyDescent="0.3">
      <c r="A344" t="str">
        <f t="shared" si="5"/>
        <v>Cove|Ankh|LOOK</v>
      </c>
      <c r="B344" s="2" t="s">
        <v>1768</v>
      </c>
      <c r="C344" s="2" t="s">
        <v>2166</v>
      </c>
      <c r="D344" s="2" t="s">
        <v>2194</v>
      </c>
      <c r="E344" s="2" t="s">
        <v>16</v>
      </c>
      <c r="F344" s="2" t="s">
        <v>2197</v>
      </c>
      <c r="G344" s="8" t="str">
        <f>IF(ISNA(VLOOKUP(B344&amp;"|"&amp;C344&amp;"|"&amp;D344&amp;"|"&amp;E344,QuestionTriggers!A:F,6,FALSE)),"","---&gt;")</f>
        <v/>
      </c>
      <c r="H344" s="2" t="s">
        <v>2196</v>
      </c>
      <c r="I344" s="2" t="s">
        <v>545</v>
      </c>
      <c r="J344" s="2" t="s">
        <v>90</v>
      </c>
      <c r="K344" s="2"/>
    </row>
    <row r="345" spans="1:11" hidden="1" x14ac:dyDescent="0.3">
      <c r="A345" t="str">
        <f t="shared" si="5"/>
        <v>Cove|Ankh|NAME</v>
      </c>
      <c r="B345" s="2" t="s">
        <v>1768</v>
      </c>
      <c r="C345" s="2" t="s">
        <v>2166</v>
      </c>
      <c r="D345" s="2" t="s">
        <v>2194</v>
      </c>
      <c r="E345" s="2" t="s">
        <v>12</v>
      </c>
      <c r="F345" s="2" t="s">
        <v>2195</v>
      </c>
      <c r="G345" s="8" t="str">
        <f>IF(ISNA(VLOOKUP(B345&amp;"|"&amp;C345&amp;"|"&amp;D345&amp;"|"&amp;E345,QuestionTriggers!A:F,6,FALSE)),"","---&gt;")</f>
        <v/>
      </c>
      <c r="H345" s="2" t="s">
        <v>2196</v>
      </c>
      <c r="I345" s="2" t="s">
        <v>545</v>
      </c>
      <c r="J345" s="2" t="s">
        <v>90</v>
      </c>
      <c r="K345" s="2"/>
    </row>
    <row r="346" spans="1:11" ht="26.4" hidden="1" x14ac:dyDescent="0.3">
      <c r="A346" t="str">
        <f t="shared" si="5"/>
        <v>Cove|Blissful|ABYS</v>
      </c>
      <c r="B346" s="2" t="s">
        <v>1768</v>
      </c>
      <c r="C346" s="2" t="s">
        <v>2166</v>
      </c>
      <c r="D346" s="2" t="s">
        <v>2232</v>
      </c>
      <c r="E346" s="2" t="s">
        <v>265</v>
      </c>
      <c r="F346" s="2" t="s">
        <v>2236</v>
      </c>
      <c r="G346" s="8" t="str">
        <f>IF(ISNA(VLOOKUP(B346&amp;"|"&amp;C346&amp;"|"&amp;D346&amp;"|"&amp;E346,QuestionTriggers!A:F,6,FALSE)),"","---&gt;")</f>
        <v/>
      </c>
      <c r="H346" s="2"/>
      <c r="I346" s="2"/>
      <c r="J346" s="2"/>
      <c r="K346" s="2"/>
    </row>
    <row r="347" spans="1:11" hidden="1" x14ac:dyDescent="0.3">
      <c r="A347" t="str">
        <f t="shared" si="5"/>
        <v>Cove|Blissful|CODE</v>
      </c>
      <c r="B347" s="2" t="s">
        <v>1768</v>
      </c>
      <c r="C347" s="2" t="s">
        <v>2166</v>
      </c>
      <c r="D347" s="2" t="s">
        <v>2232</v>
      </c>
      <c r="E347" s="2" t="s">
        <v>607</v>
      </c>
      <c r="F347" s="2" t="s">
        <v>2235</v>
      </c>
      <c r="G347" s="8" t="str">
        <f>IF(ISNA(VLOOKUP(B347&amp;"|"&amp;C347&amp;"|"&amp;D347&amp;"|"&amp;E347,QuestionTriggers!A:F,6,FALSE)),"","---&gt;")</f>
        <v/>
      </c>
      <c r="H347" s="2"/>
      <c r="I347" s="2"/>
      <c r="J347" s="2"/>
      <c r="K347" s="2"/>
    </row>
    <row r="348" spans="1:11" hidden="1" x14ac:dyDescent="0.3">
      <c r="A348" t="str">
        <f t="shared" si="5"/>
        <v>Cove|Blissful|HEALTH</v>
      </c>
      <c r="B348" s="2" t="s">
        <v>1768</v>
      </c>
      <c r="C348" s="2" t="s">
        <v>2166</v>
      </c>
      <c r="D348" s="2" t="s">
        <v>2232</v>
      </c>
      <c r="E348" s="2" t="s">
        <v>20</v>
      </c>
      <c r="F348" s="2" t="s">
        <v>1951</v>
      </c>
      <c r="G348" s="8" t="str">
        <f>IF(ISNA(VLOOKUP(B348&amp;"|"&amp;C348&amp;"|"&amp;D348&amp;"|"&amp;E348,QuestionTriggers!A:F,6,FALSE)),"","---&gt;")</f>
        <v/>
      </c>
      <c r="H348" s="2"/>
      <c r="I348" s="2"/>
      <c r="J348" s="2"/>
      <c r="K348" s="2"/>
    </row>
    <row r="349" spans="1:11" hidden="1" x14ac:dyDescent="0.3">
      <c r="A349" t="str">
        <f t="shared" si="5"/>
        <v>Cove|Blissful|JOB</v>
      </c>
      <c r="B349" s="2" t="s">
        <v>1768</v>
      </c>
      <c r="C349" s="2" t="s">
        <v>2166</v>
      </c>
      <c r="D349" s="2" t="s">
        <v>2232</v>
      </c>
      <c r="E349" s="2" t="s">
        <v>18</v>
      </c>
      <c r="F349" s="2" t="s">
        <v>2234</v>
      </c>
      <c r="G349" s="8" t="str">
        <f>IF(ISNA(VLOOKUP(B349&amp;"|"&amp;C349&amp;"|"&amp;D349&amp;"|"&amp;E349,QuestionTriggers!A:F,6,FALSE)),"","---&gt;")</f>
        <v/>
      </c>
      <c r="H349" s="2"/>
      <c r="I349" s="2"/>
      <c r="J349" s="2"/>
      <c r="K349" s="2"/>
    </row>
    <row r="350" spans="1:11" hidden="1" x14ac:dyDescent="0.3">
      <c r="A350" t="str">
        <f t="shared" si="5"/>
        <v>Cove|Blissful|LOOK</v>
      </c>
      <c r="B350" s="2" t="s">
        <v>1768</v>
      </c>
      <c r="C350" s="2" t="s">
        <v>2166</v>
      </c>
      <c r="D350" s="2" t="s">
        <v>2232</v>
      </c>
      <c r="E350" s="2" t="s">
        <v>16</v>
      </c>
      <c r="F350" s="2" t="s">
        <v>2233</v>
      </c>
      <c r="G350" s="8" t="str">
        <f>IF(ISNA(VLOOKUP(B350&amp;"|"&amp;C350&amp;"|"&amp;D350&amp;"|"&amp;E350,QuestionTriggers!A:F,6,FALSE)),"","---&gt;")</f>
        <v/>
      </c>
      <c r="H350" s="2"/>
      <c r="I350" s="2"/>
      <c r="J350" s="2"/>
      <c r="K350" s="2"/>
    </row>
    <row r="351" spans="1:11" hidden="1" x14ac:dyDescent="0.3">
      <c r="A351" t="str">
        <f t="shared" si="5"/>
        <v>Cove|Blissful|NAME</v>
      </c>
      <c r="B351" s="2" t="s">
        <v>1768</v>
      </c>
      <c r="C351" s="2" t="s">
        <v>2166</v>
      </c>
      <c r="D351" s="2" t="s">
        <v>2232</v>
      </c>
      <c r="E351" s="2" t="s">
        <v>12</v>
      </c>
      <c r="F351" s="2" t="s">
        <v>2232</v>
      </c>
      <c r="G351" s="8" t="str">
        <f>IF(ISNA(VLOOKUP(B351&amp;"|"&amp;C351&amp;"|"&amp;D351&amp;"|"&amp;E351,QuestionTriggers!A:F,6,FALSE)),"","---&gt;")</f>
        <v/>
      </c>
      <c r="H351" s="2"/>
      <c r="I351" s="2"/>
      <c r="J351" s="2"/>
      <c r="K351" s="2"/>
    </row>
    <row r="352" spans="1:11" hidden="1" x14ac:dyDescent="0.3">
      <c r="A352" t="str">
        <f t="shared" si="5"/>
        <v>Cove|Brother Zair|HEALTH</v>
      </c>
      <c r="B352" s="2" t="s">
        <v>1768</v>
      </c>
      <c r="C352" s="2" t="s">
        <v>2166</v>
      </c>
      <c r="D352" s="2" t="s">
        <v>2245</v>
      </c>
      <c r="E352" s="2" t="s">
        <v>20</v>
      </c>
      <c r="F352" s="2" t="s">
        <v>181</v>
      </c>
      <c r="G352" s="8" t="str">
        <f>IF(ISNA(VLOOKUP(B352&amp;"|"&amp;C352&amp;"|"&amp;D352&amp;"|"&amp;E352,QuestionTriggers!A:F,6,FALSE)),"","---&gt;")</f>
        <v/>
      </c>
      <c r="H352" s="2" t="s">
        <v>2246</v>
      </c>
      <c r="I352" s="2" t="s">
        <v>177</v>
      </c>
      <c r="J352" s="2" t="s">
        <v>2247</v>
      </c>
      <c r="K352" s="2"/>
    </row>
    <row r="353" spans="1:11" hidden="1" x14ac:dyDescent="0.3">
      <c r="A353" t="str">
        <f t="shared" si="5"/>
        <v>Cove|Brother Zair|JOB</v>
      </c>
      <c r="B353" s="2" t="s">
        <v>1768</v>
      </c>
      <c r="C353" s="2" t="s">
        <v>2166</v>
      </c>
      <c r="D353" s="2" t="s">
        <v>2245</v>
      </c>
      <c r="E353" s="2" t="s">
        <v>18</v>
      </c>
      <c r="F353" s="2" t="s">
        <v>2248</v>
      </c>
      <c r="G353" s="8" t="str">
        <f>IF(ISNA(VLOOKUP(B353&amp;"|"&amp;C353&amp;"|"&amp;D353&amp;"|"&amp;E353,QuestionTriggers!A:F,6,FALSE)),"","---&gt;")</f>
        <v/>
      </c>
      <c r="H353" s="2" t="s">
        <v>2246</v>
      </c>
      <c r="I353" s="2" t="s">
        <v>177</v>
      </c>
      <c r="J353" s="2" t="s">
        <v>2247</v>
      </c>
      <c r="K353" s="2"/>
    </row>
    <row r="354" spans="1:11" hidden="1" x14ac:dyDescent="0.3">
      <c r="A354" t="str">
        <f t="shared" si="5"/>
        <v>Cove|Brother Zair|LOOK</v>
      </c>
      <c r="B354" s="2" t="s">
        <v>1768</v>
      </c>
      <c r="C354" s="2" t="s">
        <v>2166</v>
      </c>
      <c r="D354" s="2" t="s">
        <v>2245</v>
      </c>
      <c r="E354" s="2" t="s">
        <v>16</v>
      </c>
      <c r="F354" s="2" t="s">
        <v>2228</v>
      </c>
      <c r="G354" s="8" t="str">
        <f>IF(ISNA(VLOOKUP(B354&amp;"|"&amp;C354&amp;"|"&amp;D354&amp;"|"&amp;E354,QuestionTriggers!A:F,6,FALSE)),"","---&gt;")</f>
        <v/>
      </c>
      <c r="H354" s="2" t="s">
        <v>2246</v>
      </c>
      <c r="I354" s="2" t="s">
        <v>177</v>
      </c>
      <c r="J354" s="2" t="s">
        <v>2247</v>
      </c>
      <c r="K354" s="2"/>
    </row>
    <row r="355" spans="1:11" hidden="1" x14ac:dyDescent="0.3">
      <c r="A355" t="str">
        <f t="shared" si="5"/>
        <v>Cove|Brother Zair|NAME</v>
      </c>
      <c r="B355" s="2" t="s">
        <v>1768</v>
      </c>
      <c r="C355" s="2" t="s">
        <v>2166</v>
      </c>
      <c r="D355" s="2" t="s">
        <v>2245</v>
      </c>
      <c r="E355" s="2" t="s">
        <v>12</v>
      </c>
      <c r="F355" s="2" t="s">
        <v>2245</v>
      </c>
      <c r="G355" s="8" t="str">
        <f>IF(ISNA(VLOOKUP(B355&amp;"|"&amp;C355&amp;"|"&amp;D355&amp;"|"&amp;E355,QuestionTriggers!A:F,6,FALSE)),"","---&gt;")</f>
        <v/>
      </c>
      <c r="H355" s="2" t="s">
        <v>2246</v>
      </c>
      <c r="I355" s="2" t="s">
        <v>177</v>
      </c>
      <c r="J355" s="2" t="s">
        <v>2247</v>
      </c>
      <c r="K355" s="2"/>
    </row>
    <row r="356" spans="1:11" hidden="1" x14ac:dyDescent="0.3">
      <c r="A356" t="str">
        <f t="shared" si="5"/>
        <v>Cove|Brother Zair|RIVE</v>
      </c>
      <c r="B356" s="2" t="s">
        <v>1768</v>
      </c>
      <c r="C356" s="2" t="s">
        <v>2166</v>
      </c>
      <c r="D356" s="2" t="s">
        <v>2245</v>
      </c>
      <c r="E356" s="2" t="s">
        <v>2249</v>
      </c>
      <c r="F356" s="2" t="s">
        <v>2250</v>
      </c>
      <c r="G356" s="8" t="str">
        <f>IF(ISNA(VLOOKUP(B356&amp;"|"&amp;C356&amp;"|"&amp;D356&amp;"|"&amp;E356,QuestionTriggers!A:F,6,FALSE)),"","---&gt;")</f>
        <v/>
      </c>
      <c r="H356" s="2" t="s">
        <v>2246</v>
      </c>
      <c r="I356" s="2" t="s">
        <v>177</v>
      </c>
      <c r="J356" s="2" t="s">
        <v>2247</v>
      </c>
      <c r="K356" s="2"/>
    </row>
    <row r="357" spans="1:11" ht="26.4" hidden="1" x14ac:dyDescent="0.3">
      <c r="A357" t="str">
        <f t="shared" si="5"/>
        <v>Cove|Brother Zair|WORD</v>
      </c>
      <c r="B357" s="2" t="s">
        <v>1768</v>
      </c>
      <c r="C357" s="2" t="s">
        <v>2166</v>
      </c>
      <c r="D357" s="2" t="s">
        <v>2245</v>
      </c>
      <c r="E357" s="2" t="s">
        <v>286</v>
      </c>
      <c r="F357" s="2" t="s">
        <v>2251</v>
      </c>
      <c r="G357" s="8" t="str">
        <f>IF(ISNA(VLOOKUP(B357&amp;"|"&amp;C357&amp;"|"&amp;D357&amp;"|"&amp;E357,QuestionTriggers!A:F,6,FALSE)),"","---&gt;")</f>
        <v>---&gt;</v>
      </c>
      <c r="H357" s="2" t="s">
        <v>2246</v>
      </c>
      <c r="I357" s="2" t="s">
        <v>177</v>
      </c>
      <c r="J357" s="2" t="s">
        <v>2247</v>
      </c>
      <c r="K357" s="2"/>
    </row>
    <row r="358" spans="1:11" ht="39.6" hidden="1" x14ac:dyDescent="0.3">
      <c r="A358" t="str">
        <f t="shared" si="5"/>
        <v>Cove|Charm|AXIO</v>
      </c>
      <c r="B358" s="2" t="s">
        <v>1768</v>
      </c>
      <c r="C358" s="2" t="s">
        <v>2166</v>
      </c>
      <c r="D358" s="2" t="s">
        <v>2263</v>
      </c>
      <c r="E358" s="2" t="s">
        <v>2270</v>
      </c>
      <c r="F358" s="2" t="s">
        <v>2271</v>
      </c>
      <c r="G358" s="8" t="str">
        <f>IF(ISNA(VLOOKUP(B358&amp;"|"&amp;C358&amp;"|"&amp;D358&amp;"|"&amp;E358,QuestionTriggers!A:F,6,FALSE)),"","---&gt;")</f>
        <v>---&gt;</v>
      </c>
      <c r="H358" s="2" t="s">
        <v>2264</v>
      </c>
      <c r="I358" s="2" t="s">
        <v>177</v>
      </c>
      <c r="J358" s="2" t="s">
        <v>2265</v>
      </c>
      <c r="K358" s="2"/>
    </row>
    <row r="359" spans="1:11" ht="39.6" hidden="1" x14ac:dyDescent="0.3">
      <c r="A359" t="str">
        <f t="shared" si="5"/>
        <v>Cove|Charm|HEALTH</v>
      </c>
      <c r="B359" s="2" t="s">
        <v>1768</v>
      </c>
      <c r="C359" s="2" t="s">
        <v>2166</v>
      </c>
      <c r="D359" s="2" t="s">
        <v>2263</v>
      </c>
      <c r="E359" s="2" t="s">
        <v>20</v>
      </c>
      <c r="F359" s="2" t="s">
        <v>691</v>
      </c>
      <c r="G359" s="8" t="str">
        <f>IF(ISNA(VLOOKUP(B359&amp;"|"&amp;C359&amp;"|"&amp;D359&amp;"|"&amp;E359,QuestionTriggers!A:F,6,FALSE)),"","---&gt;")</f>
        <v/>
      </c>
      <c r="H359" s="2" t="s">
        <v>2264</v>
      </c>
      <c r="I359" s="2" t="s">
        <v>177</v>
      </c>
      <c r="J359" s="2" t="s">
        <v>2265</v>
      </c>
      <c r="K359" s="2"/>
    </row>
    <row r="360" spans="1:11" ht="39.6" hidden="1" x14ac:dyDescent="0.3">
      <c r="A360" t="str">
        <f t="shared" si="5"/>
        <v>Cove|Charm|JOB</v>
      </c>
      <c r="B360" s="2" t="s">
        <v>1768</v>
      </c>
      <c r="C360" s="2" t="s">
        <v>2166</v>
      </c>
      <c r="D360" s="2" t="s">
        <v>2263</v>
      </c>
      <c r="E360" s="2" t="s">
        <v>18</v>
      </c>
      <c r="F360" s="2" t="s">
        <v>2267</v>
      </c>
      <c r="G360" s="8" t="str">
        <f>IF(ISNA(VLOOKUP(B360&amp;"|"&amp;C360&amp;"|"&amp;D360&amp;"|"&amp;E360,QuestionTriggers!A:F,6,FALSE)),"","---&gt;")</f>
        <v/>
      </c>
      <c r="H360" s="2" t="s">
        <v>2264</v>
      </c>
      <c r="I360" s="2" t="s">
        <v>177</v>
      </c>
      <c r="J360" s="2" t="s">
        <v>2265</v>
      </c>
      <c r="K360" s="2"/>
    </row>
    <row r="361" spans="1:11" ht="39.6" hidden="1" x14ac:dyDescent="0.3">
      <c r="A361" t="str">
        <f t="shared" si="5"/>
        <v>Cove|Charm|KEY</v>
      </c>
      <c r="B361" s="2" t="s">
        <v>1768</v>
      </c>
      <c r="C361" s="2" t="s">
        <v>2166</v>
      </c>
      <c r="D361" s="2" t="s">
        <v>2263</v>
      </c>
      <c r="E361" s="2" t="s">
        <v>2268</v>
      </c>
      <c r="F361" s="2" t="s">
        <v>2269</v>
      </c>
      <c r="G361" s="8" t="str">
        <f>IF(ISNA(VLOOKUP(B361&amp;"|"&amp;C361&amp;"|"&amp;D361&amp;"|"&amp;E361,QuestionTriggers!A:F,6,FALSE)),"","---&gt;")</f>
        <v/>
      </c>
      <c r="H361" s="2" t="s">
        <v>2264</v>
      </c>
      <c r="I361" s="2" t="s">
        <v>177</v>
      </c>
      <c r="J361" s="2" t="s">
        <v>2265</v>
      </c>
      <c r="K361" s="2"/>
    </row>
    <row r="362" spans="1:11" ht="39.6" hidden="1" x14ac:dyDescent="0.3">
      <c r="A362" t="str">
        <f t="shared" si="5"/>
        <v>Cove|Charm|LOOK</v>
      </c>
      <c r="B362" s="2" t="s">
        <v>1768</v>
      </c>
      <c r="C362" s="2" t="s">
        <v>2166</v>
      </c>
      <c r="D362" s="2" t="s">
        <v>2263</v>
      </c>
      <c r="E362" s="2" t="s">
        <v>16</v>
      </c>
      <c r="F362" s="2" t="s">
        <v>2266</v>
      </c>
      <c r="G362" s="8" t="str">
        <f>IF(ISNA(VLOOKUP(B362&amp;"|"&amp;C362&amp;"|"&amp;D362&amp;"|"&amp;E362,QuestionTriggers!A:F,6,FALSE)),"","---&gt;")</f>
        <v/>
      </c>
      <c r="H362" s="2" t="s">
        <v>2264</v>
      </c>
      <c r="I362" s="2" t="s">
        <v>177</v>
      </c>
      <c r="J362" s="2" t="s">
        <v>2265</v>
      </c>
      <c r="K362" s="2"/>
    </row>
    <row r="363" spans="1:11" ht="39.6" hidden="1" x14ac:dyDescent="0.3">
      <c r="A363" t="str">
        <f t="shared" si="5"/>
        <v>Cove|Charm|NAME</v>
      </c>
      <c r="B363" s="2" t="s">
        <v>1768</v>
      </c>
      <c r="C363" s="2" t="s">
        <v>2166</v>
      </c>
      <c r="D363" s="2" t="s">
        <v>2263</v>
      </c>
      <c r="E363" s="2" t="s">
        <v>12</v>
      </c>
      <c r="F363" s="2" t="s">
        <v>2263</v>
      </c>
      <c r="G363" s="8" t="str">
        <f>IF(ISNA(VLOOKUP(B363&amp;"|"&amp;C363&amp;"|"&amp;D363&amp;"|"&amp;E363,QuestionTriggers!A:F,6,FALSE)),"","---&gt;")</f>
        <v/>
      </c>
      <c r="H363" s="2" t="s">
        <v>2264</v>
      </c>
      <c r="I363" s="2" t="s">
        <v>177</v>
      </c>
      <c r="J363" s="2" t="s">
        <v>2265</v>
      </c>
      <c r="K363" s="2"/>
    </row>
    <row r="364" spans="1:11" hidden="1" x14ac:dyDescent="0.3">
      <c r="A364" t="str">
        <f t="shared" si="5"/>
        <v>Cove|Circe|AXIO</v>
      </c>
      <c r="B364" s="2" t="s">
        <v>1768</v>
      </c>
      <c r="C364" s="2" t="s">
        <v>2166</v>
      </c>
      <c r="D364" s="2" t="s">
        <v>2272</v>
      </c>
      <c r="E364" s="2" t="s">
        <v>2270</v>
      </c>
      <c r="F364" s="2" t="s">
        <v>2274</v>
      </c>
      <c r="G364" s="8" t="str">
        <f>IF(ISNA(VLOOKUP(B364&amp;"|"&amp;C364&amp;"|"&amp;D364&amp;"|"&amp;E364,QuestionTriggers!A:F,6,FALSE)),"","---&gt;")</f>
        <v/>
      </c>
      <c r="H364" s="2"/>
      <c r="I364" s="2"/>
      <c r="J364" s="2"/>
      <c r="K364" s="2"/>
    </row>
    <row r="365" spans="1:11" hidden="1" x14ac:dyDescent="0.3">
      <c r="A365" t="str">
        <f t="shared" si="5"/>
        <v>Cove|Circe|HEALTH</v>
      </c>
      <c r="B365" s="2" t="s">
        <v>1768</v>
      </c>
      <c r="C365" s="2" t="s">
        <v>2166</v>
      </c>
      <c r="D365" s="2" t="s">
        <v>2272</v>
      </c>
      <c r="E365" s="2" t="s">
        <v>20</v>
      </c>
      <c r="F365" s="2" t="s">
        <v>93</v>
      </c>
      <c r="G365" s="8" t="str">
        <f>IF(ISNA(VLOOKUP(B365&amp;"|"&amp;C365&amp;"|"&amp;D365&amp;"|"&amp;E365,QuestionTriggers!A:F,6,FALSE)),"","---&gt;")</f>
        <v/>
      </c>
      <c r="H365" s="2"/>
      <c r="I365" s="2"/>
      <c r="J365" s="2"/>
      <c r="K365" s="2"/>
    </row>
    <row r="366" spans="1:11" hidden="1" x14ac:dyDescent="0.3">
      <c r="A366" t="str">
        <f t="shared" si="5"/>
        <v>Cove|Circe|JOB</v>
      </c>
      <c r="B366" s="2" t="s">
        <v>1768</v>
      </c>
      <c r="C366" s="2" t="s">
        <v>2166</v>
      </c>
      <c r="D366" s="2" t="s">
        <v>2272</v>
      </c>
      <c r="E366" s="2" t="s">
        <v>18</v>
      </c>
      <c r="F366" s="2" t="s">
        <v>2273</v>
      </c>
      <c r="G366" s="8" t="str">
        <f>IF(ISNA(VLOOKUP(B366&amp;"|"&amp;C366&amp;"|"&amp;D366&amp;"|"&amp;E366,QuestionTriggers!A:F,6,FALSE)),"","---&gt;")</f>
        <v/>
      </c>
      <c r="H366" s="2"/>
      <c r="I366" s="2"/>
      <c r="J366" s="2"/>
      <c r="K366" s="2"/>
    </row>
    <row r="367" spans="1:11" hidden="1" x14ac:dyDescent="0.3">
      <c r="A367" t="str">
        <f t="shared" si="5"/>
        <v>Cove|Circe|LOOK</v>
      </c>
      <c r="B367" s="2" t="s">
        <v>1768</v>
      </c>
      <c r="C367" s="2" t="s">
        <v>2166</v>
      </c>
      <c r="D367" s="2" t="s">
        <v>2272</v>
      </c>
      <c r="E367" s="2" t="s">
        <v>16</v>
      </c>
      <c r="F367" s="2" t="s">
        <v>91</v>
      </c>
      <c r="G367" s="8" t="str">
        <f>IF(ISNA(VLOOKUP(B367&amp;"|"&amp;C367&amp;"|"&amp;D367&amp;"|"&amp;E367,QuestionTriggers!A:F,6,FALSE)),"","---&gt;")</f>
        <v/>
      </c>
      <c r="H367" s="2"/>
      <c r="I367" s="2"/>
      <c r="J367" s="2"/>
      <c r="K367" s="2"/>
    </row>
    <row r="368" spans="1:11" hidden="1" x14ac:dyDescent="0.3">
      <c r="A368" t="str">
        <f t="shared" si="5"/>
        <v>Cove|Circe|NAME</v>
      </c>
      <c r="B368" s="2" t="s">
        <v>1768</v>
      </c>
      <c r="C368" s="2" t="s">
        <v>2166</v>
      </c>
      <c r="D368" s="2" t="s">
        <v>2272</v>
      </c>
      <c r="E368" s="2" t="s">
        <v>12</v>
      </c>
      <c r="F368" s="2" t="s">
        <v>2272</v>
      </c>
      <c r="G368" s="8" t="str">
        <f>IF(ISNA(VLOOKUP(B368&amp;"|"&amp;C368&amp;"|"&amp;D368&amp;"|"&amp;E368,QuestionTriggers!A:F,6,FALSE)),"","---&gt;")</f>
        <v/>
      </c>
      <c r="H368" s="2"/>
      <c r="I368" s="2"/>
      <c r="J368" s="2"/>
      <c r="K368" s="2"/>
    </row>
    <row r="369" spans="1:11" ht="26.4" hidden="1" x14ac:dyDescent="0.3">
      <c r="A369" t="str">
        <f t="shared" si="5"/>
        <v>Cove|Circe|PART</v>
      </c>
      <c r="B369" s="2" t="s">
        <v>1768</v>
      </c>
      <c r="C369" s="2" t="s">
        <v>2166</v>
      </c>
      <c r="D369" s="2" t="s">
        <v>2272</v>
      </c>
      <c r="E369" s="2" t="s">
        <v>2275</v>
      </c>
      <c r="F369" s="2" t="s">
        <v>2276</v>
      </c>
      <c r="G369" s="8" t="str">
        <f>IF(ISNA(VLOOKUP(B369&amp;"|"&amp;C369&amp;"|"&amp;D369&amp;"|"&amp;E369,QuestionTriggers!A:F,6,FALSE)),"","---&gt;")</f>
        <v/>
      </c>
      <c r="H369" s="2"/>
      <c r="I369" s="2"/>
      <c r="J369" s="2"/>
      <c r="K369" s="2"/>
    </row>
    <row r="370" spans="1:11" hidden="1" x14ac:dyDescent="0.3">
      <c r="A370" t="str">
        <f t="shared" si="5"/>
        <v>Cove|Draconian|HEALTH</v>
      </c>
      <c r="B370" s="2" t="s">
        <v>1768</v>
      </c>
      <c r="C370" s="2" t="s">
        <v>2166</v>
      </c>
      <c r="D370" s="2" t="s">
        <v>2224</v>
      </c>
      <c r="E370" s="2" t="s">
        <v>20</v>
      </c>
      <c r="F370" s="2" t="s">
        <v>181</v>
      </c>
      <c r="G370" s="8" t="str">
        <f>IF(ISNA(VLOOKUP(B370&amp;"|"&amp;C370&amp;"|"&amp;D370&amp;"|"&amp;E370,QuestionTriggers!A:F,6,FALSE)),"","---&gt;")</f>
        <v/>
      </c>
      <c r="H370" s="2" t="s">
        <v>2225</v>
      </c>
      <c r="I370" s="2" t="s">
        <v>2226</v>
      </c>
      <c r="J370" s="2" t="s">
        <v>2227</v>
      </c>
      <c r="K370" s="2"/>
    </row>
    <row r="371" spans="1:11" hidden="1" x14ac:dyDescent="0.3">
      <c r="A371" t="str">
        <f t="shared" si="5"/>
        <v>Cove|Draconian|JOB</v>
      </c>
      <c r="B371" s="2" t="s">
        <v>1768</v>
      </c>
      <c r="C371" s="2" t="s">
        <v>2166</v>
      </c>
      <c r="D371" s="2" t="s">
        <v>2224</v>
      </c>
      <c r="E371" s="2" t="s">
        <v>18</v>
      </c>
      <c r="F371" s="2" t="s">
        <v>2229</v>
      </c>
      <c r="G371" s="8" t="str">
        <f>IF(ISNA(VLOOKUP(B371&amp;"|"&amp;C371&amp;"|"&amp;D371&amp;"|"&amp;E371,QuestionTriggers!A:F,6,FALSE)),"","---&gt;")</f>
        <v/>
      </c>
      <c r="H371" s="2" t="s">
        <v>2225</v>
      </c>
      <c r="I371" s="2" t="s">
        <v>2226</v>
      </c>
      <c r="J371" s="2" t="s">
        <v>2227</v>
      </c>
      <c r="K371" s="2"/>
    </row>
    <row r="372" spans="1:11" hidden="1" x14ac:dyDescent="0.3">
      <c r="A372" t="str">
        <f t="shared" si="5"/>
        <v>Cove|Draconian|LOOK</v>
      </c>
      <c r="B372" s="2" t="s">
        <v>1768</v>
      </c>
      <c r="C372" s="2" t="s">
        <v>2166</v>
      </c>
      <c r="D372" s="2" t="s">
        <v>2224</v>
      </c>
      <c r="E372" s="2" t="s">
        <v>16</v>
      </c>
      <c r="F372" s="2" t="s">
        <v>2228</v>
      </c>
      <c r="G372" s="8" t="str">
        <f>IF(ISNA(VLOOKUP(B372&amp;"|"&amp;C372&amp;"|"&amp;D372&amp;"|"&amp;E372,QuestionTriggers!A:F,6,FALSE)),"","---&gt;")</f>
        <v/>
      </c>
      <c r="H372" s="2" t="s">
        <v>2225</v>
      </c>
      <c r="I372" s="2" t="s">
        <v>2226</v>
      </c>
      <c r="J372" s="2" t="s">
        <v>2227</v>
      </c>
      <c r="K372" s="2"/>
    </row>
    <row r="373" spans="1:11" hidden="1" x14ac:dyDescent="0.3">
      <c r="A373" t="str">
        <f t="shared" si="5"/>
        <v>Cove|Draconian|NAME</v>
      </c>
      <c r="B373" s="2" t="s">
        <v>1768</v>
      </c>
      <c r="C373" s="2" t="s">
        <v>2166</v>
      </c>
      <c r="D373" s="2" t="s">
        <v>2224</v>
      </c>
      <c r="E373" s="2" t="s">
        <v>12</v>
      </c>
      <c r="F373" s="2" t="s">
        <v>2224</v>
      </c>
      <c r="G373" s="8" t="str">
        <f>IF(ISNA(VLOOKUP(B373&amp;"|"&amp;C373&amp;"|"&amp;D373&amp;"|"&amp;E373,QuestionTriggers!A:F,6,FALSE)),"","---&gt;")</f>
        <v/>
      </c>
      <c r="H373" s="2" t="s">
        <v>2225</v>
      </c>
      <c r="I373" s="2" t="s">
        <v>2226</v>
      </c>
      <c r="J373" s="2" t="s">
        <v>2227</v>
      </c>
      <c r="K373" s="2"/>
    </row>
    <row r="374" spans="1:11" ht="26.4" hidden="1" x14ac:dyDescent="0.3">
      <c r="A374" t="str">
        <f t="shared" si="5"/>
        <v>Cove|Draconian|RELA</v>
      </c>
      <c r="B374" s="2" t="s">
        <v>1768</v>
      </c>
      <c r="C374" s="2" t="s">
        <v>2166</v>
      </c>
      <c r="D374" s="2" t="s">
        <v>2224</v>
      </c>
      <c r="E374" s="2" t="s">
        <v>2230</v>
      </c>
      <c r="F374" s="2" t="s">
        <v>2231</v>
      </c>
      <c r="G374" s="8" t="str">
        <f>IF(ISNA(VLOOKUP(B374&amp;"|"&amp;C374&amp;"|"&amp;D374&amp;"|"&amp;E374,QuestionTriggers!A:F,6,FALSE)),"","---&gt;")</f>
        <v>---&gt;</v>
      </c>
      <c r="H374" s="2" t="s">
        <v>2225</v>
      </c>
      <c r="I374" s="2" t="s">
        <v>2226</v>
      </c>
      <c r="J374" s="2" t="s">
        <v>2227</v>
      </c>
      <c r="K374" s="2"/>
    </row>
    <row r="375" spans="1:11" ht="26.4" hidden="1" x14ac:dyDescent="0.3">
      <c r="A375" t="str">
        <f t="shared" si="5"/>
        <v>Cove|Frontis|HEALTH</v>
      </c>
      <c r="B375" s="2" t="s">
        <v>1768</v>
      </c>
      <c r="C375" s="2" t="s">
        <v>2166</v>
      </c>
      <c r="D375" s="2" t="s">
        <v>2174</v>
      </c>
      <c r="E375" s="2" t="s">
        <v>20</v>
      </c>
      <c r="F375" s="2" t="s">
        <v>181</v>
      </c>
      <c r="G375" s="8" t="str">
        <f>IF(ISNA(VLOOKUP(B375&amp;"|"&amp;C375&amp;"|"&amp;D375&amp;"|"&amp;E375,QuestionTriggers!A:F,6,FALSE)),"","---&gt;")</f>
        <v/>
      </c>
      <c r="H375" s="2" t="s">
        <v>205</v>
      </c>
      <c r="I375" s="2" t="s">
        <v>312</v>
      </c>
      <c r="J375" s="2" t="s">
        <v>2175</v>
      </c>
      <c r="K375" s="2"/>
    </row>
    <row r="376" spans="1:11" ht="26.4" hidden="1" x14ac:dyDescent="0.3">
      <c r="A376" t="str">
        <f t="shared" si="5"/>
        <v>Cove|Frontis|JOB</v>
      </c>
      <c r="B376" s="2" t="s">
        <v>1768</v>
      </c>
      <c r="C376" s="2" t="s">
        <v>2166</v>
      </c>
      <c r="D376" s="2" t="s">
        <v>2174</v>
      </c>
      <c r="E376" s="2" t="s">
        <v>18</v>
      </c>
      <c r="F376" s="2" t="s">
        <v>2176</v>
      </c>
      <c r="G376" s="8" t="str">
        <f>IF(ISNA(VLOOKUP(B376&amp;"|"&amp;C376&amp;"|"&amp;D376&amp;"|"&amp;E376,QuestionTriggers!A:F,6,FALSE)),"","---&gt;")</f>
        <v/>
      </c>
      <c r="H376" s="2" t="s">
        <v>205</v>
      </c>
      <c r="I376" s="2" t="s">
        <v>312</v>
      </c>
      <c r="J376" s="2" t="s">
        <v>2175</v>
      </c>
      <c r="K376" s="2"/>
    </row>
    <row r="377" spans="1:11" ht="26.4" hidden="1" x14ac:dyDescent="0.3">
      <c r="A377" t="str">
        <f t="shared" si="5"/>
        <v>Cove|Frontis|LOOK</v>
      </c>
      <c r="B377" s="2" t="s">
        <v>1768</v>
      </c>
      <c r="C377" s="2" t="s">
        <v>2166</v>
      </c>
      <c r="D377" s="2" t="s">
        <v>2174</v>
      </c>
      <c r="E377" s="2" t="s">
        <v>16</v>
      </c>
      <c r="F377" s="2" t="s">
        <v>1836</v>
      </c>
      <c r="G377" s="8" t="str">
        <f>IF(ISNA(VLOOKUP(B377&amp;"|"&amp;C377&amp;"|"&amp;D377&amp;"|"&amp;E377,QuestionTriggers!A:F,6,FALSE)),"","---&gt;")</f>
        <v/>
      </c>
      <c r="H377" s="2" t="s">
        <v>205</v>
      </c>
      <c r="I377" s="2" t="s">
        <v>312</v>
      </c>
      <c r="J377" s="2" t="s">
        <v>2175</v>
      </c>
      <c r="K377" s="2"/>
    </row>
    <row r="378" spans="1:11" ht="26.4" hidden="1" x14ac:dyDescent="0.3">
      <c r="A378" t="str">
        <f t="shared" si="5"/>
        <v>Cove|Frontis|NAME</v>
      </c>
      <c r="B378" s="2" t="s">
        <v>1768</v>
      </c>
      <c r="C378" s="2" t="s">
        <v>2166</v>
      </c>
      <c r="D378" s="2" t="s">
        <v>2174</v>
      </c>
      <c r="E378" s="2" t="s">
        <v>12</v>
      </c>
      <c r="F378" s="2" t="s">
        <v>2174</v>
      </c>
      <c r="G378" s="8" t="str">
        <f>IF(ISNA(VLOOKUP(B378&amp;"|"&amp;C378&amp;"|"&amp;D378&amp;"|"&amp;E378,QuestionTriggers!A:F,6,FALSE)),"","---&gt;")</f>
        <v/>
      </c>
      <c r="H378" s="2" t="s">
        <v>205</v>
      </c>
      <c r="I378" s="2" t="s">
        <v>312</v>
      </c>
      <c r="J378" s="2" t="s">
        <v>2175</v>
      </c>
      <c r="K378" s="2"/>
    </row>
    <row r="379" spans="1:11" ht="26.4" hidden="1" x14ac:dyDescent="0.3">
      <c r="A379" t="str">
        <f t="shared" si="5"/>
        <v>Cove|Frontis|PEAC</v>
      </c>
      <c r="B379" s="2" t="s">
        <v>1768</v>
      </c>
      <c r="C379" s="2" t="s">
        <v>2166</v>
      </c>
      <c r="D379" s="2" t="s">
        <v>2174</v>
      </c>
      <c r="E379" s="2" t="s">
        <v>173</v>
      </c>
      <c r="F379" s="2" t="s">
        <v>2178</v>
      </c>
      <c r="G379" s="8" t="str">
        <f>IF(ISNA(VLOOKUP(B379&amp;"|"&amp;C379&amp;"|"&amp;D379&amp;"|"&amp;E379,QuestionTriggers!A:F,6,FALSE)),"","---&gt;")</f>
        <v>---&gt;</v>
      </c>
      <c r="H379" s="2" t="s">
        <v>205</v>
      </c>
      <c r="I379" s="2" t="s">
        <v>312</v>
      </c>
      <c r="J379" s="2" t="s">
        <v>2175</v>
      </c>
      <c r="K379" s="2"/>
    </row>
    <row r="380" spans="1:11" ht="26.4" hidden="1" x14ac:dyDescent="0.3">
      <c r="A380" t="str">
        <f t="shared" si="5"/>
        <v>Cove|Frontis|WISD</v>
      </c>
      <c r="B380" s="2" t="s">
        <v>1768</v>
      </c>
      <c r="C380" s="2" t="s">
        <v>2166</v>
      </c>
      <c r="D380" s="2" t="s">
        <v>2174</v>
      </c>
      <c r="E380" s="2" t="s">
        <v>451</v>
      </c>
      <c r="F380" s="2" t="s">
        <v>2177</v>
      </c>
      <c r="G380" s="8" t="str">
        <f>IF(ISNA(VLOOKUP(B380&amp;"|"&amp;C380&amp;"|"&amp;D380&amp;"|"&amp;E380,QuestionTriggers!A:F,6,FALSE)),"","---&gt;")</f>
        <v/>
      </c>
      <c r="H380" s="2" t="s">
        <v>205</v>
      </c>
      <c r="I380" s="2" t="s">
        <v>312</v>
      </c>
      <c r="J380" s="2" t="s">
        <v>2175</v>
      </c>
      <c r="K380" s="2"/>
    </row>
    <row r="381" spans="1:11" hidden="1" x14ac:dyDescent="0.3">
      <c r="A381" t="str">
        <f t="shared" si="5"/>
        <v>Cove|Linda|CHIL</v>
      </c>
      <c r="B381" s="2" t="s">
        <v>1768</v>
      </c>
      <c r="C381" s="2" t="s">
        <v>2166</v>
      </c>
      <c r="D381" s="2" t="s">
        <v>2210</v>
      </c>
      <c r="E381" s="2" t="s">
        <v>955</v>
      </c>
      <c r="F381" s="2" t="s">
        <v>2214</v>
      </c>
      <c r="G381" s="8" t="str">
        <f>IF(ISNA(VLOOKUP(B381&amp;"|"&amp;C381&amp;"|"&amp;D381&amp;"|"&amp;E381,QuestionTriggers!A:F,6,FALSE)),"","---&gt;")</f>
        <v/>
      </c>
      <c r="H381" s="2" t="s">
        <v>1132</v>
      </c>
      <c r="I381" s="2" t="s">
        <v>2211</v>
      </c>
      <c r="J381" s="2" t="s">
        <v>157</v>
      </c>
      <c r="K381" s="2"/>
    </row>
    <row r="382" spans="1:11" hidden="1" x14ac:dyDescent="0.3">
      <c r="A382" t="str">
        <f t="shared" si="5"/>
        <v>Cove|Linda|HEALTH</v>
      </c>
      <c r="B382" s="2" t="s">
        <v>1768</v>
      </c>
      <c r="C382" s="2" t="s">
        <v>2166</v>
      </c>
      <c r="D382" s="2" t="s">
        <v>2210</v>
      </c>
      <c r="E382" s="2" t="s">
        <v>20</v>
      </c>
      <c r="F382" s="2" t="s">
        <v>189</v>
      </c>
      <c r="G382" s="8" t="str">
        <f>IF(ISNA(VLOOKUP(B382&amp;"|"&amp;C382&amp;"|"&amp;D382&amp;"|"&amp;E382,QuestionTriggers!A:F,6,FALSE)),"","---&gt;")</f>
        <v/>
      </c>
      <c r="H382" s="2" t="s">
        <v>1132</v>
      </c>
      <c r="I382" s="2" t="s">
        <v>2211</v>
      </c>
      <c r="J382" s="2" t="s">
        <v>157</v>
      </c>
      <c r="K382" s="2"/>
    </row>
    <row r="383" spans="1:11" hidden="1" x14ac:dyDescent="0.3">
      <c r="A383" t="str">
        <f t="shared" si="5"/>
        <v>Cove|Linda|JOB</v>
      </c>
      <c r="B383" s="2" t="s">
        <v>1768</v>
      </c>
      <c r="C383" s="2" t="s">
        <v>2166</v>
      </c>
      <c r="D383" s="2" t="s">
        <v>2210</v>
      </c>
      <c r="E383" s="2" t="s">
        <v>18</v>
      </c>
      <c r="F383" s="2" t="s">
        <v>2213</v>
      </c>
      <c r="G383" s="8" t="str">
        <f>IF(ISNA(VLOOKUP(B383&amp;"|"&amp;C383&amp;"|"&amp;D383&amp;"|"&amp;E383,QuestionTriggers!A:F,6,FALSE)),"","---&gt;")</f>
        <v/>
      </c>
      <c r="H383" s="2" t="s">
        <v>1132</v>
      </c>
      <c r="I383" s="2" t="s">
        <v>2211</v>
      </c>
      <c r="J383" s="2" t="s">
        <v>157</v>
      </c>
      <c r="K383" s="2"/>
    </row>
    <row r="384" spans="1:11" hidden="1" x14ac:dyDescent="0.3">
      <c r="A384" t="str">
        <f t="shared" si="5"/>
        <v>Cove|Linda|LOOK</v>
      </c>
      <c r="B384" s="2" t="s">
        <v>1768</v>
      </c>
      <c r="C384" s="2" t="s">
        <v>2166</v>
      </c>
      <c r="D384" s="2" t="s">
        <v>2210</v>
      </c>
      <c r="E384" s="2" t="s">
        <v>16</v>
      </c>
      <c r="F384" s="2" t="s">
        <v>2212</v>
      </c>
      <c r="G384" s="8" t="str">
        <f>IF(ISNA(VLOOKUP(B384&amp;"|"&amp;C384&amp;"|"&amp;D384&amp;"|"&amp;E384,QuestionTriggers!A:F,6,FALSE)),"","---&gt;")</f>
        <v/>
      </c>
      <c r="H384" s="2" t="s">
        <v>1132</v>
      </c>
      <c r="I384" s="2" t="s">
        <v>2211</v>
      </c>
      <c r="J384" s="2" t="s">
        <v>157</v>
      </c>
      <c r="K384" s="2"/>
    </row>
    <row r="385" spans="1:11" hidden="1" x14ac:dyDescent="0.3">
      <c r="A385" t="str">
        <f t="shared" si="5"/>
        <v>Cove|Linda|NAME</v>
      </c>
      <c r="B385" s="2" t="s">
        <v>1768</v>
      </c>
      <c r="C385" s="2" t="s">
        <v>2166</v>
      </c>
      <c r="D385" s="2" t="s">
        <v>2210</v>
      </c>
      <c r="E385" s="2" t="s">
        <v>12</v>
      </c>
      <c r="F385" s="2" t="s">
        <v>2210</v>
      </c>
      <c r="G385" s="8" t="str">
        <f>IF(ISNA(VLOOKUP(B385&amp;"|"&amp;C385&amp;"|"&amp;D385&amp;"|"&amp;E385,QuestionTriggers!A:F,6,FALSE)),"","---&gt;")</f>
        <v/>
      </c>
      <c r="H385" s="2" t="s">
        <v>1132</v>
      </c>
      <c r="I385" s="2" t="s">
        <v>2211</v>
      </c>
      <c r="J385" s="2" t="s">
        <v>157</v>
      </c>
      <c r="K385" s="2"/>
    </row>
    <row r="386" spans="1:11" hidden="1" x14ac:dyDescent="0.3">
      <c r="A386" t="str">
        <f t="shared" si="5"/>
        <v>Cove|Linda|WORL</v>
      </c>
      <c r="B386" s="2" t="s">
        <v>1768</v>
      </c>
      <c r="C386" s="2" t="s">
        <v>2166</v>
      </c>
      <c r="D386" s="2" t="s">
        <v>2210</v>
      </c>
      <c r="E386" s="2" t="s">
        <v>2215</v>
      </c>
      <c r="F386" s="2" t="s">
        <v>2216</v>
      </c>
      <c r="G386" s="8" t="str">
        <f>IF(ISNA(VLOOKUP(B386&amp;"|"&amp;C386&amp;"|"&amp;D386&amp;"|"&amp;E386,QuestionTriggers!A:F,6,FALSE)),"","---&gt;")</f>
        <v>---&gt;</v>
      </c>
      <c r="H386" s="2" t="s">
        <v>1132</v>
      </c>
      <c r="I386" s="2" t="s">
        <v>2211</v>
      </c>
      <c r="J386" s="2" t="s">
        <v>157</v>
      </c>
      <c r="K386" s="2"/>
    </row>
    <row r="387" spans="1:11" hidden="1" x14ac:dyDescent="0.3">
      <c r="A387" t="str">
        <f t="shared" ref="A387:A450" si="6">C387&amp;"|"&amp;D387&amp;"|"&amp;E387</f>
        <v>Cove|Mentorian|ARTS</v>
      </c>
      <c r="B387" s="2" t="s">
        <v>1768</v>
      </c>
      <c r="C387" s="2" t="s">
        <v>2166</v>
      </c>
      <c r="D387" s="2" t="s">
        <v>2187</v>
      </c>
      <c r="E387" s="2" t="s">
        <v>2191</v>
      </c>
      <c r="F387" s="2" t="s">
        <v>2192</v>
      </c>
      <c r="G387" s="8" t="str">
        <f>IF(ISNA(VLOOKUP(B387&amp;"|"&amp;C387&amp;"|"&amp;D387&amp;"|"&amp;E387,QuestionTriggers!A:F,6,FALSE)),"","---&gt;")</f>
        <v/>
      </c>
      <c r="H387" s="2" t="s">
        <v>2188</v>
      </c>
      <c r="I387" s="2" t="s">
        <v>2189</v>
      </c>
      <c r="J387" s="2" t="s">
        <v>177</v>
      </c>
      <c r="K387" s="2"/>
    </row>
    <row r="388" spans="1:11" ht="26.4" hidden="1" x14ac:dyDescent="0.3">
      <c r="A388" t="str">
        <f t="shared" si="6"/>
        <v>Cove|Mentorian|GATE</v>
      </c>
      <c r="B388" s="2" t="s">
        <v>1768</v>
      </c>
      <c r="C388" s="2" t="s">
        <v>2166</v>
      </c>
      <c r="D388" s="2" t="s">
        <v>2187</v>
      </c>
      <c r="E388" s="2" t="s">
        <v>504</v>
      </c>
      <c r="F388" s="2" t="s">
        <v>2193</v>
      </c>
      <c r="G388" s="8" t="str">
        <f>IF(ISNA(VLOOKUP(B388&amp;"|"&amp;C388&amp;"|"&amp;D388&amp;"|"&amp;E388,QuestionTriggers!A:F,6,FALSE)),"","---&gt;")</f>
        <v>---&gt;</v>
      </c>
      <c r="H388" s="2" t="s">
        <v>2188</v>
      </c>
      <c r="I388" s="2" t="s">
        <v>2189</v>
      </c>
      <c r="J388" s="2" t="s">
        <v>177</v>
      </c>
      <c r="K388" s="2"/>
    </row>
    <row r="389" spans="1:11" hidden="1" x14ac:dyDescent="0.3">
      <c r="A389" t="str">
        <f t="shared" si="6"/>
        <v>Cove|Mentorian|HEALTH</v>
      </c>
      <c r="B389" s="2" t="s">
        <v>1768</v>
      </c>
      <c r="C389" s="2" t="s">
        <v>2166</v>
      </c>
      <c r="D389" s="2" t="s">
        <v>2187</v>
      </c>
      <c r="E389" s="2" t="s">
        <v>20</v>
      </c>
      <c r="F389" s="2" t="s">
        <v>740</v>
      </c>
      <c r="G389" s="8" t="str">
        <f>IF(ISNA(VLOOKUP(B389&amp;"|"&amp;C389&amp;"|"&amp;D389&amp;"|"&amp;E389,QuestionTriggers!A:F,6,FALSE)),"","---&gt;")</f>
        <v/>
      </c>
      <c r="H389" s="2" t="s">
        <v>2188</v>
      </c>
      <c r="I389" s="2" t="s">
        <v>2189</v>
      </c>
      <c r="J389" s="2" t="s">
        <v>177</v>
      </c>
      <c r="K389" s="2"/>
    </row>
    <row r="390" spans="1:11" hidden="1" x14ac:dyDescent="0.3">
      <c r="A390" t="str">
        <f t="shared" si="6"/>
        <v>Cove|Mentorian|JOB</v>
      </c>
      <c r="B390" s="2" t="s">
        <v>1768</v>
      </c>
      <c r="C390" s="2" t="s">
        <v>2166</v>
      </c>
      <c r="D390" s="2" t="s">
        <v>2187</v>
      </c>
      <c r="E390" s="2" t="s">
        <v>18</v>
      </c>
      <c r="F390" s="2" t="s">
        <v>2190</v>
      </c>
      <c r="G390" s="8" t="str">
        <f>IF(ISNA(VLOOKUP(B390&amp;"|"&amp;C390&amp;"|"&amp;D390&amp;"|"&amp;E390,QuestionTriggers!A:F,6,FALSE)),"","---&gt;")</f>
        <v/>
      </c>
      <c r="H390" s="2" t="s">
        <v>2188</v>
      </c>
      <c r="I390" s="2" t="s">
        <v>2189</v>
      </c>
      <c r="J390" s="2" t="s">
        <v>177</v>
      </c>
      <c r="K390" s="2"/>
    </row>
    <row r="391" spans="1:11" hidden="1" x14ac:dyDescent="0.3">
      <c r="A391" t="str">
        <f t="shared" si="6"/>
        <v>Cove|Mentorian|LOOK</v>
      </c>
      <c r="B391" s="2" t="s">
        <v>1768</v>
      </c>
      <c r="C391" s="2" t="s">
        <v>2166</v>
      </c>
      <c r="D391" s="2" t="s">
        <v>2187</v>
      </c>
      <c r="E391" s="2" t="s">
        <v>16</v>
      </c>
      <c r="F391" s="2" t="s">
        <v>1501</v>
      </c>
      <c r="G391" s="8" t="str">
        <f>IF(ISNA(VLOOKUP(B391&amp;"|"&amp;C391&amp;"|"&amp;D391&amp;"|"&amp;E391,QuestionTriggers!A:F,6,FALSE)),"","---&gt;")</f>
        <v/>
      </c>
      <c r="H391" s="2" t="s">
        <v>2188</v>
      </c>
      <c r="I391" s="2" t="s">
        <v>2189</v>
      </c>
      <c r="J391" s="2" t="s">
        <v>177</v>
      </c>
      <c r="K391" s="2"/>
    </row>
    <row r="392" spans="1:11" hidden="1" x14ac:dyDescent="0.3">
      <c r="A392" t="str">
        <f t="shared" si="6"/>
        <v>Cove|Mentorian|NAME</v>
      </c>
      <c r="B392" s="2" t="s">
        <v>1768</v>
      </c>
      <c r="C392" s="2" t="s">
        <v>2166</v>
      </c>
      <c r="D392" s="2" t="s">
        <v>2187</v>
      </c>
      <c r="E392" s="2" t="s">
        <v>12</v>
      </c>
      <c r="F392" s="2" t="s">
        <v>2187</v>
      </c>
      <c r="G392" s="8" t="str">
        <f>IF(ISNA(VLOOKUP(B392&amp;"|"&amp;C392&amp;"|"&amp;D392&amp;"|"&amp;E392,QuestionTriggers!A:F,6,FALSE)),"","---&gt;")</f>
        <v/>
      </c>
      <c r="H392" s="2" t="s">
        <v>2188</v>
      </c>
      <c r="I392" s="2" t="s">
        <v>2189</v>
      </c>
      <c r="J392" s="2" t="s">
        <v>177</v>
      </c>
      <c r="K392" s="2"/>
    </row>
    <row r="393" spans="1:11" ht="26.4" hidden="1" x14ac:dyDescent="0.3">
      <c r="A393" t="str">
        <f t="shared" si="6"/>
        <v>Cove|Merlin|GATE</v>
      </c>
      <c r="B393" s="2" t="s">
        <v>1768</v>
      </c>
      <c r="C393" s="2" t="s">
        <v>2166</v>
      </c>
      <c r="D393" s="2" t="s">
        <v>2217</v>
      </c>
      <c r="E393" s="2" t="s">
        <v>504</v>
      </c>
      <c r="F393" s="2" t="s">
        <v>2223</v>
      </c>
      <c r="G393" s="8" t="str">
        <f>IF(ISNA(VLOOKUP(B393&amp;"|"&amp;C393&amp;"|"&amp;D393&amp;"|"&amp;E393,QuestionTriggers!A:F,6,FALSE)),"","---&gt;")</f>
        <v>---&gt;</v>
      </c>
      <c r="H393" s="2" t="s">
        <v>2218</v>
      </c>
      <c r="I393" s="2" t="s">
        <v>2219</v>
      </c>
      <c r="J393" s="2" t="s">
        <v>881</v>
      </c>
      <c r="K393" s="2"/>
    </row>
    <row r="394" spans="1:11" hidden="1" x14ac:dyDescent="0.3">
      <c r="A394" t="str">
        <f t="shared" si="6"/>
        <v>Cove|Merlin|HEALTH</v>
      </c>
      <c r="B394" s="2" t="s">
        <v>1768</v>
      </c>
      <c r="C394" s="2" t="s">
        <v>2166</v>
      </c>
      <c r="D394" s="2" t="s">
        <v>2217</v>
      </c>
      <c r="E394" s="2" t="s">
        <v>20</v>
      </c>
      <c r="F394" s="2" t="s">
        <v>189</v>
      </c>
      <c r="G394" s="8" t="str">
        <f>IF(ISNA(VLOOKUP(B394&amp;"|"&amp;C394&amp;"|"&amp;D394&amp;"|"&amp;E394,QuestionTriggers!A:F,6,FALSE)),"","---&gt;")</f>
        <v/>
      </c>
      <c r="H394" s="2" t="s">
        <v>2218</v>
      </c>
      <c r="I394" s="2" t="s">
        <v>2219</v>
      </c>
      <c r="J394" s="2" t="s">
        <v>881</v>
      </c>
      <c r="K394" s="2"/>
    </row>
    <row r="395" spans="1:11" hidden="1" x14ac:dyDescent="0.3">
      <c r="A395" t="str">
        <f t="shared" si="6"/>
        <v>Cove|Merlin|JOB</v>
      </c>
      <c r="B395" s="2" t="s">
        <v>1768</v>
      </c>
      <c r="C395" s="2" t="s">
        <v>2166</v>
      </c>
      <c r="D395" s="2" t="s">
        <v>2217</v>
      </c>
      <c r="E395" s="2" t="s">
        <v>18</v>
      </c>
      <c r="F395" s="2" t="s">
        <v>2221</v>
      </c>
      <c r="G395" s="8" t="str">
        <f>IF(ISNA(VLOOKUP(B395&amp;"|"&amp;C395&amp;"|"&amp;D395&amp;"|"&amp;E395,QuestionTriggers!A:F,6,FALSE)),"","---&gt;")</f>
        <v/>
      </c>
      <c r="H395" s="2" t="s">
        <v>2218</v>
      </c>
      <c r="I395" s="2" t="s">
        <v>2219</v>
      </c>
      <c r="J395" s="2" t="s">
        <v>881</v>
      </c>
      <c r="K395" s="2"/>
    </row>
    <row r="396" spans="1:11" hidden="1" x14ac:dyDescent="0.3">
      <c r="A396" t="str">
        <f t="shared" si="6"/>
        <v>Cove|Merlin|LOOK</v>
      </c>
      <c r="B396" s="2" t="s">
        <v>1768</v>
      </c>
      <c r="C396" s="2" t="s">
        <v>2166</v>
      </c>
      <c r="D396" s="2" t="s">
        <v>2217</v>
      </c>
      <c r="E396" s="2" t="s">
        <v>16</v>
      </c>
      <c r="F396" s="2" t="s">
        <v>2220</v>
      </c>
      <c r="G396" s="8" t="str">
        <f>IF(ISNA(VLOOKUP(B396&amp;"|"&amp;C396&amp;"|"&amp;D396&amp;"|"&amp;E396,QuestionTriggers!A:F,6,FALSE)),"","---&gt;")</f>
        <v/>
      </c>
      <c r="H396" s="2" t="s">
        <v>2218</v>
      </c>
      <c r="I396" s="2" t="s">
        <v>2219</v>
      </c>
      <c r="J396" s="2" t="s">
        <v>881</v>
      </c>
      <c r="K396" s="2"/>
    </row>
    <row r="397" spans="1:11" hidden="1" x14ac:dyDescent="0.3">
      <c r="A397" t="str">
        <f t="shared" si="6"/>
        <v>Cove|Merlin|NAME</v>
      </c>
      <c r="B397" s="2" t="s">
        <v>1768</v>
      </c>
      <c r="C397" s="2" t="s">
        <v>2166</v>
      </c>
      <c r="D397" s="2" t="s">
        <v>2217</v>
      </c>
      <c r="E397" s="2" t="s">
        <v>12</v>
      </c>
      <c r="F397" s="2" t="s">
        <v>2217</v>
      </c>
      <c r="G397" s="8" t="str">
        <f>IF(ISNA(VLOOKUP(B397&amp;"|"&amp;C397&amp;"|"&amp;D397&amp;"|"&amp;E397,QuestionTriggers!A:F,6,FALSE)),"","---&gt;")</f>
        <v/>
      </c>
      <c r="H397" s="2" t="s">
        <v>2218</v>
      </c>
      <c r="I397" s="2" t="s">
        <v>2219</v>
      </c>
      <c r="J397" s="2" t="s">
        <v>881</v>
      </c>
      <c r="K397" s="2"/>
    </row>
    <row r="398" spans="1:11" hidden="1" x14ac:dyDescent="0.3">
      <c r="A398" t="str">
        <f t="shared" si="6"/>
        <v>Cove|Merlin|STON</v>
      </c>
      <c r="B398" s="2" t="s">
        <v>1768</v>
      </c>
      <c r="C398" s="2" t="s">
        <v>2166</v>
      </c>
      <c r="D398" s="2" t="s">
        <v>2217</v>
      </c>
      <c r="E398" s="2" t="s">
        <v>854</v>
      </c>
      <c r="F398" s="2" t="s">
        <v>2222</v>
      </c>
      <c r="G398" s="8" t="str">
        <f>IF(ISNA(VLOOKUP(B398&amp;"|"&amp;C398&amp;"|"&amp;D398&amp;"|"&amp;E398,QuestionTriggers!A:F,6,FALSE)),"","---&gt;")</f>
        <v/>
      </c>
      <c r="H398" s="2" t="s">
        <v>2218</v>
      </c>
      <c r="I398" s="2" t="s">
        <v>2219</v>
      </c>
      <c r="J398" s="2" t="s">
        <v>881</v>
      </c>
      <c r="K398" s="2"/>
    </row>
    <row r="399" spans="1:11" hidden="1" x14ac:dyDescent="0.3">
      <c r="A399" t="str">
        <f t="shared" si="6"/>
        <v>Cove|Paul|HEALTH</v>
      </c>
      <c r="B399" s="2" t="s">
        <v>1768</v>
      </c>
      <c r="C399" s="2" t="s">
        <v>2166</v>
      </c>
      <c r="D399" s="2" t="s">
        <v>2202</v>
      </c>
      <c r="E399" s="2" t="s">
        <v>20</v>
      </c>
      <c r="F399" s="2" t="s">
        <v>181</v>
      </c>
      <c r="G399" s="8" t="str">
        <f>IF(ISNA(VLOOKUP(B399&amp;"|"&amp;C399&amp;"|"&amp;D399&amp;"|"&amp;E399,QuestionTriggers!A:F,6,FALSE)),"","---&gt;")</f>
        <v/>
      </c>
      <c r="H399" s="2" t="s">
        <v>2203</v>
      </c>
      <c r="I399" s="2" t="s">
        <v>2204</v>
      </c>
      <c r="J399" s="2" t="s">
        <v>881</v>
      </c>
      <c r="K399" s="2"/>
    </row>
    <row r="400" spans="1:11" hidden="1" x14ac:dyDescent="0.3">
      <c r="A400" t="str">
        <f t="shared" si="6"/>
        <v>Cove|Paul|JOB</v>
      </c>
      <c r="B400" s="2" t="s">
        <v>1768</v>
      </c>
      <c r="C400" s="2" t="s">
        <v>2166</v>
      </c>
      <c r="D400" s="2" t="s">
        <v>2202</v>
      </c>
      <c r="E400" s="2" t="s">
        <v>18</v>
      </c>
      <c r="F400" s="2" t="s">
        <v>2206</v>
      </c>
      <c r="G400" s="8" t="str">
        <f>IF(ISNA(VLOOKUP(B400&amp;"|"&amp;C400&amp;"|"&amp;D400&amp;"|"&amp;E400,QuestionTriggers!A:F,6,FALSE)),"","---&gt;")</f>
        <v/>
      </c>
      <c r="H400" s="2" t="s">
        <v>2203</v>
      </c>
      <c r="I400" s="2" t="s">
        <v>2204</v>
      </c>
      <c r="J400" s="2" t="s">
        <v>881</v>
      </c>
      <c r="K400" s="2"/>
    </row>
    <row r="401" spans="1:11" hidden="1" x14ac:dyDescent="0.3">
      <c r="A401" t="str">
        <f t="shared" si="6"/>
        <v>Cove|Paul|LOOK</v>
      </c>
      <c r="B401" s="2" t="s">
        <v>1768</v>
      </c>
      <c r="C401" s="2" t="s">
        <v>2166</v>
      </c>
      <c r="D401" s="2" t="s">
        <v>2202</v>
      </c>
      <c r="E401" s="2" t="s">
        <v>16</v>
      </c>
      <c r="F401" s="2" t="s">
        <v>2205</v>
      </c>
      <c r="G401" s="8" t="str">
        <f>IF(ISNA(VLOOKUP(B401&amp;"|"&amp;C401&amp;"|"&amp;D401&amp;"|"&amp;E401,QuestionTriggers!A:F,6,FALSE)),"","---&gt;")</f>
        <v/>
      </c>
      <c r="H401" s="2" t="s">
        <v>2203</v>
      </c>
      <c r="I401" s="2" t="s">
        <v>2204</v>
      </c>
      <c r="J401" s="2" t="s">
        <v>881</v>
      </c>
      <c r="K401" s="2"/>
    </row>
    <row r="402" spans="1:11" hidden="1" x14ac:dyDescent="0.3">
      <c r="A402" t="str">
        <f t="shared" si="6"/>
        <v>Cove|Paul|LOVE</v>
      </c>
      <c r="B402" s="2" t="s">
        <v>1768</v>
      </c>
      <c r="C402" s="2" t="s">
        <v>2166</v>
      </c>
      <c r="D402" s="2" t="s">
        <v>2202</v>
      </c>
      <c r="E402" s="2" t="s">
        <v>235</v>
      </c>
      <c r="F402" s="2" t="s">
        <v>2207</v>
      </c>
      <c r="G402" s="8" t="str">
        <f>IF(ISNA(VLOOKUP(B402&amp;"|"&amp;C402&amp;"|"&amp;D402&amp;"|"&amp;E402,QuestionTriggers!A:F,6,FALSE)),"","---&gt;")</f>
        <v/>
      </c>
      <c r="H402" s="2" t="s">
        <v>2203</v>
      </c>
      <c r="I402" s="2" t="s">
        <v>2204</v>
      </c>
      <c r="J402" s="2" t="s">
        <v>881</v>
      </c>
      <c r="K402" s="2"/>
    </row>
    <row r="403" spans="1:11" hidden="1" x14ac:dyDescent="0.3">
      <c r="A403" t="str">
        <f t="shared" si="6"/>
        <v>Cove|Paul|NAME</v>
      </c>
      <c r="B403" s="2" t="s">
        <v>1768</v>
      </c>
      <c r="C403" s="2" t="s">
        <v>2166</v>
      </c>
      <c r="D403" s="2" t="s">
        <v>2202</v>
      </c>
      <c r="E403" s="2" t="s">
        <v>12</v>
      </c>
      <c r="F403" s="2" t="s">
        <v>2202</v>
      </c>
      <c r="G403" s="8" t="str">
        <f>IF(ISNA(VLOOKUP(B403&amp;"|"&amp;C403&amp;"|"&amp;D403&amp;"|"&amp;E403,QuestionTriggers!A:F,6,FALSE)),"","---&gt;")</f>
        <v/>
      </c>
      <c r="H403" s="2" t="s">
        <v>2203</v>
      </c>
      <c r="I403" s="2" t="s">
        <v>2204</v>
      </c>
      <c r="J403" s="2" t="s">
        <v>881</v>
      </c>
      <c r="K403" s="2"/>
    </row>
    <row r="404" spans="1:11" hidden="1" x14ac:dyDescent="0.3">
      <c r="A404" t="str">
        <f t="shared" si="6"/>
        <v>Cove|Paul|PROB</v>
      </c>
      <c r="B404" s="2" t="s">
        <v>1768</v>
      </c>
      <c r="C404" s="2" t="s">
        <v>2166</v>
      </c>
      <c r="D404" s="2" t="s">
        <v>2202</v>
      </c>
      <c r="E404" s="2" t="s">
        <v>2208</v>
      </c>
      <c r="F404" s="2" t="s">
        <v>2209</v>
      </c>
      <c r="G404" s="8" t="str">
        <f>IF(ISNA(VLOOKUP(B404&amp;"|"&amp;C404&amp;"|"&amp;D404&amp;"|"&amp;E404,QuestionTriggers!A:F,6,FALSE)),"","---&gt;")</f>
        <v>---&gt;</v>
      </c>
      <c r="H404" s="2" t="s">
        <v>2203</v>
      </c>
      <c r="I404" s="2" t="s">
        <v>2204</v>
      </c>
      <c r="J404" s="2" t="s">
        <v>881</v>
      </c>
      <c r="K404" s="2"/>
    </row>
    <row r="405" spans="1:11" ht="26.4" hidden="1" x14ac:dyDescent="0.3">
      <c r="A405" t="str">
        <f t="shared" si="6"/>
        <v>Cove|Rabindranath Tagore|HEALTH</v>
      </c>
      <c r="B405" s="2" t="s">
        <v>1768</v>
      </c>
      <c r="C405" s="2" t="s">
        <v>2166</v>
      </c>
      <c r="D405" s="2" t="s">
        <v>2237</v>
      </c>
      <c r="E405" s="2" t="s">
        <v>20</v>
      </c>
      <c r="F405" s="2" t="s">
        <v>2242</v>
      </c>
      <c r="G405" s="8" t="str">
        <f>IF(ISNA(VLOOKUP(B405&amp;"|"&amp;C405&amp;"|"&amp;D405&amp;"|"&amp;E405,QuestionTriggers!A:F,6,FALSE)),"","---&gt;")</f>
        <v/>
      </c>
      <c r="H405" s="2" t="s">
        <v>2238</v>
      </c>
      <c r="I405" s="2" t="s">
        <v>2239</v>
      </c>
      <c r="J405" s="2" t="s">
        <v>2240</v>
      </c>
      <c r="K405" s="2"/>
    </row>
    <row r="406" spans="1:11" ht="26.4" hidden="1" x14ac:dyDescent="0.3">
      <c r="A406" t="str">
        <f t="shared" si="6"/>
        <v>Cove|Rabindranath Tagore|HEAR</v>
      </c>
      <c r="B406" s="2" t="s">
        <v>1768</v>
      </c>
      <c r="C406" s="2" t="s">
        <v>2166</v>
      </c>
      <c r="D406" s="2" t="s">
        <v>2237</v>
      </c>
      <c r="E406" s="2" t="s">
        <v>1206</v>
      </c>
      <c r="F406" s="2" t="s">
        <v>2244</v>
      </c>
      <c r="G406" s="8" t="str">
        <f>IF(ISNA(VLOOKUP(B406&amp;"|"&amp;C406&amp;"|"&amp;D406&amp;"|"&amp;E406,QuestionTriggers!A:F,6,FALSE)),"","---&gt;")</f>
        <v>---&gt;</v>
      </c>
      <c r="H406" s="2" t="s">
        <v>2238</v>
      </c>
      <c r="I406" s="2" t="s">
        <v>2239</v>
      </c>
      <c r="J406" s="2" t="s">
        <v>2240</v>
      </c>
      <c r="K406" s="2"/>
    </row>
    <row r="407" spans="1:11" ht="26.4" hidden="1" x14ac:dyDescent="0.3">
      <c r="A407" t="str">
        <f t="shared" si="6"/>
        <v>Cove|Rabindranath Tagore|JOB</v>
      </c>
      <c r="B407" s="2" t="s">
        <v>1768</v>
      </c>
      <c r="C407" s="2" t="s">
        <v>2166</v>
      </c>
      <c r="D407" s="2" t="s">
        <v>2237</v>
      </c>
      <c r="E407" s="2" t="s">
        <v>18</v>
      </c>
      <c r="F407" s="2" t="s">
        <v>2241</v>
      </c>
      <c r="G407" s="8" t="str">
        <f>IF(ISNA(VLOOKUP(B407&amp;"|"&amp;C407&amp;"|"&amp;D407&amp;"|"&amp;E407,QuestionTriggers!A:F,6,FALSE)),"","---&gt;")</f>
        <v/>
      </c>
      <c r="H407" s="2" t="s">
        <v>2238</v>
      </c>
      <c r="I407" s="2" t="s">
        <v>2239</v>
      </c>
      <c r="J407" s="2" t="s">
        <v>2240</v>
      </c>
      <c r="K407" s="2"/>
    </row>
    <row r="408" spans="1:11" ht="26.4" hidden="1" x14ac:dyDescent="0.3">
      <c r="A408" t="str">
        <f t="shared" si="6"/>
        <v>Cove|Rabindranath Tagore|LOOK</v>
      </c>
      <c r="B408" s="2" t="s">
        <v>1768</v>
      </c>
      <c r="C408" s="2" t="s">
        <v>2166</v>
      </c>
      <c r="D408" s="2" t="s">
        <v>2237</v>
      </c>
      <c r="E408" s="2" t="s">
        <v>16</v>
      </c>
      <c r="F408" s="2" t="s">
        <v>1976</v>
      </c>
      <c r="G408" s="8" t="str">
        <f>IF(ISNA(VLOOKUP(B408&amp;"|"&amp;C408&amp;"|"&amp;D408&amp;"|"&amp;E408,QuestionTriggers!A:F,6,FALSE)),"","---&gt;")</f>
        <v/>
      </c>
      <c r="H408" s="2" t="s">
        <v>2238</v>
      </c>
      <c r="I408" s="2" t="s">
        <v>2239</v>
      </c>
      <c r="J408" s="2" t="s">
        <v>2240</v>
      </c>
      <c r="K408" s="2"/>
    </row>
    <row r="409" spans="1:11" ht="26.4" hidden="1" x14ac:dyDescent="0.3">
      <c r="A409" t="str">
        <f t="shared" si="6"/>
        <v>Cove|Rabindranath Tagore|LOVE</v>
      </c>
      <c r="B409" s="2" t="s">
        <v>1768</v>
      </c>
      <c r="C409" s="2" t="s">
        <v>2166</v>
      </c>
      <c r="D409" s="2" t="s">
        <v>2237</v>
      </c>
      <c r="E409" s="2" t="s">
        <v>235</v>
      </c>
      <c r="F409" s="2" t="s">
        <v>2243</v>
      </c>
      <c r="G409" s="8" t="str">
        <f>IF(ISNA(VLOOKUP(B409&amp;"|"&amp;C409&amp;"|"&amp;D409&amp;"|"&amp;E409,QuestionTriggers!A:F,6,FALSE)),"","---&gt;")</f>
        <v/>
      </c>
      <c r="H409" s="2" t="s">
        <v>2238</v>
      </c>
      <c r="I409" s="2" t="s">
        <v>2239</v>
      </c>
      <c r="J409" s="2" t="s">
        <v>2240</v>
      </c>
      <c r="K409" s="2"/>
    </row>
    <row r="410" spans="1:11" ht="26.4" hidden="1" x14ac:dyDescent="0.3">
      <c r="A410" t="str">
        <f t="shared" si="6"/>
        <v>Cove|Rabindranath Tagore|NAME</v>
      </c>
      <c r="B410" s="2" t="s">
        <v>1768</v>
      </c>
      <c r="C410" s="2" t="s">
        <v>2166</v>
      </c>
      <c r="D410" s="2" t="s">
        <v>2237</v>
      </c>
      <c r="E410" s="2" t="s">
        <v>12</v>
      </c>
      <c r="F410" s="2" t="s">
        <v>2237</v>
      </c>
      <c r="G410" s="8" t="str">
        <f>IF(ISNA(VLOOKUP(B410&amp;"|"&amp;C410&amp;"|"&amp;D410&amp;"|"&amp;E410,QuestionTriggers!A:F,6,FALSE)),"","---&gt;")</f>
        <v/>
      </c>
      <c r="H410" s="2" t="s">
        <v>2238</v>
      </c>
      <c r="I410" s="2" t="s">
        <v>2239</v>
      </c>
      <c r="J410" s="2" t="s">
        <v>2240</v>
      </c>
      <c r="K410" s="2"/>
    </row>
    <row r="411" spans="1:11" ht="26.4" hidden="1" x14ac:dyDescent="0.3">
      <c r="A411" t="str">
        <f t="shared" si="6"/>
        <v>Cove|Shaman|CODE</v>
      </c>
      <c r="B411" s="2" t="s">
        <v>1768</v>
      </c>
      <c r="C411" s="2" t="s">
        <v>2166</v>
      </c>
      <c r="D411" s="2" t="s">
        <v>2258</v>
      </c>
      <c r="E411" s="2" t="s">
        <v>607</v>
      </c>
      <c r="F411" s="2" t="s">
        <v>2262</v>
      </c>
      <c r="G411" s="8" t="str">
        <f>IF(ISNA(VLOOKUP(B411&amp;"|"&amp;C411&amp;"|"&amp;D411&amp;"|"&amp;E411,QuestionTriggers!A:F,6,FALSE)),"","---&gt;")</f>
        <v/>
      </c>
      <c r="H411" s="2"/>
      <c r="I411" s="2"/>
      <c r="J411" s="2"/>
      <c r="K411" s="2"/>
    </row>
    <row r="412" spans="1:11" hidden="1" x14ac:dyDescent="0.3">
      <c r="A412" t="str">
        <f t="shared" si="6"/>
        <v>Cove|Shaman|HEALTH</v>
      </c>
      <c r="B412" s="2" t="s">
        <v>1768</v>
      </c>
      <c r="C412" s="2" t="s">
        <v>2166</v>
      </c>
      <c r="D412" s="2" t="s">
        <v>2258</v>
      </c>
      <c r="E412" s="2" t="s">
        <v>20</v>
      </c>
      <c r="F412" s="2" t="s">
        <v>652</v>
      </c>
      <c r="G412" s="8" t="str">
        <f>IF(ISNA(VLOOKUP(B412&amp;"|"&amp;C412&amp;"|"&amp;D412&amp;"|"&amp;E412,QuestionTriggers!A:F,6,FALSE)),"","---&gt;")</f>
        <v/>
      </c>
      <c r="H412" s="2"/>
      <c r="I412" s="2"/>
      <c r="J412" s="2"/>
      <c r="K412" s="2"/>
    </row>
    <row r="413" spans="1:11" hidden="1" x14ac:dyDescent="0.3">
      <c r="A413" t="str">
        <f t="shared" si="6"/>
        <v>Cove|Shaman|JOB</v>
      </c>
      <c r="B413" s="2" t="s">
        <v>1768</v>
      </c>
      <c r="C413" s="2" t="s">
        <v>2166</v>
      </c>
      <c r="D413" s="2" t="s">
        <v>2258</v>
      </c>
      <c r="E413" s="2" t="s">
        <v>18</v>
      </c>
      <c r="F413" s="2" t="s">
        <v>2259</v>
      </c>
      <c r="G413" s="8" t="str">
        <f>IF(ISNA(VLOOKUP(B413&amp;"|"&amp;C413&amp;"|"&amp;D413&amp;"|"&amp;E413,QuestionTriggers!A:F,6,FALSE)),"","---&gt;")</f>
        <v/>
      </c>
      <c r="H413" s="2"/>
      <c r="I413" s="2"/>
      <c r="J413" s="2"/>
      <c r="K413" s="2"/>
    </row>
    <row r="414" spans="1:11" hidden="1" x14ac:dyDescent="0.3">
      <c r="A414" t="str">
        <f t="shared" si="6"/>
        <v>Cove|Shaman|LOOK</v>
      </c>
      <c r="B414" s="2" t="s">
        <v>1768</v>
      </c>
      <c r="C414" s="2" t="s">
        <v>2166</v>
      </c>
      <c r="D414" s="2" t="s">
        <v>2258</v>
      </c>
      <c r="E414" s="2" t="s">
        <v>16</v>
      </c>
      <c r="F414" s="2" t="s">
        <v>788</v>
      </c>
      <c r="G414" s="8" t="str">
        <f>IF(ISNA(VLOOKUP(B414&amp;"|"&amp;C414&amp;"|"&amp;D414&amp;"|"&amp;E414,QuestionTriggers!A:F,6,FALSE)),"","---&gt;")</f>
        <v/>
      </c>
      <c r="H414" s="2"/>
      <c r="I414" s="2"/>
      <c r="J414" s="2"/>
      <c r="K414" s="2"/>
    </row>
    <row r="415" spans="1:11" hidden="1" x14ac:dyDescent="0.3">
      <c r="A415" t="str">
        <f t="shared" si="6"/>
        <v>Cove|Shaman|NAME</v>
      </c>
      <c r="B415" s="2" t="s">
        <v>1768</v>
      </c>
      <c r="C415" s="2" t="s">
        <v>2166</v>
      </c>
      <c r="D415" s="2" t="s">
        <v>2258</v>
      </c>
      <c r="E415" s="2" t="s">
        <v>12</v>
      </c>
      <c r="F415" s="2" t="s">
        <v>2258</v>
      </c>
      <c r="G415" s="8" t="str">
        <f>IF(ISNA(VLOOKUP(B415&amp;"|"&amp;C415&amp;"|"&amp;D415&amp;"|"&amp;E415,QuestionTriggers!A:F,6,FALSE)),"","---&gt;")</f>
        <v/>
      </c>
      <c r="H415" s="2"/>
      <c r="I415" s="2"/>
      <c r="J415" s="2"/>
      <c r="K415" s="2"/>
    </row>
    <row r="416" spans="1:11" hidden="1" x14ac:dyDescent="0.3">
      <c r="A416" t="str">
        <f t="shared" si="6"/>
        <v>Cove|Shaman|STUD</v>
      </c>
      <c r="B416" s="2" t="s">
        <v>1768</v>
      </c>
      <c r="C416" s="2" t="s">
        <v>2166</v>
      </c>
      <c r="D416" s="2" t="s">
        <v>2258</v>
      </c>
      <c r="E416" s="2" t="s">
        <v>2260</v>
      </c>
      <c r="F416" s="2" t="s">
        <v>2261</v>
      </c>
      <c r="G416" s="8" t="str">
        <f>IF(ISNA(VLOOKUP(B416&amp;"|"&amp;C416&amp;"|"&amp;D416&amp;"|"&amp;E416,QuestionTriggers!A:F,6,FALSE)),"","---&gt;")</f>
        <v/>
      </c>
      <c r="H416" s="2"/>
      <c r="I416" s="2"/>
      <c r="J416" s="2"/>
      <c r="K416" s="2"/>
    </row>
    <row r="417" spans="1:11" ht="26.4" hidden="1" x14ac:dyDescent="0.3">
      <c r="A417" t="str">
        <f t="shared" si="6"/>
        <v>Cove|Sloven|HEALTH</v>
      </c>
      <c r="B417" s="2" t="s">
        <v>1768</v>
      </c>
      <c r="C417" s="2" t="s">
        <v>2166</v>
      </c>
      <c r="D417" s="2" t="s">
        <v>2179</v>
      </c>
      <c r="E417" s="2" t="s">
        <v>20</v>
      </c>
      <c r="F417" s="2" t="s">
        <v>181</v>
      </c>
      <c r="G417" s="8" t="str">
        <f>IF(ISNA(VLOOKUP(B417&amp;"|"&amp;C417&amp;"|"&amp;D417&amp;"|"&amp;E417,QuestionTriggers!A:F,6,FALSE)),"","---&gt;")</f>
        <v/>
      </c>
      <c r="H417" s="2" t="s">
        <v>907</v>
      </c>
      <c r="I417" s="2" t="s">
        <v>2180</v>
      </c>
      <c r="J417" s="2" t="s">
        <v>2181</v>
      </c>
      <c r="K417" s="2"/>
    </row>
    <row r="418" spans="1:11" ht="26.4" hidden="1" x14ac:dyDescent="0.3">
      <c r="A418" t="str">
        <f t="shared" si="6"/>
        <v>Cove|Sloven|JOB</v>
      </c>
      <c r="B418" s="2" t="s">
        <v>1768</v>
      </c>
      <c r="C418" s="2" t="s">
        <v>2166</v>
      </c>
      <c r="D418" s="2" t="s">
        <v>2179</v>
      </c>
      <c r="E418" s="2" t="s">
        <v>18</v>
      </c>
      <c r="F418" s="2" t="s">
        <v>2183</v>
      </c>
      <c r="G418" s="8" t="str">
        <f>IF(ISNA(VLOOKUP(B418&amp;"|"&amp;C418&amp;"|"&amp;D418&amp;"|"&amp;E418,QuestionTriggers!A:F,6,FALSE)),"","---&gt;")</f>
        <v/>
      </c>
      <c r="H418" s="2" t="s">
        <v>907</v>
      </c>
      <c r="I418" s="2" t="s">
        <v>2180</v>
      </c>
      <c r="J418" s="2" t="s">
        <v>2181</v>
      </c>
      <c r="K418" s="2"/>
    </row>
    <row r="419" spans="1:11" ht="26.4" hidden="1" x14ac:dyDescent="0.3">
      <c r="A419" t="str">
        <f t="shared" si="6"/>
        <v>Cove|Sloven|LOOK</v>
      </c>
      <c r="B419" s="2" t="s">
        <v>1768</v>
      </c>
      <c r="C419" s="2" t="s">
        <v>2166</v>
      </c>
      <c r="D419" s="2" t="s">
        <v>2179</v>
      </c>
      <c r="E419" s="2" t="s">
        <v>16</v>
      </c>
      <c r="F419" s="2" t="s">
        <v>2182</v>
      </c>
      <c r="G419" s="8" t="str">
        <f>IF(ISNA(VLOOKUP(B419&amp;"|"&amp;C419&amp;"|"&amp;D419&amp;"|"&amp;E419,QuestionTriggers!A:F,6,FALSE)),"","---&gt;")</f>
        <v/>
      </c>
      <c r="H419" s="2" t="s">
        <v>907</v>
      </c>
      <c r="I419" s="2" t="s">
        <v>2180</v>
      </c>
      <c r="J419" s="2" t="s">
        <v>2181</v>
      </c>
      <c r="K419" s="2"/>
    </row>
    <row r="420" spans="1:11" ht="26.4" hidden="1" x14ac:dyDescent="0.3">
      <c r="A420" t="str">
        <f t="shared" si="6"/>
        <v>Cove|Sloven|NAME</v>
      </c>
      <c r="B420" s="2" t="s">
        <v>1768</v>
      </c>
      <c r="C420" s="2" t="s">
        <v>2166</v>
      </c>
      <c r="D420" s="2" t="s">
        <v>2179</v>
      </c>
      <c r="E420" s="2" t="s">
        <v>12</v>
      </c>
      <c r="F420" s="2" t="s">
        <v>2179</v>
      </c>
      <c r="G420" s="8" t="str">
        <f>IF(ISNA(VLOOKUP(B420&amp;"|"&amp;C420&amp;"|"&amp;D420&amp;"|"&amp;E420,QuestionTriggers!A:F,6,FALSE)),"","---&gt;")</f>
        <v/>
      </c>
      <c r="H420" s="2" t="s">
        <v>907</v>
      </c>
      <c r="I420" s="2" t="s">
        <v>2180</v>
      </c>
      <c r="J420" s="2" t="s">
        <v>2181</v>
      </c>
      <c r="K420" s="2"/>
    </row>
    <row r="421" spans="1:11" ht="26.4" hidden="1" x14ac:dyDescent="0.3">
      <c r="A421" t="str">
        <f t="shared" si="6"/>
        <v>Cove|Sloven|RECL</v>
      </c>
      <c r="B421" s="2" t="s">
        <v>1768</v>
      </c>
      <c r="C421" s="2" t="s">
        <v>2166</v>
      </c>
      <c r="D421" s="2" t="s">
        <v>2179</v>
      </c>
      <c r="E421" s="2" t="s">
        <v>2184</v>
      </c>
      <c r="F421" s="2" t="s">
        <v>2185</v>
      </c>
      <c r="G421" s="8" t="str">
        <f>IF(ISNA(VLOOKUP(B421&amp;"|"&amp;C421&amp;"|"&amp;D421&amp;"|"&amp;E421,QuestionTriggers!A:F,6,FALSE)),"","---&gt;")</f>
        <v/>
      </c>
      <c r="H421" s="2" t="s">
        <v>907</v>
      </c>
      <c r="I421" s="2" t="s">
        <v>2180</v>
      </c>
      <c r="J421" s="2" t="s">
        <v>2181</v>
      </c>
      <c r="K421" s="2"/>
    </row>
    <row r="422" spans="1:11" ht="26.4" hidden="1" x14ac:dyDescent="0.3">
      <c r="A422" t="str">
        <f t="shared" si="6"/>
        <v>Cove|Sloven|STON</v>
      </c>
      <c r="B422" s="2" t="s">
        <v>1768</v>
      </c>
      <c r="C422" s="2" t="s">
        <v>2166</v>
      </c>
      <c r="D422" s="2" t="s">
        <v>2179</v>
      </c>
      <c r="E422" s="2" t="s">
        <v>854</v>
      </c>
      <c r="F422" s="2" t="s">
        <v>2186</v>
      </c>
      <c r="G422" s="8" t="str">
        <f>IF(ISNA(VLOOKUP(B422&amp;"|"&amp;C422&amp;"|"&amp;D422&amp;"|"&amp;E422,QuestionTriggers!A:F,6,FALSE)),"","---&gt;")</f>
        <v>---&gt;</v>
      </c>
      <c r="H422" s="2" t="s">
        <v>907</v>
      </c>
      <c r="I422" s="2" t="s">
        <v>2180</v>
      </c>
      <c r="J422" s="2" t="s">
        <v>2181</v>
      </c>
      <c r="K422" s="2"/>
    </row>
    <row r="423" spans="1:11" hidden="1" x14ac:dyDescent="0.3">
      <c r="A423" t="str">
        <f t="shared" si="6"/>
        <v>Cove|Spellbind|CODE</v>
      </c>
      <c r="B423" s="2" t="s">
        <v>1768</v>
      </c>
      <c r="C423" s="2" t="s">
        <v>2166</v>
      </c>
      <c r="D423" s="2" t="s">
        <v>2252</v>
      </c>
      <c r="E423" s="2" t="s">
        <v>607</v>
      </c>
      <c r="F423" s="2" t="s">
        <v>2255</v>
      </c>
      <c r="G423" s="8" t="str">
        <f>IF(ISNA(VLOOKUP(B423&amp;"|"&amp;C423&amp;"|"&amp;D423&amp;"|"&amp;E423,QuestionTriggers!A:F,6,FALSE)),"","---&gt;")</f>
        <v/>
      </c>
      <c r="H423" s="2"/>
      <c r="I423" s="2"/>
      <c r="J423" s="2"/>
      <c r="K423" s="2"/>
    </row>
    <row r="424" spans="1:11" ht="26.4" hidden="1" x14ac:dyDescent="0.3">
      <c r="A424" t="str">
        <f t="shared" si="6"/>
        <v>Cove|Spellbind|COMB</v>
      </c>
      <c r="B424" s="2" t="s">
        <v>1768</v>
      </c>
      <c r="C424" s="2" t="s">
        <v>2166</v>
      </c>
      <c r="D424" s="2" t="s">
        <v>2252</v>
      </c>
      <c r="E424" s="2" t="s">
        <v>2256</v>
      </c>
      <c r="F424" s="2" t="s">
        <v>2257</v>
      </c>
      <c r="G424" s="8" t="str">
        <f>IF(ISNA(VLOOKUP(B424&amp;"|"&amp;C424&amp;"|"&amp;D424&amp;"|"&amp;E424,QuestionTriggers!A:F,6,FALSE)),"","---&gt;")</f>
        <v/>
      </c>
      <c r="H424" s="2"/>
      <c r="I424" s="2"/>
      <c r="J424" s="2"/>
      <c r="K424" s="2"/>
    </row>
    <row r="425" spans="1:11" hidden="1" x14ac:dyDescent="0.3">
      <c r="A425" t="str">
        <f t="shared" si="6"/>
        <v>Cove|Spellbind|HEALTH</v>
      </c>
      <c r="B425" s="2" t="s">
        <v>1768</v>
      </c>
      <c r="C425" s="2" t="s">
        <v>2166</v>
      </c>
      <c r="D425" s="2" t="s">
        <v>2252</v>
      </c>
      <c r="E425" s="2" t="s">
        <v>20</v>
      </c>
      <c r="F425" s="2" t="s">
        <v>740</v>
      </c>
      <c r="G425" s="8" t="str">
        <f>IF(ISNA(VLOOKUP(B425&amp;"|"&amp;C425&amp;"|"&amp;D425&amp;"|"&amp;E425,QuestionTriggers!A:F,6,FALSE)),"","---&gt;")</f>
        <v/>
      </c>
      <c r="H425" s="2"/>
      <c r="I425" s="2"/>
      <c r="J425" s="2"/>
      <c r="K425" s="2"/>
    </row>
    <row r="426" spans="1:11" hidden="1" x14ac:dyDescent="0.3">
      <c r="A426" t="str">
        <f t="shared" si="6"/>
        <v>Cove|Spellbind|JOB</v>
      </c>
      <c r="B426" s="2" t="s">
        <v>1768</v>
      </c>
      <c r="C426" s="2" t="s">
        <v>2166</v>
      </c>
      <c r="D426" s="2" t="s">
        <v>2252</v>
      </c>
      <c r="E426" s="2" t="s">
        <v>18</v>
      </c>
      <c r="F426" s="2" t="s">
        <v>2254</v>
      </c>
      <c r="G426" s="8" t="str">
        <f>IF(ISNA(VLOOKUP(B426&amp;"|"&amp;C426&amp;"|"&amp;D426&amp;"|"&amp;E426,QuestionTriggers!A:F,6,FALSE)),"","---&gt;")</f>
        <v/>
      </c>
      <c r="H426" s="2"/>
      <c r="I426" s="2"/>
      <c r="J426" s="2"/>
      <c r="K426" s="2"/>
    </row>
    <row r="427" spans="1:11" hidden="1" x14ac:dyDescent="0.3">
      <c r="A427" t="str">
        <f t="shared" si="6"/>
        <v>Cove|Spellbind|LOOK</v>
      </c>
      <c r="B427" s="2" t="s">
        <v>1768</v>
      </c>
      <c r="C427" s="2" t="s">
        <v>2166</v>
      </c>
      <c r="D427" s="2" t="s">
        <v>2252</v>
      </c>
      <c r="E427" s="2" t="s">
        <v>16</v>
      </c>
      <c r="F427" s="2" t="s">
        <v>2253</v>
      </c>
      <c r="G427" s="8" t="str">
        <f>IF(ISNA(VLOOKUP(B427&amp;"|"&amp;C427&amp;"|"&amp;D427&amp;"|"&amp;E427,QuestionTriggers!A:F,6,FALSE)),"","---&gt;")</f>
        <v/>
      </c>
      <c r="H427" s="2"/>
      <c r="I427" s="2"/>
      <c r="J427" s="2"/>
      <c r="K427" s="2"/>
    </row>
    <row r="428" spans="1:11" hidden="1" x14ac:dyDescent="0.3">
      <c r="A428" t="str">
        <f t="shared" si="6"/>
        <v>Cove|Spellbind|NAME</v>
      </c>
      <c r="B428" s="2" t="s">
        <v>1768</v>
      </c>
      <c r="C428" s="2" t="s">
        <v>2166</v>
      </c>
      <c r="D428" s="2" t="s">
        <v>2252</v>
      </c>
      <c r="E428" s="2" t="s">
        <v>12</v>
      </c>
      <c r="F428" s="2" t="s">
        <v>2252</v>
      </c>
      <c r="G428" s="8" t="str">
        <f>IF(ISNA(VLOOKUP(B428&amp;"|"&amp;C428&amp;"|"&amp;D428&amp;"|"&amp;E428,QuestionTriggers!A:F,6,FALSE)),"","---&gt;")</f>
        <v/>
      </c>
      <c r="H428" s="2"/>
      <c r="I428" s="2"/>
      <c r="J428" s="2"/>
      <c r="K428" s="2"/>
    </row>
    <row r="429" spans="1:11" hidden="1" x14ac:dyDescent="0.3">
      <c r="A429" t="str">
        <f t="shared" si="6"/>
        <v>Empath Abbey|Benjamin|COMP</v>
      </c>
      <c r="B429" s="2" t="s">
        <v>9</v>
      </c>
      <c r="C429" s="2" t="s">
        <v>438</v>
      </c>
      <c r="D429" s="2" t="s">
        <v>455</v>
      </c>
      <c r="E429" s="2" t="s">
        <v>241</v>
      </c>
      <c r="F429" s="2" t="s">
        <v>460</v>
      </c>
      <c r="G429" s="8" t="str">
        <f>IF(ISNA(VLOOKUP(B429&amp;"|"&amp;C429&amp;"|"&amp;D429&amp;"|"&amp;E429,QuestionTriggers!A:F,6,FALSE)),"","---&gt;")</f>
        <v>---&gt;</v>
      </c>
      <c r="H429" s="2" t="s">
        <v>205</v>
      </c>
      <c r="I429" s="2" t="s">
        <v>312</v>
      </c>
      <c r="J429" s="2" t="s">
        <v>456</v>
      </c>
      <c r="K429" s="2"/>
    </row>
    <row r="430" spans="1:11" hidden="1" x14ac:dyDescent="0.3">
      <c r="A430" t="str">
        <f t="shared" si="6"/>
        <v>Empath Abbey|Benjamin|HEALTH</v>
      </c>
      <c r="B430" s="2" t="s">
        <v>9</v>
      </c>
      <c r="C430" s="2" t="s">
        <v>438</v>
      </c>
      <c r="D430" s="2" t="s">
        <v>455</v>
      </c>
      <c r="E430" s="2" t="s">
        <v>20</v>
      </c>
      <c r="F430" s="2" t="s">
        <v>189</v>
      </c>
      <c r="G430" s="8" t="str">
        <f>IF(ISNA(VLOOKUP(B430&amp;"|"&amp;C430&amp;"|"&amp;D430&amp;"|"&amp;E430,QuestionTriggers!A:F,6,FALSE)),"","---&gt;")</f>
        <v/>
      </c>
      <c r="H430" s="2" t="s">
        <v>205</v>
      </c>
      <c r="I430" s="2" t="s">
        <v>312</v>
      </c>
      <c r="J430" s="2" t="s">
        <v>456</v>
      </c>
      <c r="K430" s="2"/>
    </row>
    <row r="431" spans="1:11" hidden="1" x14ac:dyDescent="0.3">
      <c r="A431" t="str">
        <f t="shared" si="6"/>
        <v>Empath Abbey|Benjamin|JOB</v>
      </c>
      <c r="B431" s="2" t="s">
        <v>9</v>
      </c>
      <c r="C431" s="2" t="s">
        <v>438</v>
      </c>
      <c r="D431" s="2" t="s">
        <v>455</v>
      </c>
      <c r="E431" s="2" t="s">
        <v>18</v>
      </c>
      <c r="F431" s="2" t="s">
        <v>458</v>
      </c>
      <c r="G431" s="8" t="str">
        <f>IF(ISNA(VLOOKUP(B431&amp;"|"&amp;C431&amp;"|"&amp;D431&amp;"|"&amp;E431,QuestionTriggers!A:F,6,FALSE)),"","---&gt;")</f>
        <v/>
      </c>
      <c r="H431" s="2" t="s">
        <v>205</v>
      </c>
      <c r="I431" s="2" t="s">
        <v>312</v>
      </c>
      <c r="J431" s="2" t="s">
        <v>456</v>
      </c>
      <c r="K431" s="2"/>
    </row>
    <row r="432" spans="1:11" hidden="1" x14ac:dyDescent="0.3">
      <c r="A432" t="str">
        <f t="shared" si="6"/>
        <v>Empath Abbey|Benjamin|LOOK</v>
      </c>
      <c r="B432" s="2" t="s">
        <v>9</v>
      </c>
      <c r="C432" s="2" t="s">
        <v>438</v>
      </c>
      <c r="D432" s="2" t="s">
        <v>455</v>
      </c>
      <c r="E432" s="2" t="s">
        <v>16</v>
      </c>
      <c r="F432" s="2" t="s">
        <v>457</v>
      </c>
      <c r="G432" s="8" t="str">
        <f>IF(ISNA(VLOOKUP(B432&amp;"|"&amp;C432&amp;"|"&amp;D432&amp;"|"&amp;E432,QuestionTriggers!A:F,6,FALSE)),"","---&gt;")</f>
        <v/>
      </c>
      <c r="H432" s="2" t="s">
        <v>205</v>
      </c>
      <c r="I432" s="2" t="s">
        <v>312</v>
      </c>
      <c r="J432" s="2" t="s">
        <v>456</v>
      </c>
      <c r="K432" s="2"/>
    </row>
    <row r="433" spans="1:11" hidden="1" x14ac:dyDescent="0.3">
      <c r="A433" t="str">
        <f t="shared" si="6"/>
        <v>Empath Abbey|Benjamin|LOVE</v>
      </c>
      <c r="B433" s="2" t="s">
        <v>9</v>
      </c>
      <c r="C433" s="2" t="s">
        <v>438</v>
      </c>
      <c r="D433" s="2" t="s">
        <v>455</v>
      </c>
      <c r="E433" s="2" t="s">
        <v>235</v>
      </c>
      <c r="F433" s="2" t="s">
        <v>459</v>
      </c>
      <c r="G433" s="8" t="str">
        <f>IF(ISNA(VLOOKUP(B433&amp;"|"&amp;C433&amp;"|"&amp;D433&amp;"|"&amp;E433,QuestionTriggers!A:F,6,FALSE)),"","---&gt;")</f>
        <v/>
      </c>
      <c r="H433" s="2" t="s">
        <v>205</v>
      </c>
      <c r="I433" s="2" t="s">
        <v>312</v>
      </c>
      <c r="J433" s="2" t="s">
        <v>456</v>
      </c>
      <c r="K433" s="2"/>
    </row>
    <row r="434" spans="1:11" hidden="1" x14ac:dyDescent="0.3">
      <c r="A434" t="str">
        <f t="shared" si="6"/>
        <v>Empath Abbey|Benjamin|NAME</v>
      </c>
      <c r="B434" s="2" t="s">
        <v>9</v>
      </c>
      <c r="C434" s="2" t="s">
        <v>438</v>
      </c>
      <c r="D434" s="2" t="s">
        <v>455</v>
      </c>
      <c r="E434" s="2" t="s">
        <v>12</v>
      </c>
      <c r="F434" s="2" t="s">
        <v>455</v>
      </c>
      <c r="G434" s="8" t="str">
        <f>IF(ISNA(VLOOKUP(B434&amp;"|"&amp;C434&amp;"|"&amp;D434&amp;"|"&amp;E434,QuestionTriggers!A:F,6,FALSE)),"","---&gt;")</f>
        <v/>
      </c>
      <c r="H434" s="2" t="s">
        <v>205</v>
      </c>
      <c r="I434" s="2" t="s">
        <v>312</v>
      </c>
      <c r="J434" s="2" t="s">
        <v>456</v>
      </c>
      <c r="K434" s="2"/>
    </row>
    <row r="435" spans="1:11" hidden="1" x14ac:dyDescent="0.3">
      <c r="A435" t="str">
        <f t="shared" si="6"/>
        <v>Empath Abbey|Brother Antos|CAND</v>
      </c>
      <c r="B435" s="2" t="s">
        <v>9</v>
      </c>
      <c r="C435" s="2" t="s">
        <v>438</v>
      </c>
      <c r="D435" s="2" t="s">
        <v>445</v>
      </c>
      <c r="E435" s="2" t="s">
        <v>453</v>
      </c>
      <c r="F435" s="2" t="s">
        <v>454</v>
      </c>
      <c r="G435" s="8" t="str">
        <f>IF(ISNA(VLOOKUP(B435&amp;"|"&amp;C435&amp;"|"&amp;D435&amp;"|"&amp;E435,QuestionTriggers!A:F,6,FALSE)),"","---&gt;")</f>
        <v>---&gt;</v>
      </c>
      <c r="H435" s="2" t="s">
        <v>446</v>
      </c>
      <c r="I435" s="2" t="s">
        <v>312</v>
      </c>
      <c r="J435" s="2" t="s">
        <v>447</v>
      </c>
      <c r="K435" s="2"/>
    </row>
    <row r="436" spans="1:11" hidden="1" x14ac:dyDescent="0.3">
      <c r="A436" t="str">
        <f t="shared" si="6"/>
        <v>Empath Abbey|Brother Antos|HEALTH</v>
      </c>
      <c r="B436" s="2" t="s">
        <v>9</v>
      </c>
      <c r="C436" s="2" t="s">
        <v>438</v>
      </c>
      <c r="D436" s="2" t="s">
        <v>445</v>
      </c>
      <c r="E436" s="2" t="s">
        <v>20</v>
      </c>
      <c r="F436" s="2" t="s">
        <v>450</v>
      </c>
      <c r="G436" s="8" t="str">
        <f>IF(ISNA(VLOOKUP(B436&amp;"|"&amp;C436&amp;"|"&amp;D436&amp;"|"&amp;E436,QuestionTriggers!A:F,6,FALSE)),"","---&gt;")</f>
        <v/>
      </c>
      <c r="H436" s="2" t="s">
        <v>446</v>
      </c>
      <c r="I436" s="2" t="s">
        <v>312</v>
      </c>
      <c r="J436" s="2" t="s">
        <v>447</v>
      </c>
      <c r="K436" s="2"/>
    </row>
    <row r="437" spans="1:11" hidden="1" x14ac:dyDescent="0.3">
      <c r="A437" t="str">
        <f t="shared" si="6"/>
        <v>Empath Abbey|Brother Antos|JOB</v>
      </c>
      <c r="B437" s="2" t="s">
        <v>9</v>
      </c>
      <c r="C437" s="2" t="s">
        <v>438</v>
      </c>
      <c r="D437" s="2" t="s">
        <v>445</v>
      </c>
      <c r="E437" s="2" t="s">
        <v>18</v>
      </c>
      <c r="F437" s="2" t="s">
        <v>449</v>
      </c>
      <c r="G437" s="8" t="str">
        <f>IF(ISNA(VLOOKUP(B437&amp;"|"&amp;C437&amp;"|"&amp;D437&amp;"|"&amp;E437,QuestionTriggers!A:F,6,FALSE)),"","---&gt;")</f>
        <v/>
      </c>
      <c r="H437" s="2" t="s">
        <v>446</v>
      </c>
      <c r="I437" s="2" t="s">
        <v>312</v>
      </c>
      <c r="J437" s="2" t="s">
        <v>447</v>
      </c>
      <c r="K437" s="2"/>
    </row>
    <row r="438" spans="1:11" hidden="1" x14ac:dyDescent="0.3">
      <c r="A438" t="str">
        <f t="shared" si="6"/>
        <v>Empath Abbey|Brother Antos|LOOK</v>
      </c>
      <c r="B438" s="2" t="s">
        <v>9</v>
      </c>
      <c r="C438" s="2" t="s">
        <v>438</v>
      </c>
      <c r="D438" s="2" t="s">
        <v>445</v>
      </c>
      <c r="E438" s="2" t="s">
        <v>16</v>
      </c>
      <c r="F438" s="2" t="s">
        <v>448</v>
      </c>
      <c r="G438" s="8" t="str">
        <f>IF(ISNA(VLOOKUP(B438&amp;"|"&amp;C438&amp;"|"&amp;D438&amp;"|"&amp;E438,QuestionTriggers!A:F,6,FALSE)),"","---&gt;")</f>
        <v/>
      </c>
      <c r="H438" s="2" t="s">
        <v>446</v>
      </c>
      <c r="I438" s="2" t="s">
        <v>312</v>
      </c>
      <c r="J438" s="2" t="s">
        <v>447</v>
      </c>
      <c r="K438" s="2"/>
    </row>
    <row r="439" spans="1:11" hidden="1" x14ac:dyDescent="0.3">
      <c r="A439" t="str">
        <f t="shared" si="6"/>
        <v>Empath Abbey|Brother Antos|NAME</v>
      </c>
      <c r="B439" s="2" t="s">
        <v>9</v>
      </c>
      <c r="C439" s="2" t="s">
        <v>438</v>
      </c>
      <c r="D439" s="2" t="s">
        <v>445</v>
      </c>
      <c r="E439" s="2" t="s">
        <v>12</v>
      </c>
      <c r="F439" s="2" t="s">
        <v>445</v>
      </c>
      <c r="G439" s="8" t="str">
        <f>IF(ISNA(VLOOKUP(B439&amp;"|"&amp;C439&amp;"|"&amp;D439&amp;"|"&amp;E439,QuestionTriggers!A:F,6,FALSE)),"","---&gt;")</f>
        <v/>
      </c>
      <c r="H439" s="2" t="s">
        <v>446</v>
      </c>
      <c r="I439" s="2" t="s">
        <v>312</v>
      </c>
      <c r="J439" s="2" t="s">
        <v>447</v>
      </c>
      <c r="K439" s="2"/>
    </row>
    <row r="440" spans="1:11" hidden="1" x14ac:dyDescent="0.3">
      <c r="A440" t="str">
        <f t="shared" si="6"/>
        <v>Empath Abbey|Brother Antos|WISD</v>
      </c>
      <c r="B440" s="2" t="s">
        <v>9</v>
      </c>
      <c r="C440" s="2" t="s">
        <v>438</v>
      </c>
      <c r="D440" s="2" t="s">
        <v>445</v>
      </c>
      <c r="E440" s="2" t="s">
        <v>451</v>
      </c>
      <c r="F440" s="2" t="s">
        <v>452</v>
      </c>
      <c r="G440" s="8" t="str">
        <f>IF(ISNA(VLOOKUP(B440&amp;"|"&amp;C440&amp;"|"&amp;D440&amp;"|"&amp;E440,QuestionTriggers!A:F,6,FALSE)),"","---&gt;")</f>
        <v/>
      </c>
      <c r="H440" s="2" t="s">
        <v>446</v>
      </c>
      <c r="I440" s="2" t="s">
        <v>312</v>
      </c>
      <c r="J440" s="2" t="s">
        <v>447</v>
      </c>
      <c r="K440" s="2"/>
    </row>
    <row r="441" spans="1:11" hidden="1" x14ac:dyDescent="0.3">
      <c r="A441" t="str">
        <f t="shared" si="6"/>
        <v>Empath Abbey|Chinup|GROV</v>
      </c>
      <c r="B441" s="2" t="s">
        <v>9</v>
      </c>
      <c r="C441" s="2" t="s">
        <v>438</v>
      </c>
      <c r="D441" s="2" t="s">
        <v>461</v>
      </c>
      <c r="E441" s="2" t="s">
        <v>468</v>
      </c>
      <c r="F441" s="2" t="s">
        <v>469</v>
      </c>
      <c r="G441" s="8" t="str">
        <f>IF(ISNA(VLOOKUP(B441&amp;"|"&amp;C441&amp;"|"&amp;D441&amp;"|"&amp;E441,QuestionTriggers!A:F,6,FALSE)),"","---&gt;")</f>
        <v/>
      </c>
      <c r="H441" s="2" t="s">
        <v>462</v>
      </c>
      <c r="I441" s="2" t="s">
        <v>463</v>
      </c>
      <c r="J441" s="2" t="s">
        <v>464</v>
      </c>
      <c r="K441" s="2"/>
    </row>
    <row r="442" spans="1:11" hidden="1" x14ac:dyDescent="0.3">
      <c r="A442" t="str">
        <f t="shared" si="6"/>
        <v>Empath Abbey|Chinup|HEALTH</v>
      </c>
      <c r="B442" s="2" t="s">
        <v>9</v>
      </c>
      <c r="C442" s="2" t="s">
        <v>438</v>
      </c>
      <c r="D442" s="2" t="s">
        <v>461</v>
      </c>
      <c r="E442" s="2" t="s">
        <v>20</v>
      </c>
      <c r="F442" s="2" t="s">
        <v>467</v>
      </c>
      <c r="G442" s="8" t="str">
        <f>IF(ISNA(VLOOKUP(B442&amp;"|"&amp;C442&amp;"|"&amp;D442&amp;"|"&amp;E442,QuestionTriggers!A:F,6,FALSE)),"","---&gt;")</f>
        <v/>
      </c>
      <c r="H442" s="2" t="s">
        <v>462</v>
      </c>
      <c r="I442" s="2" t="s">
        <v>463</v>
      </c>
      <c r="J442" s="2" t="s">
        <v>464</v>
      </c>
      <c r="K442" s="2"/>
    </row>
    <row r="443" spans="1:11" hidden="1" x14ac:dyDescent="0.3">
      <c r="A443" t="str">
        <f t="shared" si="6"/>
        <v>Empath Abbey|Chinup|JOB</v>
      </c>
      <c r="B443" s="2" t="s">
        <v>9</v>
      </c>
      <c r="C443" s="2" t="s">
        <v>438</v>
      </c>
      <c r="D443" s="2" t="s">
        <v>461</v>
      </c>
      <c r="E443" s="2" t="s">
        <v>18</v>
      </c>
      <c r="F443" s="2" t="s">
        <v>466</v>
      </c>
      <c r="G443" s="8" t="str">
        <f>IF(ISNA(VLOOKUP(B443&amp;"|"&amp;C443&amp;"|"&amp;D443&amp;"|"&amp;E443,QuestionTriggers!A:F,6,FALSE)),"","---&gt;")</f>
        <v/>
      </c>
      <c r="H443" s="2" t="s">
        <v>462</v>
      </c>
      <c r="I443" s="2" t="s">
        <v>463</v>
      </c>
      <c r="J443" s="2" t="s">
        <v>464</v>
      </c>
      <c r="K443" s="2"/>
    </row>
    <row r="444" spans="1:11" hidden="1" x14ac:dyDescent="0.3">
      <c r="A444" t="str">
        <f t="shared" si="6"/>
        <v>Empath Abbey|Chinup|LOOK</v>
      </c>
      <c r="B444" s="2" t="s">
        <v>9</v>
      </c>
      <c r="C444" s="2" t="s">
        <v>438</v>
      </c>
      <c r="D444" s="2" t="s">
        <v>461</v>
      </c>
      <c r="E444" s="2" t="s">
        <v>16</v>
      </c>
      <c r="F444" s="2" t="s">
        <v>465</v>
      </c>
      <c r="G444" s="8" t="str">
        <f>IF(ISNA(VLOOKUP(B444&amp;"|"&amp;C444&amp;"|"&amp;D444&amp;"|"&amp;E444,QuestionTriggers!A:F,6,FALSE)),"","---&gt;")</f>
        <v/>
      </c>
      <c r="H444" s="2" t="s">
        <v>462</v>
      </c>
      <c r="I444" s="2" t="s">
        <v>463</v>
      </c>
      <c r="J444" s="2" t="s">
        <v>464</v>
      </c>
      <c r="K444" s="2"/>
    </row>
    <row r="445" spans="1:11" hidden="1" x14ac:dyDescent="0.3">
      <c r="A445" t="str">
        <f t="shared" si="6"/>
        <v>Empath Abbey|Chinup|NAME</v>
      </c>
      <c r="B445" s="2" t="s">
        <v>9</v>
      </c>
      <c r="C445" s="2" t="s">
        <v>438</v>
      </c>
      <c r="D445" s="2" t="s">
        <v>461</v>
      </c>
      <c r="E445" s="2" t="s">
        <v>12</v>
      </c>
      <c r="F445" s="2" t="s">
        <v>461</v>
      </c>
      <c r="G445" s="8" t="str">
        <f>IF(ISNA(VLOOKUP(B445&amp;"|"&amp;C445&amp;"|"&amp;D445&amp;"|"&amp;E445,QuestionTriggers!A:F,6,FALSE)),"","---&gt;")</f>
        <v/>
      </c>
      <c r="H445" s="2" t="s">
        <v>462</v>
      </c>
      <c r="I445" s="2" t="s">
        <v>463</v>
      </c>
      <c r="J445" s="2" t="s">
        <v>464</v>
      </c>
      <c r="K445" s="2"/>
    </row>
    <row r="446" spans="1:11" hidden="1" x14ac:dyDescent="0.3">
      <c r="A446" t="str">
        <f t="shared" si="6"/>
        <v>Empath Abbey|Chinup|OAK</v>
      </c>
      <c r="B446" s="2" t="s">
        <v>9</v>
      </c>
      <c r="C446" s="2" t="s">
        <v>438</v>
      </c>
      <c r="D446" s="2" t="s">
        <v>461</v>
      </c>
      <c r="E446" s="2" t="s">
        <v>470</v>
      </c>
      <c r="F446" s="2" t="s">
        <v>471</v>
      </c>
      <c r="G446" s="8" t="str">
        <f>IF(ISNA(VLOOKUP(B446&amp;"|"&amp;C446&amp;"|"&amp;D446&amp;"|"&amp;E446,QuestionTriggers!A:F,6,FALSE)),"","---&gt;")</f>
        <v>---&gt;</v>
      </c>
      <c r="H446" s="2" t="s">
        <v>462</v>
      </c>
      <c r="I446" s="2" t="s">
        <v>463</v>
      </c>
      <c r="J446" s="2" t="s">
        <v>464</v>
      </c>
      <c r="K446" s="2"/>
    </row>
    <row r="447" spans="1:11" hidden="1" x14ac:dyDescent="0.3">
      <c r="A447" t="str">
        <f t="shared" si="6"/>
        <v>Empath Abbey|Deirdre|HEALTH</v>
      </c>
      <c r="B447" s="2" t="s">
        <v>9</v>
      </c>
      <c r="C447" s="2" t="s">
        <v>438</v>
      </c>
      <c r="D447" s="2" t="s">
        <v>472</v>
      </c>
      <c r="E447" s="2" t="s">
        <v>20</v>
      </c>
      <c r="F447" s="2" t="s">
        <v>189</v>
      </c>
      <c r="G447" s="8" t="str">
        <f>IF(ISNA(VLOOKUP(B447&amp;"|"&amp;C447&amp;"|"&amp;D447&amp;"|"&amp;E447,QuestionTriggers!A:F,6,FALSE)),"","---&gt;")</f>
        <v/>
      </c>
      <c r="H447" s="2" t="s">
        <v>473</v>
      </c>
      <c r="I447" s="2" t="s">
        <v>474</v>
      </c>
      <c r="J447" s="2" t="s">
        <v>475</v>
      </c>
      <c r="K447" s="2"/>
    </row>
    <row r="448" spans="1:11" hidden="1" x14ac:dyDescent="0.3">
      <c r="A448" t="str">
        <f t="shared" si="6"/>
        <v>Empath Abbey|Deirdre|JOB</v>
      </c>
      <c r="B448" s="2" t="s">
        <v>9</v>
      </c>
      <c r="C448" s="2" t="s">
        <v>438</v>
      </c>
      <c r="D448" s="2" t="s">
        <v>472</v>
      </c>
      <c r="E448" s="2" t="s">
        <v>18</v>
      </c>
      <c r="F448" s="2" t="s">
        <v>477</v>
      </c>
      <c r="G448" s="8" t="str">
        <f>IF(ISNA(VLOOKUP(B448&amp;"|"&amp;C448&amp;"|"&amp;D448&amp;"|"&amp;E448,QuestionTriggers!A:F,6,FALSE)),"","---&gt;")</f>
        <v/>
      </c>
      <c r="H448" s="2" t="s">
        <v>473</v>
      </c>
      <c r="I448" s="2" t="s">
        <v>474</v>
      </c>
      <c r="J448" s="2" t="s">
        <v>475</v>
      </c>
      <c r="K448" s="2"/>
    </row>
    <row r="449" spans="1:11" hidden="1" x14ac:dyDescent="0.3">
      <c r="A449" t="str">
        <f t="shared" si="6"/>
        <v>Empath Abbey|Deirdre|JUST</v>
      </c>
      <c r="B449" s="2" t="s">
        <v>9</v>
      </c>
      <c r="C449" s="2" t="s">
        <v>438</v>
      </c>
      <c r="D449" s="2" t="s">
        <v>472</v>
      </c>
      <c r="E449" s="2" t="s">
        <v>245</v>
      </c>
      <c r="F449" s="2" t="s">
        <v>479</v>
      </c>
      <c r="G449" s="8" t="str">
        <f>IF(ISNA(VLOOKUP(B449&amp;"|"&amp;C449&amp;"|"&amp;D449&amp;"|"&amp;E449,QuestionTriggers!A:F,6,FALSE)),"","---&gt;")</f>
        <v>---&gt;</v>
      </c>
      <c r="H449" s="2" t="s">
        <v>473</v>
      </c>
      <c r="I449" s="2" t="s">
        <v>474</v>
      </c>
      <c r="J449" s="2" t="s">
        <v>475</v>
      </c>
      <c r="K449" s="2"/>
    </row>
    <row r="450" spans="1:11" hidden="1" x14ac:dyDescent="0.3">
      <c r="A450" t="str">
        <f t="shared" si="6"/>
        <v>Empath Abbey|Deirdre|LOOK</v>
      </c>
      <c r="B450" s="2" t="s">
        <v>9</v>
      </c>
      <c r="C450" s="2" t="s">
        <v>438</v>
      </c>
      <c r="D450" s="2" t="s">
        <v>472</v>
      </c>
      <c r="E450" s="2" t="s">
        <v>16</v>
      </c>
      <c r="F450" s="2" t="s">
        <v>476</v>
      </c>
      <c r="G450" s="8" t="str">
        <f>IF(ISNA(VLOOKUP(B450&amp;"|"&amp;C450&amp;"|"&amp;D450&amp;"|"&amp;E450,QuestionTriggers!A:F,6,FALSE)),"","---&gt;")</f>
        <v/>
      </c>
      <c r="H450" s="2" t="s">
        <v>473</v>
      </c>
      <c r="I450" s="2" t="s">
        <v>474</v>
      </c>
      <c r="J450" s="2" t="s">
        <v>475</v>
      </c>
      <c r="K450" s="2"/>
    </row>
    <row r="451" spans="1:11" hidden="1" x14ac:dyDescent="0.3">
      <c r="A451" t="str">
        <f t="shared" ref="A451:A514" si="7">C451&amp;"|"&amp;D451&amp;"|"&amp;E451</f>
        <v>Empath Abbey|Deirdre|LOVE</v>
      </c>
      <c r="B451" s="2" t="s">
        <v>9</v>
      </c>
      <c r="C451" s="2" t="s">
        <v>438</v>
      </c>
      <c r="D451" s="2" t="s">
        <v>472</v>
      </c>
      <c r="E451" s="2" t="s">
        <v>235</v>
      </c>
      <c r="F451" s="2" t="s">
        <v>478</v>
      </c>
      <c r="G451" s="8" t="str">
        <f>IF(ISNA(VLOOKUP(B451&amp;"|"&amp;C451&amp;"|"&amp;D451&amp;"|"&amp;E451,QuestionTriggers!A:F,6,FALSE)),"","---&gt;")</f>
        <v/>
      </c>
      <c r="H451" s="2" t="s">
        <v>473</v>
      </c>
      <c r="I451" s="2" t="s">
        <v>474</v>
      </c>
      <c r="J451" s="2" t="s">
        <v>475</v>
      </c>
      <c r="K451" s="2"/>
    </row>
    <row r="452" spans="1:11" hidden="1" x14ac:dyDescent="0.3">
      <c r="A452" t="str">
        <f t="shared" si="7"/>
        <v>Empath Abbey|Deirdre|NAME</v>
      </c>
      <c r="B452" s="2" t="s">
        <v>9</v>
      </c>
      <c r="C452" s="2" t="s">
        <v>438</v>
      </c>
      <c r="D452" s="2" t="s">
        <v>472</v>
      </c>
      <c r="E452" s="2" t="s">
        <v>12</v>
      </c>
      <c r="F452" s="2" t="s">
        <v>472</v>
      </c>
      <c r="G452" s="8" t="str">
        <f>IF(ISNA(VLOOKUP(B452&amp;"|"&amp;C452&amp;"|"&amp;D452&amp;"|"&amp;E452,QuestionTriggers!A:F,6,FALSE)),"","---&gt;")</f>
        <v/>
      </c>
      <c r="H452" s="2" t="s">
        <v>473</v>
      </c>
      <c r="I452" s="2" t="s">
        <v>474</v>
      </c>
      <c r="J452" s="2" t="s">
        <v>475</v>
      </c>
      <c r="K452" s="2"/>
    </row>
    <row r="453" spans="1:11" hidden="1" x14ac:dyDescent="0.3">
      <c r="A453" t="str">
        <f t="shared" si="7"/>
        <v>Empath Abbey|Derek the Bard|CAND</v>
      </c>
      <c r="B453" s="2" t="s">
        <v>9</v>
      </c>
      <c r="C453" s="2" t="s">
        <v>438</v>
      </c>
      <c r="D453" s="2" t="s">
        <v>480</v>
      </c>
      <c r="E453" s="2" t="s">
        <v>453</v>
      </c>
      <c r="F453" s="2" t="s">
        <v>489</v>
      </c>
      <c r="G453" s="8" t="str">
        <f>IF(ISNA(VLOOKUP(B453&amp;"|"&amp;C453&amp;"|"&amp;D453&amp;"|"&amp;E453,QuestionTriggers!A:F,6,FALSE)),"","---&gt;")</f>
        <v>---&gt;</v>
      </c>
      <c r="H453" s="2" t="s">
        <v>481</v>
      </c>
      <c r="I453" s="2" t="s">
        <v>482</v>
      </c>
      <c r="J453" s="2" t="s">
        <v>483</v>
      </c>
      <c r="K453" s="2"/>
    </row>
    <row r="454" spans="1:11" hidden="1" x14ac:dyDescent="0.3">
      <c r="A454" t="str">
        <f t="shared" si="7"/>
        <v>Empath Abbey|Derek the Bard|HEALTH</v>
      </c>
      <c r="B454" s="2" t="s">
        <v>9</v>
      </c>
      <c r="C454" s="2" t="s">
        <v>438</v>
      </c>
      <c r="D454" s="2" t="s">
        <v>480</v>
      </c>
      <c r="E454" s="2" t="s">
        <v>20</v>
      </c>
      <c r="F454" s="2" t="s">
        <v>486</v>
      </c>
      <c r="G454" s="8" t="str">
        <f>IF(ISNA(VLOOKUP(B454&amp;"|"&amp;C454&amp;"|"&amp;D454&amp;"|"&amp;E454,QuestionTriggers!A:F,6,FALSE)),"","---&gt;")</f>
        <v/>
      </c>
      <c r="H454" s="2" t="s">
        <v>481</v>
      </c>
      <c r="I454" s="2" t="s">
        <v>482</v>
      </c>
      <c r="J454" s="2" t="s">
        <v>483</v>
      </c>
      <c r="K454" s="2"/>
    </row>
    <row r="455" spans="1:11" hidden="1" x14ac:dyDescent="0.3">
      <c r="A455" t="str">
        <f t="shared" si="7"/>
        <v>Empath Abbey|Derek the Bard|JOB</v>
      </c>
      <c r="B455" s="2" t="s">
        <v>9</v>
      </c>
      <c r="C455" s="2" t="s">
        <v>438</v>
      </c>
      <c r="D455" s="2" t="s">
        <v>480</v>
      </c>
      <c r="E455" s="2" t="s">
        <v>18</v>
      </c>
      <c r="F455" s="2" t="s">
        <v>485</v>
      </c>
      <c r="G455" s="8" t="str">
        <f>IF(ISNA(VLOOKUP(B455&amp;"|"&amp;C455&amp;"|"&amp;D455&amp;"|"&amp;E455,QuestionTriggers!A:F,6,FALSE)),"","---&gt;")</f>
        <v/>
      </c>
      <c r="H455" s="2" t="s">
        <v>481</v>
      </c>
      <c r="I455" s="2" t="s">
        <v>482</v>
      </c>
      <c r="J455" s="2" t="s">
        <v>483</v>
      </c>
      <c r="K455" s="2"/>
    </row>
    <row r="456" spans="1:11" hidden="1" x14ac:dyDescent="0.3">
      <c r="A456" t="str">
        <f t="shared" si="7"/>
        <v>Empath Abbey|Derek the Bard|LOOK</v>
      </c>
      <c r="B456" s="2" t="s">
        <v>9</v>
      </c>
      <c r="C456" s="2" t="s">
        <v>438</v>
      </c>
      <c r="D456" s="2" t="s">
        <v>480</v>
      </c>
      <c r="E456" s="2" t="s">
        <v>16</v>
      </c>
      <c r="F456" s="2" t="s">
        <v>484</v>
      </c>
      <c r="G456" s="8" t="str">
        <f>IF(ISNA(VLOOKUP(B456&amp;"|"&amp;C456&amp;"|"&amp;D456&amp;"|"&amp;E456,QuestionTriggers!A:F,6,FALSE)),"","---&gt;")</f>
        <v/>
      </c>
      <c r="H456" s="2" t="s">
        <v>481</v>
      </c>
      <c r="I456" s="2" t="s">
        <v>482</v>
      </c>
      <c r="J456" s="2" t="s">
        <v>483</v>
      </c>
      <c r="K456" s="2"/>
    </row>
    <row r="457" spans="1:11" hidden="1" x14ac:dyDescent="0.3">
      <c r="A457" t="str">
        <f t="shared" si="7"/>
        <v>Empath Abbey|Derek the Bard|NAME</v>
      </c>
      <c r="B457" s="2" t="s">
        <v>9</v>
      </c>
      <c r="C457" s="2" t="s">
        <v>438</v>
      </c>
      <c r="D457" s="2" t="s">
        <v>480</v>
      </c>
      <c r="E457" s="2" t="s">
        <v>12</v>
      </c>
      <c r="F457" s="2" t="s">
        <v>480</v>
      </c>
      <c r="G457" s="8" t="str">
        <f>IF(ISNA(VLOOKUP(B457&amp;"|"&amp;C457&amp;"|"&amp;D457&amp;"|"&amp;E457,QuestionTriggers!A:F,6,FALSE)),"","---&gt;")</f>
        <v/>
      </c>
      <c r="H457" s="2" t="s">
        <v>481</v>
      </c>
      <c r="I457" s="2" t="s">
        <v>482</v>
      </c>
      <c r="J457" s="2" t="s">
        <v>483</v>
      </c>
      <c r="K457" s="2"/>
    </row>
    <row r="458" spans="1:11" hidden="1" x14ac:dyDescent="0.3">
      <c r="A458" t="str">
        <f t="shared" si="7"/>
        <v>Empath Abbey|Derek the Bard|SONG</v>
      </c>
      <c r="B458" s="2" t="s">
        <v>9</v>
      </c>
      <c r="C458" s="2" t="s">
        <v>438</v>
      </c>
      <c r="D458" s="2" t="s">
        <v>480</v>
      </c>
      <c r="E458" s="2" t="s">
        <v>487</v>
      </c>
      <c r="F458" s="2" t="s">
        <v>488</v>
      </c>
      <c r="G458" s="8" t="str">
        <f>IF(ISNA(VLOOKUP(B458&amp;"|"&amp;C458&amp;"|"&amp;D458&amp;"|"&amp;E458,QuestionTriggers!A:F,6,FALSE)),"","---&gt;")</f>
        <v/>
      </c>
      <c r="H458" s="2" t="s">
        <v>481</v>
      </c>
      <c r="I458" s="2" t="s">
        <v>482</v>
      </c>
      <c r="J458" s="2" t="s">
        <v>483</v>
      </c>
      <c r="K458" s="2"/>
    </row>
    <row r="459" spans="1:11" ht="26.4" hidden="1" x14ac:dyDescent="0.3">
      <c r="A459" t="str">
        <f t="shared" si="7"/>
        <v>Empath Abbey|Diane|COUN</v>
      </c>
      <c r="B459" s="2" t="s">
        <v>9</v>
      </c>
      <c r="C459" s="2" t="s">
        <v>438</v>
      </c>
      <c r="D459" s="2" t="s">
        <v>490</v>
      </c>
      <c r="E459" s="2" t="s">
        <v>163</v>
      </c>
      <c r="F459" s="2" t="s">
        <v>496</v>
      </c>
      <c r="G459" s="8" t="str">
        <f>IF(ISNA(VLOOKUP(B459&amp;"|"&amp;C459&amp;"|"&amp;D459&amp;"|"&amp;E459,QuestionTriggers!A:F,6,FALSE)),"","---&gt;")</f>
        <v/>
      </c>
      <c r="H459" s="2" t="s">
        <v>491</v>
      </c>
      <c r="I459" s="2" t="s">
        <v>492</v>
      </c>
      <c r="J459" s="2" t="s">
        <v>493</v>
      </c>
      <c r="K459" s="2" t="s">
        <v>51</v>
      </c>
    </row>
    <row r="460" spans="1:11" hidden="1" x14ac:dyDescent="0.3">
      <c r="A460" t="str">
        <f t="shared" si="7"/>
        <v>Empath Abbey|Diane|HEALTH</v>
      </c>
      <c r="B460" s="2" t="s">
        <v>9</v>
      </c>
      <c r="C460" s="2" t="s">
        <v>438</v>
      </c>
      <c r="D460" s="2" t="s">
        <v>490</v>
      </c>
      <c r="E460" s="2" t="s">
        <v>20</v>
      </c>
      <c r="F460" s="2" t="s">
        <v>177</v>
      </c>
      <c r="G460" s="8" t="str">
        <f>IF(ISNA(VLOOKUP(B460&amp;"|"&amp;C460&amp;"|"&amp;D460&amp;"|"&amp;E460,QuestionTriggers!A:F,6,FALSE)),"","---&gt;")</f>
        <v/>
      </c>
      <c r="H460" s="2" t="s">
        <v>491</v>
      </c>
      <c r="I460" s="2" t="s">
        <v>492</v>
      </c>
      <c r="J460" s="2" t="s">
        <v>493</v>
      </c>
      <c r="K460" s="2" t="s">
        <v>51</v>
      </c>
    </row>
    <row r="461" spans="1:11" hidden="1" x14ac:dyDescent="0.3">
      <c r="A461" t="str">
        <f t="shared" si="7"/>
        <v>Empath Abbey|Diane|JOB</v>
      </c>
      <c r="B461" s="2" t="s">
        <v>9</v>
      </c>
      <c r="C461" s="2" t="s">
        <v>438</v>
      </c>
      <c r="D461" s="2" t="s">
        <v>490</v>
      </c>
      <c r="E461" s="2" t="s">
        <v>18</v>
      </c>
      <c r="F461" s="2" t="s">
        <v>495</v>
      </c>
      <c r="G461" s="8" t="str">
        <f>IF(ISNA(VLOOKUP(B461&amp;"|"&amp;C461&amp;"|"&amp;D461&amp;"|"&amp;E461,QuestionTriggers!A:F,6,FALSE)),"","---&gt;")</f>
        <v/>
      </c>
      <c r="H461" s="2" t="s">
        <v>491</v>
      </c>
      <c r="I461" s="2" t="s">
        <v>492</v>
      </c>
      <c r="J461" s="2" t="s">
        <v>493</v>
      </c>
      <c r="K461" s="2" t="s">
        <v>51</v>
      </c>
    </row>
    <row r="462" spans="1:11" hidden="1" x14ac:dyDescent="0.3">
      <c r="A462" t="str">
        <f t="shared" si="7"/>
        <v>Empath Abbey|Diane|LOOK</v>
      </c>
      <c r="B462" s="2" t="s">
        <v>9</v>
      </c>
      <c r="C462" s="2" t="s">
        <v>438</v>
      </c>
      <c r="D462" s="2" t="s">
        <v>490</v>
      </c>
      <c r="E462" s="2" t="s">
        <v>16</v>
      </c>
      <c r="F462" s="2" t="s">
        <v>494</v>
      </c>
      <c r="G462" s="8" t="str">
        <f>IF(ISNA(VLOOKUP(B462&amp;"|"&amp;C462&amp;"|"&amp;D462&amp;"|"&amp;E462,QuestionTriggers!A:F,6,FALSE)),"","---&gt;")</f>
        <v/>
      </c>
      <c r="H462" s="2" t="s">
        <v>491</v>
      </c>
      <c r="I462" s="2" t="s">
        <v>492</v>
      </c>
      <c r="J462" s="2" t="s">
        <v>493</v>
      </c>
      <c r="K462" s="2" t="s">
        <v>51</v>
      </c>
    </row>
    <row r="463" spans="1:11" hidden="1" x14ac:dyDescent="0.3">
      <c r="A463" t="str">
        <f t="shared" si="7"/>
        <v>Empath Abbey|Diane|LOVE</v>
      </c>
      <c r="B463" s="2" t="s">
        <v>9</v>
      </c>
      <c r="C463" s="2" t="s">
        <v>438</v>
      </c>
      <c r="D463" s="2" t="s">
        <v>490</v>
      </c>
      <c r="E463" s="2" t="s">
        <v>235</v>
      </c>
      <c r="F463" s="2" t="s">
        <v>497</v>
      </c>
      <c r="G463" s="8" t="str">
        <f>IF(ISNA(VLOOKUP(B463&amp;"|"&amp;C463&amp;"|"&amp;D463&amp;"|"&amp;E463,QuestionTriggers!A:F,6,FALSE)),"","---&gt;")</f>
        <v>---&gt;</v>
      </c>
      <c r="H463" s="2" t="s">
        <v>491</v>
      </c>
      <c r="I463" s="2" t="s">
        <v>492</v>
      </c>
      <c r="J463" s="2" t="s">
        <v>493</v>
      </c>
      <c r="K463" s="2" t="s">
        <v>51</v>
      </c>
    </row>
    <row r="464" spans="1:11" hidden="1" x14ac:dyDescent="0.3">
      <c r="A464" t="str">
        <f t="shared" si="7"/>
        <v>Empath Abbey|Diane|NAME</v>
      </c>
      <c r="B464" s="2" t="s">
        <v>9</v>
      </c>
      <c r="C464" s="2" t="s">
        <v>438</v>
      </c>
      <c r="D464" s="2" t="s">
        <v>490</v>
      </c>
      <c r="E464" s="2" t="s">
        <v>12</v>
      </c>
      <c r="F464" s="2" t="s">
        <v>490</v>
      </c>
      <c r="G464" s="8" t="str">
        <f>IF(ISNA(VLOOKUP(B464&amp;"|"&amp;C464&amp;"|"&amp;D464&amp;"|"&amp;E464,QuestionTriggers!A:F,6,FALSE)),"","---&gt;")</f>
        <v/>
      </c>
      <c r="H464" s="2" t="s">
        <v>491</v>
      </c>
      <c r="I464" s="2" t="s">
        <v>492</v>
      </c>
      <c r="J464" s="2" t="s">
        <v>493</v>
      </c>
      <c r="K464" s="2" t="s">
        <v>51</v>
      </c>
    </row>
    <row r="465" spans="1:11" ht="26.4" hidden="1" x14ac:dyDescent="0.3">
      <c r="A465" t="str">
        <f t="shared" si="7"/>
        <v>Empath Abbey|Gate Guard|ABBE</v>
      </c>
      <c r="B465" s="2" t="s">
        <v>9</v>
      </c>
      <c r="C465" s="2" t="s">
        <v>438</v>
      </c>
      <c r="D465" s="2" t="s">
        <v>26</v>
      </c>
      <c r="E465" s="2" t="s">
        <v>506</v>
      </c>
      <c r="F465" s="2" t="s">
        <v>507</v>
      </c>
      <c r="G465" s="8" t="str">
        <f>IF(ISNA(VLOOKUP(B465&amp;"|"&amp;C465&amp;"|"&amp;D465&amp;"|"&amp;E465,QuestionTriggers!A:F,6,FALSE)),"","---&gt;")</f>
        <v>---&gt;</v>
      </c>
      <c r="H465" s="2" t="s">
        <v>499</v>
      </c>
      <c r="I465" s="2" t="s">
        <v>500</v>
      </c>
      <c r="J465" s="2" t="s">
        <v>501</v>
      </c>
      <c r="K465" s="2" t="s">
        <v>51</v>
      </c>
    </row>
    <row r="466" spans="1:11" ht="26.4" hidden="1" x14ac:dyDescent="0.3">
      <c r="A466" t="str">
        <f t="shared" si="7"/>
        <v>Empath Abbey|Gate Guard|GATE</v>
      </c>
      <c r="B466" s="2" t="s">
        <v>9</v>
      </c>
      <c r="C466" s="2" t="s">
        <v>438</v>
      </c>
      <c r="D466" s="2" t="s">
        <v>26</v>
      </c>
      <c r="E466" s="2" t="s">
        <v>504</v>
      </c>
      <c r="F466" s="2" t="s">
        <v>505</v>
      </c>
      <c r="G466" s="8" t="str">
        <f>IF(ISNA(VLOOKUP(B466&amp;"|"&amp;C466&amp;"|"&amp;D466&amp;"|"&amp;E466,QuestionTriggers!A:F,6,FALSE)),"","---&gt;")</f>
        <v/>
      </c>
      <c r="H466" s="2" t="s">
        <v>499</v>
      </c>
      <c r="I466" s="2" t="s">
        <v>500</v>
      </c>
      <c r="J466" s="2" t="s">
        <v>501</v>
      </c>
      <c r="K466" s="2" t="s">
        <v>51</v>
      </c>
    </row>
    <row r="467" spans="1:11" ht="26.4" hidden="1" x14ac:dyDescent="0.3">
      <c r="A467" t="str">
        <f t="shared" si="7"/>
        <v>Empath Abbey|Gate Guard|HEALTH</v>
      </c>
      <c r="B467" s="2" t="s">
        <v>9</v>
      </c>
      <c r="C467" s="2" t="s">
        <v>438</v>
      </c>
      <c r="D467" s="2" t="s">
        <v>26</v>
      </c>
      <c r="E467" s="2" t="s">
        <v>20</v>
      </c>
      <c r="F467" s="2" t="s">
        <v>503</v>
      </c>
      <c r="G467" s="8" t="str">
        <f>IF(ISNA(VLOOKUP(B467&amp;"|"&amp;C467&amp;"|"&amp;D467&amp;"|"&amp;E467,QuestionTriggers!A:F,6,FALSE)),"","---&gt;")</f>
        <v/>
      </c>
      <c r="H467" s="2" t="s">
        <v>499</v>
      </c>
      <c r="I467" s="2" t="s">
        <v>500</v>
      </c>
      <c r="J467" s="2" t="s">
        <v>501</v>
      </c>
      <c r="K467" s="2" t="s">
        <v>51</v>
      </c>
    </row>
    <row r="468" spans="1:11" ht="26.4" hidden="1" x14ac:dyDescent="0.3">
      <c r="A468" t="str">
        <f t="shared" si="7"/>
        <v>Empath Abbey|Gate Guard|JOB</v>
      </c>
      <c r="B468" s="2" t="s">
        <v>9</v>
      </c>
      <c r="C468" s="2" t="s">
        <v>438</v>
      </c>
      <c r="D468" s="2" t="s">
        <v>26</v>
      </c>
      <c r="E468" s="2" t="s">
        <v>18</v>
      </c>
      <c r="F468" s="2" t="s">
        <v>502</v>
      </c>
      <c r="G468" s="8" t="str">
        <f>IF(ISNA(VLOOKUP(B468&amp;"|"&amp;C468&amp;"|"&amp;D468&amp;"|"&amp;E468,QuestionTriggers!A:F,6,FALSE)),"","---&gt;")</f>
        <v/>
      </c>
      <c r="H468" s="2" t="s">
        <v>499</v>
      </c>
      <c r="I468" s="2" t="s">
        <v>500</v>
      </c>
      <c r="J468" s="2" t="s">
        <v>501</v>
      </c>
      <c r="K468" s="2" t="s">
        <v>51</v>
      </c>
    </row>
    <row r="469" spans="1:11" ht="26.4" hidden="1" x14ac:dyDescent="0.3">
      <c r="A469" t="str">
        <f t="shared" si="7"/>
        <v>Empath Abbey|Gate Guard|LOOK</v>
      </c>
      <c r="B469" s="2" t="s">
        <v>9</v>
      </c>
      <c r="C469" s="2" t="s">
        <v>438</v>
      </c>
      <c r="D469" s="2" t="s">
        <v>26</v>
      </c>
      <c r="E469" s="2" t="s">
        <v>16</v>
      </c>
      <c r="F469" s="2" t="s">
        <v>42</v>
      </c>
      <c r="G469" s="8" t="str">
        <f>IF(ISNA(VLOOKUP(B469&amp;"|"&amp;C469&amp;"|"&amp;D469&amp;"|"&amp;E469,QuestionTriggers!A:F,6,FALSE)),"","---&gt;")</f>
        <v/>
      </c>
      <c r="H469" s="2" t="s">
        <v>499</v>
      </c>
      <c r="I469" s="2" t="s">
        <v>500</v>
      </c>
      <c r="J469" s="2" t="s">
        <v>501</v>
      </c>
      <c r="K469" s="2" t="s">
        <v>51</v>
      </c>
    </row>
    <row r="470" spans="1:11" ht="26.4" hidden="1" x14ac:dyDescent="0.3">
      <c r="A470" t="str">
        <f t="shared" si="7"/>
        <v>Empath Abbey|Gate Guard|NAME</v>
      </c>
      <c r="B470" s="2" t="s">
        <v>9</v>
      </c>
      <c r="C470" s="2" t="s">
        <v>438</v>
      </c>
      <c r="D470" s="2" t="s">
        <v>26</v>
      </c>
      <c r="E470" s="2" t="s">
        <v>12</v>
      </c>
      <c r="F470" s="2" t="s">
        <v>498</v>
      </c>
      <c r="G470" s="8" t="str">
        <f>IF(ISNA(VLOOKUP(B470&amp;"|"&amp;C470&amp;"|"&amp;D470&amp;"|"&amp;E470,QuestionTriggers!A:F,6,FALSE)),"","---&gt;")</f>
        <v/>
      </c>
      <c r="H470" s="2" t="s">
        <v>499</v>
      </c>
      <c r="I470" s="2" t="s">
        <v>500</v>
      </c>
      <c r="J470" s="2" t="s">
        <v>501</v>
      </c>
      <c r="K470" s="2" t="s">
        <v>51</v>
      </c>
    </row>
    <row r="471" spans="1:11" ht="39.6" hidden="1" x14ac:dyDescent="0.3">
      <c r="A471" t="str">
        <f t="shared" si="7"/>
        <v>Empath Abbey|Guard of Passages|DANG</v>
      </c>
      <c r="B471" s="2" t="s">
        <v>9</v>
      </c>
      <c r="C471" s="2" t="s">
        <v>438</v>
      </c>
      <c r="D471" s="2" t="s">
        <v>508</v>
      </c>
      <c r="E471" s="2" t="s">
        <v>515</v>
      </c>
      <c r="F471" s="2" t="s">
        <v>516</v>
      </c>
      <c r="G471" s="8" t="str">
        <f>IF(ISNA(VLOOKUP(B471&amp;"|"&amp;C471&amp;"|"&amp;D471&amp;"|"&amp;E471,QuestionTriggers!A:F,6,FALSE)),"","---&gt;")</f>
        <v>---&gt;</v>
      </c>
      <c r="H471" s="2" t="s">
        <v>510</v>
      </c>
      <c r="I471" s="2" t="s">
        <v>177</v>
      </c>
      <c r="J471" s="2" t="s">
        <v>511</v>
      </c>
      <c r="K471" s="2"/>
    </row>
    <row r="472" spans="1:11" ht="39.6" hidden="1" x14ac:dyDescent="0.3">
      <c r="A472" t="str">
        <f t="shared" si="7"/>
        <v>Empath Abbey|Guard of Passages|HEALTH</v>
      </c>
      <c r="B472" s="2" t="s">
        <v>9</v>
      </c>
      <c r="C472" s="2" t="s">
        <v>438</v>
      </c>
      <c r="D472" s="2" t="s">
        <v>508</v>
      </c>
      <c r="E472" s="2" t="s">
        <v>20</v>
      </c>
      <c r="F472" s="2" t="s">
        <v>189</v>
      </c>
      <c r="G472" s="8" t="str">
        <f>IF(ISNA(VLOOKUP(B472&amp;"|"&amp;C472&amp;"|"&amp;D472&amp;"|"&amp;E472,QuestionTriggers!A:F,6,FALSE)),"","---&gt;")</f>
        <v/>
      </c>
      <c r="H472" s="2" t="s">
        <v>510</v>
      </c>
      <c r="I472" s="2" t="s">
        <v>177</v>
      </c>
      <c r="J472" s="2" t="s">
        <v>511</v>
      </c>
      <c r="K472" s="2"/>
    </row>
    <row r="473" spans="1:11" ht="39.6" hidden="1" x14ac:dyDescent="0.3">
      <c r="A473" t="str">
        <f t="shared" si="7"/>
        <v>Empath Abbey|Guard of Passages|JOB</v>
      </c>
      <c r="B473" s="2" t="s">
        <v>9</v>
      </c>
      <c r="C473" s="2" t="s">
        <v>438</v>
      </c>
      <c r="D473" s="2" t="s">
        <v>508</v>
      </c>
      <c r="E473" s="2" t="s">
        <v>18</v>
      </c>
      <c r="F473" s="2" t="s">
        <v>512</v>
      </c>
      <c r="G473" s="8" t="str">
        <f>IF(ISNA(VLOOKUP(B473&amp;"|"&amp;C473&amp;"|"&amp;D473&amp;"|"&amp;E473,QuestionTriggers!A:F,6,FALSE)),"","---&gt;")</f>
        <v/>
      </c>
      <c r="H473" s="2" t="s">
        <v>510</v>
      </c>
      <c r="I473" s="2" t="s">
        <v>177</v>
      </c>
      <c r="J473" s="2" t="s">
        <v>511</v>
      </c>
      <c r="K473" s="2"/>
    </row>
    <row r="474" spans="1:11" ht="39.6" hidden="1" x14ac:dyDescent="0.3">
      <c r="A474" t="str">
        <f t="shared" si="7"/>
        <v>Empath Abbey|Guard of Passages|LOOK</v>
      </c>
      <c r="B474" s="2" t="s">
        <v>9</v>
      </c>
      <c r="C474" s="2" t="s">
        <v>438</v>
      </c>
      <c r="D474" s="2" t="s">
        <v>508</v>
      </c>
      <c r="E474" s="2" t="s">
        <v>16</v>
      </c>
      <c r="F474" s="2" t="s">
        <v>42</v>
      </c>
      <c r="G474" s="8" t="str">
        <f>IF(ISNA(VLOOKUP(B474&amp;"|"&amp;C474&amp;"|"&amp;D474&amp;"|"&amp;E474,QuestionTriggers!A:F,6,FALSE)),"","---&gt;")</f>
        <v/>
      </c>
      <c r="H474" s="2" t="s">
        <v>510</v>
      </c>
      <c r="I474" s="2" t="s">
        <v>177</v>
      </c>
      <c r="J474" s="2" t="s">
        <v>511</v>
      </c>
      <c r="K474" s="2"/>
    </row>
    <row r="475" spans="1:11" ht="39.6" hidden="1" x14ac:dyDescent="0.3">
      <c r="A475" t="str">
        <f t="shared" si="7"/>
        <v>Empath Abbey|Guard of Passages|NAME</v>
      </c>
      <c r="B475" s="2" t="s">
        <v>9</v>
      </c>
      <c r="C475" s="2" t="s">
        <v>438</v>
      </c>
      <c r="D475" s="2" t="s">
        <v>508</v>
      </c>
      <c r="E475" s="2" t="s">
        <v>12</v>
      </c>
      <c r="F475" s="2" t="s">
        <v>509</v>
      </c>
      <c r="G475" s="8" t="str">
        <f>IF(ISNA(VLOOKUP(B475&amp;"|"&amp;C475&amp;"|"&amp;D475&amp;"|"&amp;E475,QuestionTriggers!A:F,6,FALSE)),"","---&gt;")</f>
        <v/>
      </c>
      <c r="H475" s="2" t="s">
        <v>510</v>
      </c>
      <c r="I475" s="2" t="s">
        <v>177</v>
      </c>
      <c r="J475" s="2" t="s">
        <v>511</v>
      </c>
      <c r="K475" s="2"/>
    </row>
    <row r="476" spans="1:11" ht="39.6" hidden="1" x14ac:dyDescent="0.3">
      <c r="A476" t="str">
        <f t="shared" si="7"/>
        <v>Empath Abbey|Guard of Passages|PASS</v>
      </c>
      <c r="B476" s="2" t="s">
        <v>9</v>
      </c>
      <c r="C476" s="2" t="s">
        <v>438</v>
      </c>
      <c r="D476" s="2" t="s">
        <v>508</v>
      </c>
      <c r="E476" s="2" t="s">
        <v>513</v>
      </c>
      <c r="F476" s="2" t="s">
        <v>514</v>
      </c>
      <c r="G476" s="8" t="str">
        <f>IF(ISNA(VLOOKUP(B476&amp;"|"&amp;C476&amp;"|"&amp;D476&amp;"|"&amp;E476,QuestionTriggers!A:F,6,FALSE)),"","---&gt;")</f>
        <v/>
      </c>
      <c r="H476" s="2" t="s">
        <v>510</v>
      </c>
      <c r="I476" s="2" t="s">
        <v>177</v>
      </c>
      <c r="J476" s="2" t="s">
        <v>511</v>
      </c>
      <c r="K476" s="2"/>
    </row>
    <row r="477" spans="1:11" hidden="1" x14ac:dyDescent="0.3">
      <c r="A477" t="str">
        <f t="shared" si="7"/>
        <v>Empath Abbey|Humlock|HEALTH</v>
      </c>
      <c r="B477" s="2" t="s">
        <v>9</v>
      </c>
      <c r="C477" s="2" t="s">
        <v>438</v>
      </c>
      <c r="D477" s="2" t="s">
        <v>517</v>
      </c>
      <c r="E477" s="2" t="s">
        <v>20</v>
      </c>
      <c r="F477" s="2" t="s">
        <v>523</v>
      </c>
      <c r="G477" s="8" t="str">
        <f>IF(ISNA(VLOOKUP(B477&amp;"|"&amp;C477&amp;"|"&amp;D477&amp;"|"&amp;E477,QuestionTriggers!A:F,6,FALSE)),"","---&gt;")</f>
        <v/>
      </c>
      <c r="H477" s="2" t="s">
        <v>518</v>
      </c>
      <c r="I477" s="2" t="s">
        <v>519</v>
      </c>
      <c r="J477" s="2" t="s">
        <v>520</v>
      </c>
      <c r="K477" s="2"/>
    </row>
    <row r="478" spans="1:11" hidden="1" x14ac:dyDescent="0.3">
      <c r="A478" t="str">
        <f t="shared" si="7"/>
        <v>Empath Abbey|Humlock|JOB</v>
      </c>
      <c r="B478" s="2" t="s">
        <v>9</v>
      </c>
      <c r="C478" s="2" t="s">
        <v>438</v>
      </c>
      <c r="D478" s="2" t="s">
        <v>517</v>
      </c>
      <c r="E478" s="2" t="s">
        <v>18</v>
      </c>
      <c r="F478" s="2" t="s">
        <v>522</v>
      </c>
      <c r="G478" s="8" t="str">
        <f>IF(ISNA(VLOOKUP(B478&amp;"|"&amp;C478&amp;"|"&amp;D478&amp;"|"&amp;E478,QuestionTriggers!A:F,6,FALSE)),"","---&gt;")</f>
        <v/>
      </c>
      <c r="H478" s="2" t="s">
        <v>518</v>
      </c>
      <c r="I478" s="2" t="s">
        <v>519</v>
      </c>
      <c r="J478" s="2" t="s">
        <v>520</v>
      </c>
      <c r="K478" s="2"/>
    </row>
    <row r="479" spans="1:11" hidden="1" x14ac:dyDescent="0.3">
      <c r="A479" t="str">
        <f t="shared" si="7"/>
        <v>Empath Abbey|Humlock|LOOK</v>
      </c>
      <c r="B479" s="2" t="s">
        <v>9</v>
      </c>
      <c r="C479" s="2" t="s">
        <v>438</v>
      </c>
      <c r="D479" s="2" t="s">
        <v>517</v>
      </c>
      <c r="E479" s="2" t="s">
        <v>16</v>
      </c>
      <c r="F479" s="2" t="s">
        <v>521</v>
      </c>
      <c r="G479" s="8" t="str">
        <f>IF(ISNA(VLOOKUP(B479&amp;"|"&amp;C479&amp;"|"&amp;D479&amp;"|"&amp;E479,QuestionTriggers!A:F,6,FALSE)),"","---&gt;")</f>
        <v/>
      </c>
      <c r="H479" s="2" t="s">
        <v>518</v>
      </c>
      <c r="I479" s="2" t="s">
        <v>519</v>
      </c>
      <c r="J479" s="2" t="s">
        <v>520</v>
      </c>
      <c r="K479" s="2"/>
    </row>
    <row r="480" spans="1:11" hidden="1" x14ac:dyDescent="0.3">
      <c r="A480" t="str">
        <f t="shared" si="7"/>
        <v>Empath Abbey|Humlock|MUMB</v>
      </c>
      <c r="B480" s="2" t="s">
        <v>9</v>
      </c>
      <c r="C480" s="2" t="s">
        <v>438</v>
      </c>
      <c r="D480" s="2" t="s">
        <v>517</v>
      </c>
      <c r="E480" s="2" t="s">
        <v>524</v>
      </c>
      <c r="F480" s="2" t="s">
        <v>525</v>
      </c>
      <c r="G480" s="8" t="str">
        <f>IF(ISNA(VLOOKUP(B480&amp;"|"&amp;C480&amp;"|"&amp;D480&amp;"|"&amp;E480,QuestionTriggers!A:F,6,FALSE)),"","---&gt;")</f>
        <v/>
      </c>
      <c r="H480" s="2" t="s">
        <v>518</v>
      </c>
      <c r="I480" s="2" t="s">
        <v>519</v>
      </c>
      <c r="J480" s="2" t="s">
        <v>520</v>
      </c>
      <c r="K480" s="2"/>
    </row>
    <row r="481" spans="1:11" hidden="1" x14ac:dyDescent="0.3">
      <c r="A481" t="str">
        <f t="shared" si="7"/>
        <v>Empath Abbey|Humlock|NAME</v>
      </c>
      <c r="B481" s="2" t="s">
        <v>9</v>
      </c>
      <c r="C481" s="2" t="s">
        <v>438</v>
      </c>
      <c r="D481" s="2" t="s">
        <v>517</v>
      </c>
      <c r="E481" s="2" t="s">
        <v>12</v>
      </c>
      <c r="F481" s="2" t="s">
        <v>517</v>
      </c>
      <c r="G481" s="8" t="str">
        <f>IF(ISNA(VLOOKUP(B481&amp;"|"&amp;C481&amp;"|"&amp;D481&amp;"|"&amp;E481,QuestionTriggers!A:F,6,FALSE)),"","---&gt;")</f>
        <v/>
      </c>
      <c r="H481" s="2" t="s">
        <v>518</v>
      </c>
      <c r="I481" s="2" t="s">
        <v>519</v>
      </c>
      <c r="J481" s="2" t="s">
        <v>520</v>
      </c>
      <c r="K481" s="2"/>
    </row>
    <row r="482" spans="1:11" hidden="1" x14ac:dyDescent="0.3">
      <c r="A482" t="str">
        <f t="shared" si="7"/>
        <v>Empath Abbey|Humlock|SALV</v>
      </c>
      <c r="B482" s="2" t="s">
        <v>9</v>
      </c>
      <c r="C482" s="2" t="s">
        <v>438</v>
      </c>
      <c r="D482" s="2" t="s">
        <v>517</v>
      </c>
      <c r="E482" s="2" t="s">
        <v>526</v>
      </c>
      <c r="F482" s="2" t="s">
        <v>527</v>
      </c>
      <c r="G482" s="8" t="str">
        <f>IF(ISNA(VLOOKUP(B482&amp;"|"&amp;C482&amp;"|"&amp;D482&amp;"|"&amp;E482,QuestionTriggers!A:F,6,FALSE)),"","---&gt;")</f>
        <v>---&gt;</v>
      </c>
      <c r="H482" s="2" t="s">
        <v>518</v>
      </c>
      <c r="I482" s="2" t="s">
        <v>519</v>
      </c>
      <c r="J482" s="2" t="s">
        <v>520</v>
      </c>
      <c r="K482" s="2"/>
    </row>
    <row r="483" spans="1:11" hidden="1" x14ac:dyDescent="0.3">
      <c r="A483" t="str">
        <f t="shared" si="7"/>
        <v>Empath Abbey|Lady Marcy|HEALTH</v>
      </c>
      <c r="B483" s="2" t="s">
        <v>9</v>
      </c>
      <c r="C483" s="2" t="s">
        <v>438</v>
      </c>
      <c r="D483" s="2" t="s">
        <v>442</v>
      </c>
      <c r="E483" s="2" t="s">
        <v>20</v>
      </c>
      <c r="F483" s="2" t="s">
        <v>93</v>
      </c>
      <c r="G483" s="8" t="str">
        <f>IF(ISNA(VLOOKUP(B483&amp;"|"&amp;C483&amp;"|"&amp;D483&amp;"|"&amp;E483,QuestionTriggers!A:F,6,FALSE)),"","---&gt;")</f>
        <v/>
      </c>
      <c r="H483" s="2" t="s">
        <v>443</v>
      </c>
      <c r="I483" s="2" t="s">
        <v>290</v>
      </c>
      <c r="J483" s="2" t="s">
        <v>291</v>
      </c>
      <c r="K483" s="2"/>
    </row>
    <row r="484" spans="1:11" hidden="1" x14ac:dyDescent="0.3">
      <c r="A484" t="str">
        <f t="shared" si="7"/>
        <v>Empath Abbey|Lady Marcy|JOB</v>
      </c>
      <c r="B484" s="2" t="s">
        <v>9</v>
      </c>
      <c r="C484" s="2" t="s">
        <v>438</v>
      </c>
      <c r="D484" s="2" t="s">
        <v>442</v>
      </c>
      <c r="E484" s="2" t="s">
        <v>18</v>
      </c>
      <c r="F484" s="2" t="s">
        <v>293</v>
      </c>
      <c r="G484" s="8" t="str">
        <f>IF(ISNA(VLOOKUP(B484&amp;"|"&amp;C484&amp;"|"&amp;D484&amp;"|"&amp;E484,QuestionTriggers!A:F,6,FALSE)),"","---&gt;")</f>
        <v/>
      </c>
      <c r="H484" s="2" t="s">
        <v>443</v>
      </c>
      <c r="I484" s="2" t="s">
        <v>290</v>
      </c>
      <c r="J484" s="2" t="s">
        <v>291</v>
      </c>
      <c r="K484" s="2"/>
    </row>
    <row r="485" spans="1:11" hidden="1" x14ac:dyDescent="0.3">
      <c r="A485" t="str">
        <f t="shared" si="7"/>
        <v>Empath Abbey|Lady Marcy|LOOK</v>
      </c>
      <c r="B485" s="2" t="s">
        <v>9</v>
      </c>
      <c r="C485" s="2" t="s">
        <v>438</v>
      </c>
      <c r="D485" s="2" t="s">
        <v>442</v>
      </c>
      <c r="E485" s="2" t="s">
        <v>16</v>
      </c>
      <c r="F485" s="2" t="s">
        <v>292</v>
      </c>
      <c r="G485" s="8" t="str">
        <f>IF(ISNA(VLOOKUP(B485&amp;"|"&amp;C485&amp;"|"&amp;D485&amp;"|"&amp;E485,QuestionTriggers!A:F,6,FALSE)),"","---&gt;")</f>
        <v/>
      </c>
      <c r="H485" s="2" t="s">
        <v>443</v>
      </c>
      <c r="I485" s="2" t="s">
        <v>290</v>
      </c>
      <c r="J485" s="2" t="s">
        <v>291</v>
      </c>
      <c r="K485" s="2"/>
    </row>
    <row r="486" spans="1:11" hidden="1" x14ac:dyDescent="0.3">
      <c r="A486" t="str">
        <f t="shared" si="7"/>
        <v>Empath Abbey|Lady Marcy|NAME</v>
      </c>
      <c r="B486" s="2" t="s">
        <v>9</v>
      </c>
      <c r="C486" s="2" t="s">
        <v>438</v>
      </c>
      <c r="D486" s="2" t="s">
        <v>442</v>
      </c>
      <c r="E486" s="2" t="s">
        <v>12</v>
      </c>
      <c r="F486" s="2" t="s">
        <v>442</v>
      </c>
      <c r="G486" s="8" t="str">
        <f>IF(ISNA(VLOOKUP(B486&amp;"|"&amp;C486&amp;"|"&amp;D486&amp;"|"&amp;E486,QuestionTriggers!A:F,6,FALSE)),"","---&gt;")</f>
        <v/>
      </c>
      <c r="H486" s="2" t="s">
        <v>443</v>
      </c>
      <c r="I486" s="2" t="s">
        <v>290</v>
      </c>
      <c r="J486" s="2" t="s">
        <v>291</v>
      </c>
      <c r="K486" s="2"/>
    </row>
    <row r="487" spans="1:11" hidden="1" x14ac:dyDescent="0.3">
      <c r="A487" t="str">
        <f t="shared" si="7"/>
        <v>Empath Abbey|Lady Marcy|PROV</v>
      </c>
      <c r="B487" s="2" t="s">
        <v>9</v>
      </c>
      <c r="C487" s="2" t="s">
        <v>438</v>
      </c>
      <c r="D487" s="2" t="s">
        <v>442</v>
      </c>
      <c r="E487" s="2" t="s">
        <v>285</v>
      </c>
      <c r="F487" s="2" t="s">
        <v>444</v>
      </c>
      <c r="G487" s="8" t="str">
        <f>IF(ISNA(VLOOKUP(B487&amp;"|"&amp;C487&amp;"|"&amp;D487&amp;"|"&amp;E487,QuestionTriggers!A:F,6,FALSE)),"","---&gt;")</f>
        <v>---&gt;</v>
      </c>
      <c r="H487" s="2" t="s">
        <v>443</v>
      </c>
      <c r="I487" s="2" t="s">
        <v>290</v>
      </c>
      <c r="J487" s="2" t="s">
        <v>291</v>
      </c>
      <c r="K487" s="2"/>
    </row>
    <row r="488" spans="1:11" hidden="1" x14ac:dyDescent="0.3">
      <c r="A488" t="str">
        <f t="shared" si="7"/>
        <v>Empath Abbey|Lady Marcy|RULE</v>
      </c>
      <c r="B488" s="2" t="s">
        <v>9</v>
      </c>
      <c r="C488" s="2" t="s">
        <v>438</v>
      </c>
      <c r="D488" s="2" t="s">
        <v>442</v>
      </c>
      <c r="E488" s="2" t="s">
        <v>294</v>
      </c>
      <c r="F488" s="2" t="s">
        <v>295</v>
      </c>
      <c r="G488" s="8" t="str">
        <f>IF(ISNA(VLOOKUP(B488&amp;"|"&amp;C488&amp;"|"&amp;D488&amp;"|"&amp;E488,QuestionTriggers!A:F,6,FALSE)),"","---&gt;")</f>
        <v/>
      </c>
      <c r="H488" s="2" t="s">
        <v>443</v>
      </c>
      <c r="I488" s="2" t="s">
        <v>290</v>
      </c>
      <c r="J488" s="2" t="s">
        <v>291</v>
      </c>
      <c r="K488" s="2"/>
    </row>
    <row r="489" spans="1:11" hidden="1" x14ac:dyDescent="0.3">
      <c r="A489" t="str">
        <f t="shared" si="7"/>
        <v>Empath Abbey|Lastro|BEIN</v>
      </c>
      <c r="B489" s="2" t="s">
        <v>9</v>
      </c>
      <c r="C489" s="2" t="s">
        <v>438</v>
      </c>
      <c r="D489" s="2" t="s">
        <v>528</v>
      </c>
      <c r="E489" s="2" t="s">
        <v>535</v>
      </c>
      <c r="F489" s="2" t="s">
        <v>536</v>
      </c>
      <c r="G489" s="8" t="str">
        <f>IF(ISNA(VLOOKUP(B489&amp;"|"&amp;C489&amp;"|"&amp;D489&amp;"|"&amp;E489,QuestionTriggers!A:F,6,FALSE)),"","---&gt;")</f>
        <v>---&gt;</v>
      </c>
      <c r="H489" s="2" t="s">
        <v>529</v>
      </c>
      <c r="I489" s="2" t="s">
        <v>177</v>
      </c>
      <c r="J489" s="2" t="s">
        <v>530</v>
      </c>
      <c r="K489" s="2"/>
    </row>
    <row r="490" spans="1:11" hidden="1" x14ac:dyDescent="0.3">
      <c r="A490" t="str">
        <f t="shared" si="7"/>
        <v>Empath Abbey|Lastro|HEALTH</v>
      </c>
      <c r="B490" s="2" t="s">
        <v>9</v>
      </c>
      <c r="C490" s="2" t="s">
        <v>438</v>
      </c>
      <c r="D490" s="2" t="s">
        <v>528</v>
      </c>
      <c r="E490" s="2" t="s">
        <v>20</v>
      </c>
      <c r="F490" s="2" t="s">
        <v>533</v>
      </c>
      <c r="G490" s="8" t="str">
        <f>IF(ISNA(VLOOKUP(B490&amp;"|"&amp;C490&amp;"|"&amp;D490&amp;"|"&amp;E490,QuestionTriggers!A:F,6,FALSE)),"","---&gt;")</f>
        <v/>
      </c>
      <c r="H490" s="2" t="s">
        <v>529</v>
      </c>
      <c r="I490" s="2" t="s">
        <v>177</v>
      </c>
      <c r="J490" s="2" t="s">
        <v>530</v>
      </c>
      <c r="K490" s="2"/>
    </row>
    <row r="491" spans="1:11" hidden="1" x14ac:dyDescent="0.3">
      <c r="A491" t="str">
        <f t="shared" si="7"/>
        <v>Empath Abbey|Lastro|JOB</v>
      </c>
      <c r="B491" s="2" t="s">
        <v>9</v>
      </c>
      <c r="C491" s="2" t="s">
        <v>438</v>
      </c>
      <c r="D491" s="2" t="s">
        <v>528</v>
      </c>
      <c r="E491" s="2" t="s">
        <v>18</v>
      </c>
      <c r="F491" s="2" t="s">
        <v>532</v>
      </c>
      <c r="G491" s="8" t="str">
        <f>IF(ISNA(VLOOKUP(B491&amp;"|"&amp;C491&amp;"|"&amp;D491&amp;"|"&amp;E491,QuestionTriggers!A:F,6,FALSE)),"","---&gt;")</f>
        <v/>
      </c>
      <c r="H491" s="2" t="s">
        <v>529</v>
      </c>
      <c r="I491" s="2" t="s">
        <v>177</v>
      </c>
      <c r="J491" s="2" t="s">
        <v>530</v>
      </c>
      <c r="K491" s="2"/>
    </row>
    <row r="492" spans="1:11" hidden="1" x14ac:dyDescent="0.3">
      <c r="A492" t="str">
        <f t="shared" si="7"/>
        <v>Empath Abbey|Lastro|LOOK</v>
      </c>
      <c r="B492" s="2" t="s">
        <v>9</v>
      </c>
      <c r="C492" s="2" t="s">
        <v>438</v>
      </c>
      <c r="D492" s="2" t="s">
        <v>528</v>
      </c>
      <c r="E492" s="2" t="s">
        <v>16</v>
      </c>
      <c r="F492" s="2" t="s">
        <v>531</v>
      </c>
      <c r="G492" s="8" t="str">
        <f>IF(ISNA(VLOOKUP(B492&amp;"|"&amp;C492&amp;"|"&amp;D492&amp;"|"&amp;E492,QuestionTriggers!A:F,6,FALSE)),"","---&gt;")</f>
        <v/>
      </c>
      <c r="H492" s="2" t="s">
        <v>529</v>
      </c>
      <c r="I492" s="2" t="s">
        <v>177</v>
      </c>
      <c r="J492" s="2" t="s">
        <v>530</v>
      </c>
      <c r="K492" s="2"/>
    </row>
    <row r="493" spans="1:11" hidden="1" x14ac:dyDescent="0.3">
      <c r="A493" t="str">
        <f t="shared" si="7"/>
        <v>Empath Abbey|Lastro|NAME</v>
      </c>
      <c r="B493" s="2" t="s">
        <v>9</v>
      </c>
      <c r="C493" s="2" t="s">
        <v>438</v>
      </c>
      <c r="D493" s="2" t="s">
        <v>528</v>
      </c>
      <c r="E493" s="2" t="s">
        <v>12</v>
      </c>
      <c r="F493" s="2" t="s">
        <v>528</v>
      </c>
      <c r="G493" s="8" t="str">
        <f>IF(ISNA(VLOOKUP(B493&amp;"|"&amp;C493&amp;"|"&amp;D493&amp;"|"&amp;E493,QuestionTriggers!A:F,6,FALSE)),"","---&gt;")</f>
        <v/>
      </c>
      <c r="H493" s="2" t="s">
        <v>529</v>
      </c>
      <c r="I493" s="2" t="s">
        <v>177</v>
      </c>
      <c r="J493" s="2" t="s">
        <v>530</v>
      </c>
      <c r="K493" s="2"/>
    </row>
    <row r="494" spans="1:11" ht="26.4" hidden="1" x14ac:dyDescent="0.3">
      <c r="A494" t="str">
        <f t="shared" si="7"/>
        <v>Empath Abbey|Lastro|SPIR</v>
      </c>
      <c r="B494" s="2" t="s">
        <v>9</v>
      </c>
      <c r="C494" s="2" t="s">
        <v>438</v>
      </c>
      <c r="D494" s="2" t="s">
        <v>528</v>
      </c>
      <c r="E494" s="2" t="s">
        <v>251</v>
      </c>
      <c r="F494" s="2" t="s">
        <v>534</v>
      </c>
      <c r="G494" s="8" t="str">
        <f>IF(ISNA(VLOOKUP(B494&amp;"|"&amp;C494&amp;"|"&amp;D494&amp;"|"&amp;E494,QuestionTriggers!A:F,6,FALSE)),"","---&gt;")</f>
        <v/>
      </c>
      <c r="H494" s="2" t="s">
        <v>529</v>
      </c>
      <c r="I494" s="2" t="s">
        <v>177</v>
      </c>
      <c r="J494" s="2" t="s">
        <v>530</v>
      </c>
      <c r="K494" s="2"/>
    </row>
    <row r="495" spans="1:11" ht="26.4" hidden="1" x14ac:dyDescent="0.3">
      <c r="A495" t="str">
        <f t="shared" si="7"/>
        <v>Empath Abbey|Life|HEALTH</v>
      </c>
      <c r="B495" s="2" t="s">
        <v>9</v>
      </c>
      <c r="C495" s="2" t="s">
        <v>438</v>
      </c>
      <c r="D495" s="2" t="s">
        <v>537</v>
      </c>
      <c r="E495" s="2" t="s">
        <v>20</v>
      </c>
      <c r="F495" s="2" t="s">
        <v>543</v>
      </c>
      <c r="G495" s="8" t="str">
        <f>IF(ISNA(VLOOKUP(B495&amp;"|"&amp;C495&amp;"|"&amp;D495&amp;"|"&amp;E495,QuestionTriggers!A:F,6,FALSE)),"","---&gt;")</f>
        <v/>
      </c>
      <c r="H495" s="2" t="s">
        <v>539</v>
      </c>
      <c r="I495" s="2" t="s">
        <v>177</v>
      </c>
      <c r="J495" s="2" t="s">
        <v>540</v>
      </c>
      <c r="K495" s="2"/>
    </row>
    <row r="496" spans="1:11" ht="26.4" hidden="1" x14ac:dyDescent="0.3">
      <c r="A496" t="str">
        <f t="shared" si="7"/>
        <v>Empath Abbey|Life|JOB</v>
      </c>
      <c r="B496" s="2" t="s">
        <v>9</v>
      </c>
      <c r="C496" s="2" t="s">
        <v>438</v>
      </c>
      <c r="D496" s="2" t="s">
        <v>537</v>
      </c>
      <c r="E496" s="2" t="s">
        <v>18</v>
      </c>
      <c r="F496" s="2" t="s">
        <v>542</v>
      </c>
      <c r="G496" s="8" t="str">
        <f>IF(ISNA(VLOOKUP(B496&amp;"|"&amp;C496&amp;"|"&amp;D496&amp;"|"&amp;E496,QuestionTriggers!A:F,6,FALSE)),"","---&gt;")</f>
        <v/>
      </c>
      <c r="H496" s="2" t="s">
        <v>539</v>
      </c>
      <c r="I496" s="2" t="s">
        <v>177</v>
      </c>
      <c r="J496" s="2" t="s">
        <v>540</v>
      </c>
      <c r="K496" s="2"/>
    </row>
    <row r="497" spans="1:11" ht="26.4" hidden="1" x14ac:dyDescent="0.3">
      <c r="A497" t="str">
        <f t="shared" si="7"/>
        <v>Empath Abbey|Life|LOOK</v>
      </c>
      <c r="B497" s="2" t="s">
        <v>9</v>
      </c>
      <c r="C497" s="2" t="s">
        <v>438</v>
      </c>
      <c r="D497" s="2" t="s">
        <v>537</v>
      </c>
      <c r="E497" s="2" t="s">
        <v>16</v>
      </c>
      <c r="F497" s="2" t="s">
        <v>541</v>
      </c>
      <c r="G497" s="8" t="str">
        <f>IF(ISNA(VLOOKUP(B497&amp;"|"&amp;C497&amp;"|"&amp;D497&amp;"|"&amp;E497,QuestionTriggers!A:F,6,FALSE)),"","---&gt;")</f>
        <v/>
      </c>
      <c r="H497" s="2" t="s">
        <v>539</v>
      </c>
      <c r="I497" s="2" t="s">
        <v>177</v>
      </c>
      <c r="J497" s="2" t="s">
        <v>540</v>
      </c>
      <c r="K497" s="2"/>
    </row>
    <row r="498" spans="1:11" ht="26.4" hidden="1" x14ac:dyDescent="0.3">
      <c r="A498" t="str">
        <f t="shared" si="7"/>
        <v>Empath Abbey|Life|LOVE</v>
      </c>
      <c r="B498" s="2" t="s">
        <v>9</v>
      </c>
      <c r="C498" s="2" t="s">
        <v>438</v>
      </c>
      <c r="D498" s="2" t="s">
        <v>537</v>
      </c>
      <c r="E498" s="2" t="s">
        <v>235</v>
      </c>
      <c r="F498" s="2" t="s">
        <v>546</v>
      </c>
      <c r="G498" s="8" t="str">
        <f>IF(ISNA(VLOOKUP(B498&amp;"|"&amp;C498&amp;"|"&amp;D498&amp;"|"&amp;E498,QuestionTriggers!A:F,6,FALSE)),"","---&gt;")</f>
        <v>---&gt;</v>
      </c>
      <c r="H498" s="2" t="s">
        <v>539</v>
      </c>
      <c r="I498" s="2" t="s">
        <v>177</v>
      </c>
      <c r="J498" s="2" t="s">
        <v>540</v>
      </c>
      <c r="K498" s="2"/>
    </row>
    <row r="499" spans="1:11" ht="26.4" hidden="1" x14ac:dyDescent="0.3">
      <c r="A499" t="str">
        <f t="shared" si="7"/>
        <v>Empath Abbey|Life|NAME</v>
      </c>
      <c r="B499" s="2" t="s">
        <v>9</v>
      </c>
      <c r="C499" s="2" t="s">
        <v>438</v>
      </c>
      <c r="D499" s="2" t="s">
        <v>537</v>
      </c>
      <c r="E499" s="2" t="s">
        <v>12</v>
      </c>
      <c r="F499" s="2" t="s">
        <v>538</v>
      </c>
      <c r="G499" s="8" t="str">
        <f>IF(ISNA(VLOOKUP(B499&amp;"|"&amp;C499&amp;"|"&amp;D499&amp;"|"&amp;E499,QuestionTriggers!A:F,6,FALSE)),"","---&gt;")</f>
        <v/>
      </c>
      <c r="H499" s="2" t="s">
        <v>539</v>
      </c>
      <c r="I499" s="2" t="s">
        <v>177</v>
      </c>
      <c r="J499" s="2" t="s">
        <v>540</v>
      </c>
      <c r="K499" s="2"/>
    </row>
    <row r="500" spans="1:11" ht="26.4" hidden="1" x14ac:dyDescent="0.3">
      <c r="A500" t="str">
        <f t="shared" si="7"/>
        <v>Empath Abbey|Life|RESO</v>
      </c>
      <c r="B500" s="2" t="s">
        <v>9</v>
      </c>
      <c r="C500" s="2" t="s">
        <v>438</v>
      </c>
      <c r="D500" s="2" t="s">
        <v>537</v>
      </c>
      <c r="E500" s="2" t="s">
        <v>544</v>
      </c>
      <c r="F500" s="2" t="s">
        <v>545</v>
      </c>
      <c r="G500" s="8" t="str">
        <f>IF(ISNA(VLOOKUP(B500&amp;"|"&amp;C500&amp;"|"&amp;D500&amp;"|"&amp;E500,QuestionTriggers!A:F,6,FALSE)),"","---&gt;")</f>
        <v/>
      </c>
      <c r="H500" s="2" t="s">
        <v>539</v>
      </c>
      <c r="I500" s="2" t="s">
        <v>177</v>
      </c>
      <c r="J500" s="2" t="s">
        <v>540</v>
      </c>
      <c r="K500" s="2"/>
    </row>
    <row r="501" spans="1:11" hidden="1" x14ac:dyDescent="0.3">
      <c r="A501" t="str">
        <f t="shared" si="7"/>
        <v>Empath Abbey|Lord Robert|HEALTH</v>
      </c>
      <c r="B501" s="2" t="s">
        <v>9</v>
      </c>
      <c r="C501" s="2" t="s">
        <v>438</v>
      </c>
      <c r="D501" s="2" t="s">
        <v>439</v>
      </c>
      <c r="E501" s="2" t="s">
        <v>20</v>
      </c>
      <c r="F501" s="2" t="s">
        <v>284</v>
      </c>
      <c r="G501" s="8" t="str">
        <f>IF(ISNA(VLOOKUP(B501&amp;"|"&amp;C501&amp;"|"&amp;D501&amp;"|"&amp;E501,QuestionTriggers!A:F,6,FALSE)),"","---&gt;")</f>
        <v/>
      </c>
      <c r="H501" s="2" t="s">
        <v>279</v>
      </c>
      <c r="I501" s="2" t="s">
        <v>440</v>
      </c>
      <c r="J501" s="2" t="s">
        <v>281</v>
      </c>
      <c r="K501" s="2"/>
    </row>
    <row r="502" spans="1:11" hidden="1" x14ac:dyDescent="0.3">
      <c r="A502" t="str">
        <f t="shared" si="7"/>
        <v>Empath Abbey|Lord Robert|JOB</v>
      </c>
      <c r="B502" s="2" t="s">
        <v>9</v>
      </c>
      <c r="C502" s="2" t="s">
        <v>438</v>
      </c>
      <c r="D502" s="2" t="s">
        <v>439</v>
      </c>
      <c r="E502" s="2" t="s">
        <v>18</v>
      </c>
      <c r="F502" s="2" t="s">
        <v>283</v>
      </c>
      <c r="G502" s="8" t="str">
        <f>IF(ISNA(VLOOKUP(B502&amp;"|"&amp;C502&amp;"|"&amp;D502&amp;"|"&amp;E502,QuestionTriggers!A:F,6,FALSE)),"","---&gt;")</f>
        <v/>
      </c>
      <c r="H502" s="2" t="s">
        <v>279</v>
      </c>
      <c r="I502" s="2" t="s">
        <v>440</v>
      </c>
      <c r="J502" s="2" t="s">
        <v>281</v>
      </c>
      <c r="K502" s="2"/>
    </row>
    <row r="503" spans="1:11" hidden="1" x14ac:dyDescent="0.3">
      <c r="A503" t="str">
        <f t="shared" si="7"/>
        <v>Empath Abbey|Lord Robert|LOOK</v>
      </c>
      <c r="B503" s="2" t="s">
        <v>9</v>
      </c>
      <c r="C503" s="2" t="s">
        <v>438</v>
      </c>
      <c r="D503" s="2" t="s">
        <v>439</v>
      </c>
      <c r="E503" s="2" t="s">
        <v>16</v>
      </c>
      <c r="F503" s="2" t="s">
        <v>282</v>
      </c>
      <c r="G503" s="8" t="str">
        <f>IF(ISNA(VLOOKUP(B503&amp;"|"&amp;C503&amp;"|"&amp;D503&amp;"|"&amp;E503,QuestionTriggers!A:F,6,FALSE)),"","---&gt;")</f>
        <v/>
      </c>
      <c r="H503" s="2" t="s">
        <v>279</v>
      </c>
      <c r="I503" s="2" t="s">
        <v>440</v>
      </c>
      <c r="J503" s="2" t="s">
        <v>281</v>
      </c>
      <c r="K503" s="2"/>
    </row>
    <row r="504" spans="1:11" hidden="1" x14ac:dyDescent="0.3">
      <c r="A504" t="str">
        <f t="shared" si="7"/>
        <v>Empath Abbey|Lord Robert|NAME</v>
      </c>
      <c r="B504" s="2" t="s">
        <v>9</v>
      </c>
      <c r="C504" s="2" t="s">
        <v>438</v>
      </c>
      <c r="D504" s="2" t="s">
        <v>439</v>
      </c>
      <c r="E504" s="2" t="s">
        <v>12</v>
      </c>
      <c r="F504" s="2" t="s">
        <v>439</v>
      </c>
      <c r="G504" s="8" t="str">
        <f>IF(ISNA(VLOOKUP(B504&amp;"|"&amp;C504&amp;"|"&amp;D504&amp;"|"&amp;E504,QuestionTriggers!A:F,6,FALSE)),"","---&gt;")</f>
        <v/>
      </c>
      <c r="H504" s="2" t="s">
        <v>279</v>
      </c>
      <c r="I504" s="2" t="s">
        <v>440</v>
      </c>
      <c r="J504" s="2" t="s">
        <v>281</v>
      </c>
      <c r="K504" s="2"/>
    </row>
    <row r="505" spans="1:11" hidden="1" x14ac:dyDescent="0.3">
      <c r="A505" t="str">
        <f t="shared" si="7"/>
        <v>Empath Abbey|Lord Robert|PROV</v>
      </c>
      <c r="B505" s="2" t="s">
        <v>9</v>
      </c>
      <c r="C505" s="2" t="s">
        <v>438</v>
      </c>
      <c r="D505" s="2" t="s">
        <v>439</v>
      </c>
      <c r="E505" s="2" t="s">
        <v>285</v>
      </c>
      <c r="F505" s="2" t="s">
        <v>441</v>
      </c>
      <c r="G505" s="8" t="str">
        <f>IF(ISNA(VLOOKUP(B505&amp;"|"&amp;C505&amp;"|"&amp;D505&amp;"|"&amp;E505,QuestionTriggers!A:F,6,FALSE)),"","---&gt;")</f>
        <v/>
      </c>
      <c r="H505" s="2" t="s">
        <v>279</v>
      </c>
      <c r="I505" s="2" t="s">
        <v>440</v>
      </c>
      <c r="J505" s="2" t="s">
        <v>281</v>
      </c>
      <c r="K505" s="2"/>
    </row>
    <row r="506" spans="1:11" hidden="1" x14ac:dyDescent="0.3">
      <c r="A506" t="str">
        <f t="shared" si="7"/>
        <v>Empath Abbey|Lord Robert|WORD</v>
      </c>
      <c r="B506" s="2" t="s">
        <v>9</v>
      </c>
      <c r="C506" s="2" t="s">
        <v>438</v>
      </c>
      <c r="D506" s="2" t="s">
        <v>439</v>
      </c>
      <c r="E506" s="2" t="s">
        <v>286</v>
      </c>
      <c r="F506" s="2" t="s">
        <v>287</v>
      </c>
      <c r="G506" s="8" t="str">
        <f>IF(ISNA(VLOOKUP(B506&amp;"|"&amp;C506&amp;"|"&amp;D506&amp;"|"&amp;E506,QuestionTriggers!A:F,6,FALSE)),"","---&gt;")</f>
        <v>---&gt;</v>
      </c>
      <c r="H506" s="2" t="s">
        <v>279</v>
      </c>
      <c r="I506" s="2" t="s">
        <v>440</v>
      </c>
      <c r="J506" s="2" t="s">
        <v>281</v>
      </c>
      <c r="K506" s="2"/>
    </row>
    <row r="507" spans="1:11" hidden="1" x14ac:dyDescent="0.3">
      <c r="A507" t="str">
        <f t="shared" si="7"/>
        <v>Empath Abbey|Malchor|HEALTH</v>
      </c>
      <c r="B507" s="2" t="s">
        <v>9</v>
      </c>
      <c r="C507" s="2" t="s">
        <v>438</v>
      </c>
      <c r="D507" s="2" t="s">
        <v>547</v>
      </c>
      <c r="E507" s="2" t="s">
        <v>20</v>
      </c>
      <c r="F507" s="2" t="s">
        <v>552</v>
      </c>
      <c r="G507" s="8" t="str">
        <f>IF(ISNA(VLOOKUP(B507&amp;"|"&amp;C507&amp;"|"&amp;D507&amp;"|"&amp;E507,QuestionTriggers!A:F,6,FALSE)),"","---&gt;")</f>
        <v/>
      </c>
      <c r="H507" s="2" t="s">
        <v>548</v>
      </c>
      <c r="I507" s="2" t="s">
        <v>549</v>
      </c>
      <c r="J507" s="2" t="s">
        <v>90</v>
      </c>
      <c r="K507" s="2"/>
    </row>
    <row r="508" spans="1:11" ht="26.4" hidden="1" x14ac:dyDescent="0.3">
      <c r="A508" t="str">
        <f t="shared" si="7"/>
        <v>Empath Abbey|Malchor|HORN</v>
      </c>
      <c r="B508" s="2" t="s">
        <v>9</v>
      </c>
      <c r="C508" s="2" t="s">
        <v>438</v>
      </c>
      <c r="D508" s="2" t="s">
        <v>547</v>
      </c>
      <c r="E508" s="2" t="s">
        <v>554</v>
      </c>
      <c r="F508" s="2" t="s">
        <v>555</v>
      </c>
      <c r="G508" s="8" t="str">
        <f>IF(ISNA(VLOOKUP(B508&amp;"|"&amp;C508&amp;"|"&amp;D508&amp;"|"&amp;E508,QuestionTriggers!A:F,6,FALSE)),"","---&gt;")</f>
        <v>---&gt;</v>
      </c>
      <c r="H508" s="2" t="s">
        <v>548</v>
      </c>
      <c r="I508" s="2" t="s">
        <v>549</v>
      </c>
      <c r="J508" s="2" t="s">
        <v>90</v>
      </c>
      <c r="K508" s="2"/>
    </row>
    <row r="509" spans="1:11" hidden="1" x14ac:dyDescent="0.3">
      <c r="A509" t="str">
        <f t="shared" si="7"/>
        <v>Empath Abbey|Malchor|JOB</v>
      </c>
      <c r="B509" s="2" t="s">
        <v>9</v>
      </c>
      <c r="C509" s="2" t="s">
        <v>438</v>
      </c>
      <c r="D509" s="2" t="s">
        <v>547</v>
      </c>
      <c r="E509" s="2" t="s">
        <v>18</v>
      </c>
      <c r="F509" s="2" t="s">
        <v>551</v>
      </c>
      <c r="G509" s="8" t="str">
        <f>IF(ISNA(VLOOKUP(B509&amp;"|"&amp;C509&amp;"|"&amp;D509&amp;"|"&amp;E509,QuestionTriggers!A:F,6,FALSE)),"","---&gt;")</f>
        <v/>
      </c>
      <c r="H509" s="2" t="s">
        <v>548</v>
      </c>
      <c r="I509" s="2" t="s">
        <v>549</v>
      </c>
      <c r="J509" s="2" t="s">
        <v>90</v>
      </c>
      <c r="K509" s="2"/>
    </row>
    <row r="510" spans="1:11" hidden="1" x14ac:dyDescent="0.3">
      <c r="A510" t="str">
        <f t="shared" si="7"/>
        <v>Empath Abbey|Malchor|LOOK</v>
      </c>
      <c r="B510" s="2" t="s">
        <v>9</v>
      </c>
      <c r="C510" s="2" t="s">
        <v>438</v>
      </c>
      <c r="D510" s="2" t="s">
        <v>547</v>
      </c>
      <c r="E510" s="2" t="s">
        <v>16</v>
      </c>
      <c r="F510" s="2" t="s">
        <v>550</v>
      </c>
      <c r="G510" s="8" t="str">
        <f>IF(ISNA(VLOOKUP(B510&amp;"|"&amp;C510&amp;"|"&amp;D510&amp;"|"&amp;E510,QuestionTriggers!A:F,6,FALSE)),"","---&gt;")</f>
        <v/>
      </c>
      <c r="H510" s="2" t="s">
        <v>548</v>
      </c>
      <c r="I510" s="2" t="s">
        <v>549</v>
      </c>
      <c r="J510" s="2" t="s">
        <v>90</v>
      </c>
      <c r="K510" s="2"/>
    </row>
    <row r="511" spans="1:11" hidden="1" x14ac:dyDescent="0.3">
      <c r="A511" t="str">
        <f t="shared" si="7"/>
        <v>Empath Abbey|Malchor|NAME</v>
      </c>
      <c r="B511" s="2" t="s">
        <v>9</v>
      </c>
      <c r="C511" s="2" t="s">
        <v>438</v>
      </c>
      <c r="D511" s="2" t="s">
        <v>547</v>
      </c>
      <c r="E511" s="2" t="s">
        <v>12</v>
      </c>
      <c r="F511" s="2" t="s">
        <v>547</v>
      </c>
      <c r="G511" s="8" t="str">
        <f>IF(ISNA(VLOOKUP(B511&amp;"|"&amp;C511&amp;"|"&amp;D511&amp;"|"&amp;E511,QuestionTriggers!A:F,6,FALSE)),"","---&gt;")</f>
        <v/>
      </c>
      <c r="H511" s="2" t="s">
        <v>548</v>
      </c>
      <c r="I511" s="2" t="s">
        <v>549</v>
      </c>
      <c r="J511" s="2" t="s">
        <v>90</v>
      </c>
      <c r="K511" s="2"/>
    </row>
    <row r="512" spans="1:11" hidden="1" x14ac:dyDescent="0.3">
      <c r="A512" t="str">
        <f t="shared" si="7"/>
        <v>Empath Abbey|Malchor|QUES</v>
      </c>
      <c r="B512" s="2" t="s">
        <v>9</v>
      </c>
      <c r="C512" s="2" t="s">
        <v>438</v>
      </c>
      <c r="D512" s="2" t="s">
        <v>547</v>
      </c>
      <c r="E512" s="2" t="s">
        <v>259</v>
      </c>
      <c r="F512" s="2" t="s">
        <v>553</v>
      </c>
      <c r="G512" s="8" t="str">
        <f>IF(ISNA(VLOOKUP(B512&amp;"|"&amp;C512&amp;"|"&amp;D512&amp;"|"&amp;E512,QuestionTriggers!A:F,6,FALSE)),"","---&gt;")</f>
        <v/>
      </c>
      <c r="H512" s="2" t="s">
        <v>548</v>
      </c>
      <c r="I512" s="2" t="s">
        <v>549</v>
      </c>
      <c r="J512" s="2" t="s">
        <v>90</v>
      </c>
      <c r="K512" s="2"/>
    </row>
    <row r="513" spans="1:11" hidden="1" x14ac:dyDescent="0.3">
      <c r="A513" t="str">
        <f t="shared" si="7"/>
        <v>Empath Abbey|Suzanna|HEALTH</v>
      </c>
      <c r="B513" s="2" t="s">
        <v>9</v>
      </c>
      <c r="C513" s="2" t="s">
        <v>438</v>
      </c>
      <c r="D513" s="2" t="s">
        <v>556</v>
      </c>
      <c r="E513" s="2" t="s">
        <v>20</v>
      </c>
      <c r="F513" s="2" t="s">
        <v>562</v>
      </c>
      <c r="G513" s="8" t="str">
        <f>IF(ISNA(VLOOKUP(B513&amp;"|"&amp;C513&amp;"|"&amp;D513&amp;"|"&amp;E513,QuestionTriggers!A:F,6,FALSE)),"","---&gt;")</f>
        <v/>
      </c>
      <c r="H513" s="2" t="s">
        <v>557</v>
      </c>
      <c r="I513" s="2" t="s">
        <v>558</v>
      </c>
      <c r="J513" s="2" t="s">
        <v>559</v>
      </c>
      <c r="K513" s="2"/>
    </row>
    <row r="514" spans="1:11" ht="26.4" hidden="1" x14ac:dyDescent="0.3">
      <c r="A514" t="str">
        <f t="shared" si="7"/>
        <v>Empath Abbey|Suzanna|HORN</v>
      </c>
      <c r="B514" s="2" t="s">
        <v>9</v>
      </c>
      <c r="C514" s="2" t="s">
        <v>438</v>
      </c>
      <c r="D514" s="2" t="s">
        <v>556</v>
      </c>
      <c r="E514" s="2" t="s">
        <v>554</v>
      </c>
      <c r="F514" s="2" t="s">
        <v>565</v>
      </c>
      <c r="G514" s="8" t="str">
        <f>IF(ISNA(VLOOKUP(B514&amp;"|"&amp;C514&amp;"|"&amp;D514&amp;"|"&amp;E514,QuestionTriggers!A:F,6,FALSE)),"","---&gt;")</f>
        <v>---&gt;</v>
      </c>
      <c r="H514" s="2" t="s">
        <v>557</v>
      </c>
      <c r="I514" s="2" t="s">
        <v>558</v>
      </c>
      <c r="J514" s="2" t="s">
        <v>559</v>
      </c>
      <c r="K514" s="2"/>
    </row>
    <row r="515" spans="1:11" hidden="1" x14ac:dyDescent="0.3">
      <c r="A515" t="str">
        <f t="shared" ref="A515:A578" si="8">C515&amp;"|"&amp;D515&amp;"|"&amp;E515</f>
        <v>Empath Abbey|Suzanna|JOB</v>
      </c>
      <c r="B515" s="2" t="s">
        <v>9</v>
      </c>
      <c r="C515" s="2" t="s">
        <v>438</v>
      </c>
      <c r="D515" s="2" t="s">
        <v>556</v>
      </c>
      <c r="E515" s="2" t="s">
        <v>18</v>
      </c>
      <c r="F515" s="2" t="s">
        <v>561</v>
      </c>
      <c r="G515" s="8" t="str">
        <f>IF(ISNA(VLOOKUP(B515&amp;"|"&amp;C515&amp;"|"&amp;D515&amp;"|"&amp;E515,QuestionTriggers!A:F,6,FALSE)),"","---&gt;")</f>
        <v/>
      </c>
      <c r="H515" s="2" t="s">
        <v>557</v>
      </c>
      <c r="I515" s="2" t="s">
        <v>558</v>
      </c>
      <c r="J515" s="2" t="s">
        <v>559</v>
      </c>
      <c r="K515" s="2"/>
    </row>
    <row r="516" spans="1:11" s="14" customFormat="1" hidden="1" x14ac:dyDescent="0.3">
      <c r="A516" t="str">
        <f t="shared" si="8"/>
        <v>Empath Abbey|Suzanna|LADY</v>
      </c>
      <c r="B516" s="2" t="s">
        <v>9</v>
      </c>
      <c r="C516" s="2" t="s">
        <v>438</v>
      </c>
      <c r="D516" s="2" t="s">
        <v>556</v>
      </c>
      <c r="E516" s="2" t="s">
        <v>563</v>
      </c>
      <c r="F516" s="2" t="s">
        <v>564</v>
      </c>
      <c r="G516" s="8" t="str">
        <f>IF(ISNA(VLOOKUP(B516&amp;"|"&amp;C516&amp;"|"&amp;D516&amp;"|"&amp;E516,QuestionTriggers!A:F,6,FALSE)),"","---&gt;")</f>
        <v/>
      </c>
      <c r="H516" s="2" t="s">
        <v>557</v>
      </c>
      <c r="I516" s="2" t="s">
        <v>558</v>
      </c>
      <c r="J516" s="2" t="s">
        <v>559</v>
      </c>
      <c r="K516" s="2"/>
    </row>
    <row r="517" spans="1:11" hidden="1" x14ac:dyDescent="0.3">
      <c r="A517" t="str">
        <f t="shared" si="8"/>
        <v>Empath Abbey|Suzanna|LOOK</v>
      </c>
      <c r="B517" s="2" t="s">
        <v>9</v>
      </c>
      <c r="C517" s="2" t="s">
        <v>438</v>
      </c>
      <c r="D517" s="2" t="s">
        <v>556</v>
      </c>
      <c r="E517" s="2" t="s">
        <v>16</v>
      </c>
      <c r="F517" s="2" t="s">
        <v>560</v>
      </c>
      <c r="G517" s="8" t="str">
        <f>IF(ISNA(VLOOKUP(B517&amp;"|"&amp;C517&amp;"|"&amp;D517&amp;"|"&amp;E517,QuestionTriggers!A:F,6,FALSE)),"","---&gt;")</f>
        <v/>
      </c>
      <c r="H517" s="2" t="s">
        <v>557</v>
      </c>
      <c r="I517" s="2" t="s">
        <v>558</v>
      </c>
      <c r="J517" s="2" t="s">
        <v>559</v>
      </c>
      <c r="K517" s="2"/>
    </row>
    <row r="518" spans="1:11" hidden="1" x14ac:dyDescent="0.3">
      <c r="A518" t="str">
        <f t="shared" si="8"/>
        <v>Empath Abbey|Suzanna|NAME</v>
      </c>
      <c r="B518" s="2" t="s">
        <v>9</v>
      </c>
      <c r="C518" s="2" t="s">
        <v>438</v>
      </c>
      <c r="D518" s="2" t="s">
        <v>556</v>
      </c>
      <c r="E518" s="2" t="s">
        <v>12</v>
      </c>
      <c r="F518" s="2" t="s">
        <v>556</v>
      </c>
      <c r="G518" s="8" t="str">
        <f>IF(ISNA(VLOOKUP(B518&amp;"|"&amp;C518&amp;"|"&amp;D518&amp;"|"&amp;E518,QuestionTriggers!A:F,6,FALSE)),"","---&gt;")</f>
        <v/>
      </c>
      <c r="H518" s="2" t="s">
        <v>557</v>
      </c>
      <c r="I518" s="2" t="s">
        <v>558</v>
      </c>
      <c r="J518" s="2" t="s">
        <v>559</v>
      </c>
      <c r="K518" s="2"/>
    </row>
    <row r="519" spans="1:11" hidden="1" x14ac:dyDescent="0.3">
      <c r="A519" t="str">
        <f t="shared" si="8"/>
        <v>Empath Abbey|Thomas|HEALTH</v>
      </c>
      <c r="B519" s="2" t="s">
        <v>9</v>
      </c>
      <c r="C519" s="2" t="s">
        <v>438</v>
      </c>
      <c r="D519" s="2" t="s">
        <v>566</v>
      </c>
      <c r="E519" s="2" t="s">
        <v>20</v>
      </c>
      <c r="F519" s="2" t="s">
        <v>571</v>
      </c>
      <c r="G519" s="8" t="str">
        <f>IF(ISNA(VLOOKUP(B519&amp;"|"&amp;C519&amp;"|"&amp;D519&amp;"|"&amp;E519,QuestionTriggers!A:F,6,FALSE)),"","---&gt;")</f>
        <v/>
      </c>
      <c r="H519" s="2" t="s">
        <v>567</v>
      </c>
      <c r="I519" s="2" t="s">
        <v>177</v>
      </c>
      <c r="J519" s="2" t="s">
        <v>568</v>
      </c>
      <c r="K519" s="2"/>
    </row>
    <row r="520" spans="1:11" hidden="1" x14ac:dyDescent="0.3">
      <c r="A520" t="str">
        <f t="shared" si="8"/>
        <v>Empath Abbey|Thomas|JOB</v>
      </c>
      <c r="B520" s="2" t="s">
        <v>9</v>
      </c>
      <c r="C520" s="2" t="s">
        <v>438</v>
      </c>
      <c r="D520" s="2" t="s">
        <v>566</v>
      </c>
      <c r="E520" s="2" t="s">
        <v>18</v>
      </c>
      <c r="F520" s="2" t="s">
        <v>570</v>
      </c>
      <c r="G520" s="8" t="str">
        <f>IF(ISNA(VLOOKUP(B520&amp;"|"&amp;C520&amp;"|"&amp;D520&amp;"|"&amp;E520,QuestionTriggers!A:F,6,FALSE)),"","---&gt;")</f>
        <v/>
      </c>
      <c r="H520" s="2" t="s">
        <v>567</v>
      </c>
      <c r="I520" s="2" t="s">
        <v>177</v>
      </c>
      <c r="J520" s="2" t="s">
        <v>568</v>
      </c>
      <c r="K520" s="2"/>
    </row>
    <row r="521" spans="1:11" hidden="1" x14ac:dyDescent="0.3">
      <c r="A521" t="str">
        <f t="shared" si="8"/>
        <v>Empath Abbey|Thomas|LOOK</v>
      </c>
      <c r="B521" s="2" t="s">
        <v>9</v>
      </c>
      <c r="C521" s="2" t="s">
        <v>438</v>
      </c>
      <c r="D521" s="2" t="s">
        <v>566</v>
      </c>
      <c r="E521" s="2" t="s">
        <v>16</v>
      </c>
      <c r="F521" s="2" t="s">
        <v>569</v>
      </c>
      <c r="G521" s="8" t="str">
        <f>IF(ISNA(VLOOKUP(B521&amp;"|"&amp;C521&amp;"|"&amp;D521&amp;"|"&amp;E521,QuestionTriggers!A:F,6,FALSE)),"","---&gt;")</f>
        <v/>
      </c>
      <c r="H521" s="2" t="s">
        <v>567</v>
      </c>
      <c r="I521" s="2" t="s">
        <v>177</v>
      </c>
      <c r="J521" s="2" t="s">
        <v>568</v>
      </c>
      <c r="K521" s="2"/>
    </row>
    <row r="522" spans="1:11" hidden="1" x14ac:dyDescent="0.3">
      <c r="A522" t="str">
        <f t="shared" si="8"/>
        <v>Empath Abbey|Thomas|LOVE</v>
      </c>
      <c r="B522" s="2" t="s">
        <v>9</v>
      </c>
      <c r="C522" s="2" t="s">
        <v>438</v>
      </c>
      <c r="D522" s="2" t="s">
        <v>566</v>
      </c>
      <c r="E522" s="2" t="s">
        <v>235</v>
      </c>
      <c r="F522" s="2" t="s">
        <v>572</v>
      </c>
      <c r="G522" s="8" t="str">
        <f>IF(ISNA(VLOOKUP(B522&amp;"|"&amp;C522&amp;"|"&amp;D522&amp;"|"&amp;E522,QuestionTriggers!A:F,6,FALSE)),"","---&gt;")</f>
        <v/>
      </c>
      <c r="H522" s="2" t="s">
        <v>567</v>
      </c>
      <c r="I522" s="2" t="s">
        <v>177</v>
      </c>
      <c r="J522" s="2" t="s">
        <v>568</v>
      </c>
      <c r="K522" s="2"/>
    </row>
    <row r="523" spans="1:11" hidden="1" x14ac:dyDescent="0.3">
      <c r="A523" t="str">
        <f t="shared" si="8"/>
        <v>Empath Abbey|Thomas|NAME</v>
      </c>
      <c r="B523" s="2" t="s">
        <v>9</v>
      </c>
      <c r="C523" s="2" t="s">
        <v>438</v>
      </c>
      <c r="D523" s="2" t="s">
        <v>566</v>
      </c>
      <c r="E523" s="2" t="s">
        <v>12</v>
      </c>
      <c r="F523" s="2" t="s">
        <v>566</v>
      </c>
      <c r="G523" s="8" t="str">
        <f>IF(ISNA(VLOOKUP(B523&amp;"|"&amp;C523&amp;"|"&amp;D523&amp;"|"&amp;E523,QuestionTriggers!A:F,6,FALSE)),"","---&gt;")</f>
        <v/>
      </c>
      <c r="H523" s="2" t="s">
        <v>567</v>
      </c>
      <c r="I523" s="2" t="s">
        <v>177</v>
      </c>
      <c r="J523" s="2" t="s">
        <v>568</v>
      </c>
      <c r="K523" s="2"/>
    </row>
    <row r="524" spans="1:11" hidden="1" x14ac:dyDescent="0.3">
      <c r="A524" t="str">
        <f t="shared" si="8"/>
        <v>Empath Abbey|Thomas|SACR</v>
      </c>
      <c r="B524" s="2" t="s">
        <v>9</v>
      </c>
      <c r="C524" s="2" t="s">
        <v>438</v>
      </c>
      <c r="D524" s="2" t="s">
        <v>566</v>
      </c>
      <c r="E524" s="2" t="s">
        <v>247</v>
      </c>
      <c r="F524" s="2" t="s">
        <v>573</v>
      </c>
      <c r="G524" s="8" t="str">
        <f>IF(ISNA(VLOOKUP(B524&amp;"|"&amp;C524&amp;"|"&amp;D524&amp;"|"&amp;E524,QuestionTriggers!A:F,6,FALSE)),"","---&gt;")</f>
        <v>---&gt;</v>
      </c>
      <c r="H524" s="2" t="s">
        <v>567</v>
      </c>
      <c r="I524" s="2" t="s">
        <v>177</v>
      </c>
      <c r="J524" s="2" t="s">
        <v>568</v>
      </c>
      <c r="K524" s="2"/>
    </row>
    <row r="525" spans="1:11" hidden="1" x14ac:dyDescent="0.3">
      <c r="A525" t="str">
        <f t="shared" si="8"/>
        <v>Jhelom|Aesop|HEALTH</v>
      </c>
      <c r="B525" s="2" t="s">
        <v>713</v>
      </c>
      <c r="C525" s="3" t="s">
        <v>1001</v>
      </c>
      <c r="D525" s="2" t="s">
        <v>1056</v>
      </c>
      <c r="E525" s="2" t="s">
        <v>20</v>
      </c>
      <c r="F525" s="2" t="s">
        <v>691</v>
      </c>
      <c r="G525" s="8" t="str">
        <f>IF(ISNA(VLOOKUP(B525&amp;"|"&amp;C525&amp;"|"&amp;D525&amp;"|"&amp;E525,QuestionTriggers!A:F,6,FALSE)),"","---&gt;")</f>
        <v/>
      </c>
      <c r="H525" s="2" t="s">
        <v>1057</v>
      </c>
      <c r="I525" s="2" t="s">
        <v>1058</v>
      </c>
      <c r="J525" s="2" t="s">
        <v>1059</v>
      </c>
      <c r="K525" s="2"/>
    </row>
    <row r="526" spans="1:11" hidden="1" x14ac:dyDescent="0.3">
      <c r="A526" t="str">
        <f t="shared" si="8"/>
        <v>Jhelom|Aesop|JOB</v>
      </c>
      <c r="B526" s="2" t="s">
        <v>713</v>
      </c>
      <c r="C526" s="3" t="s">
        <v>1001</v>
      </c>
      <c r="D526" s="2" t="s">
        <v>1056</v>
      </c>
      <c r="E526" s="2" t="s">
        <v>18</v>
      </c>
      <c r="F526" s="2" t="s">
        <v>1061</v>
      </c>
      <c r="G526" s="8" t="str">
        <f>IF(ISNA(VLOOKUP(B526&amp;"|"&amp;C526&amp;"|"&amp;D526&amp;"|"&amp;E526,QuestionTriggers!A:F,6,FALSE)),"","---&gt;")</f>
        <v/>
      </c>
      <c r="H526" s="2" t="s">
        <v>1057</v>
      </c>
      <c r="I526" s="2" t="s">
        <v>1058</v>
      </c>
      <c r="J526" s="2" t="s">
        <v>1059</v>
      </c>
      <c r="K526" s="2"/>
    </row>
    <row r="527" spans="1:11" hidden="1" x14ac:dyDescent="0.3">
      <c r="A527" t="str">
        <f t="shared" si="8"/>
        <v>Jhelom|Aesop|LOOK</v>
      </c>
      <c r="B527" s="2" t="s">
        <v>713</v>
      </c>
      <c r="C527" s="3" t="s">
        <v>1001</v>
      </c>
      <c r="D527" s="2" t="s">
        <v>1056</v>
      </c>
      <c r="E527" s="2" t="s">
        <v>16</v>
      </c>
      <c r="F527" s="2" t="s">
        <v>1060</v>
      </c>
      <c r="G527" s="8" t="str">
        <f>IF(ISNA(VLOOKUP(B527&amp;"|"&amp;C527&amp;"|"&amp;D527&amp;"|"&amp;E527,QuestionTriggers!A:F,6,FALSE)),"","---&gt;")</f>
        <v/>
      </c>
      <c r="H527" s="2" t="s">
        <v>1057</v>
      </c>
      <c r="I527" s="2" t="s">
        <v>1058</v>
      </c>
      <c r="J527" s="2" t="s">
        <v>1059</v>
      </c>
      <c r="K527" s="2"/>
    </row>
    <row r="528" spans="1:11" hidden="1" x14ac:dyDescent="0.3">
      <c r="A528" t="str">
        <f t="shared" si="8"/>
        <v>Jhelom|Aesop|MANT</v>
      </c>
      <c r="B528" s="2" t="s">
        <v>713</v>
      </c>
      <c r="C528" s="3" t="s">
        <v>1001</v>
      </c>
      <c r="D528" s="2" t="s">
        <v>1056</v>
      </c>
      <c r="E528" s="2" t="s">
        <v>742</v>
      </c>
      <c r="F528" s="2" t="s">
        <v>2521</v>
      </c>
      <c r="G528" s="8" t="str">
        <f>IF(ISNA(VLOOKUP(B528&amp;"|"&amp;C528&amp;"|"&amp;D528&amp;"|"&amp;E528,QuestionTriggers!A:F,6,FALSE)),"","---&gt;")</f>
        <v>---&gt;</v>
      </c>
      <c r="H528" s="2" t="s">
        <v>1057</v>
      </c>
      <c r="I528" s="2" t="s">
        <v>1058</v>
      </c>
      <c r="J528" s="2" t="s">
        <v>1059</v>
      </c>
      <c r="K528" s="2"/>
    </row>
    <row r="529" spans="1:11" hidden="1" x14ac:dyDescent="0.3">
      <c r="A529" t="str">
        <f t="shared" si="8"/>
        <v>Jhelom|Aesop|NAME</v>
      </c>
      <c r="B529" s="2" t="s">
        <v>713</v>
      </c>
      <c r="C529" s="3" t="s">
        <v>1001</v>
      </c>
      <c r="D529" s="2" t="s">
        <v>1056</v>
      </c>
      <c r="E529" s="2" t="s">
        <v>12</v>
      </c>
      <c r="F529" s="2" t="s">
        <v>1056</v>
      </c>
      <c r="G529" s="8" t="str">
        <f>IF(ISNA(VLOOKUP(B529&amp;"|"&amp;C529&amp;"|"&amp;D529&amp;"|"&amp;E529,QuestionTriggers!A:F,6,FALSE)),"","---&gt;")</f>
        <v/>
      </c>
      <c r="H529" s="2" t="s">
        <v>1057</v>
      </c>
      <c r="I529" s="2" t="s">
        <v>1058</v>
      </c>
      <c r="J529" s="2" t="s">
        <v>1059</v>
      </c>
      <c r="K529" s="2"/>
    </row>
    <row r="530" spans="1:11" hidden="1" x14ac:dyDescent="0.3">
      <c r="A530" t="str">
        <f t="shared" si="8"/>
        <v>Jhelom|Aesop|VALO</v>
      </c>
      <c r="B530" s="2" t="s">
        <v>713</v>
      </c>
      <c r="C530" s="3" t="s">
        <v>1001</v>
      </c>
      <c r="D530" s="2" t="s">
        <v>1056</v>
      </c>
      <c r="E530" s="2" t="s">
        <v>243</v>
      </c>
      <c r="F530" s="2" t="s">
        <v>1062</v>
      </c>
      <c r="G530" s="8" t="str">
        <f>IF(ISNA(VLOOKUP(B530&amp;"|"&amp;C530&amp;"|"&amp;D530&amp;"|"&amp;E530,QuestionTriggers!A:F,6,FALSE)),"","---&gt;")</f>
        <v/>
      </c>
      <c r="H530" s="2" t="s">
        <v>1057</v>
      </c>
      <c r="I530" s="2" t="s">
        <v>1058</v>
      </c>
      <c r="J530" s="2" t="s">
        <v>1059</v>
      </c>
      <c r="K530" s="2"/>
    </row>
    <row r="531" spans="1:11" ht="26.4" hidden="1" x14ac:dyDescent="0.3">
      <c r="A531" t="str">
        <f t="shared" si="8"/>
        <v>Jhelom|Bartender|Sextant (30 gold)</v>
      </c>
      <c r="B531" s="2" t="s">
        <v>713</v>
      </c>
      <c r="C531" s="2" t="s">
        <v>1001</v>
      </c>
      <c r="D531" s="2" t="s">
        <v>2277</v>
      </c>
      <c r="E531" s="2" t="s">
        <v>2282</v>
      </c>
      <c r="F531" s="2" t="s">
        <v>2283</v>
      </c>
      <c r="G531" s="8" t="str">
        <f>IF(ISNA(VLOOKUP(B531&amp;"|"&amp;C531&amp;"|"&amp;D531&amp;"|"&amp;E531,QuestionTriggers!A:F,6,FALSE)),"","---&gt;")</f>
        <v/>
      </c>
    </row>
    <row r="532" spans="1:11" ht="26.4" hidden="1" x14ac:dyDescent="0.3">
      <c r="A532" t="str">
        <f t="shared" si="8"/>
        <v>Jhelom|Bengrod|DUNG</v>
      </c>
      <c r="B532" s="2" t="s">
        <v>713</v>
      </c>
      <c r="C532" s="2" t="s">
        <v>1001</v>
      </c>
      <c r="D532" s="34" t="s">
        <v>1031</v>
      </c>
      <c r="E532" s="34" t="s">
        <v>619</v>
      </c>
      <c r="F532" s="34" t="s">
        <v>1038</v>
      </c>
      <c r="G532" s="8" t="str">
        <f>IF(ISNA(VLOOKUP(B532&amp;"|"&amp;C532&amp;"|"&amp;D532&amp;"|"&amp;E532,QuestionTriggers!A:F,6,FALSE)),"","---&gt;")</f>
        <v/>
      </c>
      <c r="H532" s="2" t="s">
        <v>1032</v>
      </c>
      <c r="I532" s="2" t="s">
        <v>1033</v>
      </c>
      <c r="J532" s="2" t="s">
        <v>1034</v>
      </c>
      <c r="K532" s="2"/>
    </row>
    <row r="533" spans="1:11" ht="26.4" hidden="1" x14ac:dyDescent="0.3">
      <c r="A533" t="str">
        <f t="shared" si="8"/>
        <v>Jhelom|Bengrod|HEALTH</v>
      </c>
      <c r="B533" s="2" t="s">
        <v>713</v>
      </c>
      <c r="C533" s="2" t="s">
        <v>1001</v>
      </c>
      <c r="D533" s="34" t="s">
        <v>1031</v>
      </c>
      <c r="E533" s="34" t="s">
        <v>20</v>
      </c>
      <c r="F533" s="34" t="s">
        <v>1037</v>
      </c>
      <c r="G533" s="8" t="str">
        <f>IF(ISNA(VLOOKUP(B533&amp;"|"&amp;C533&amp;"|"&amp;D533&amp;"|"&amp;E533,QuestionTriggers!A:F,6,FALSE)),"","---&gt;")</f>
        <v/>
      </c>
      <c r="H533" s="2" t="s">
        <v>1032</v>
      </c>
      <c r="I533" s="2" t="s">
        <v>1033</v>
      </c>
      <c r="J533" s="2" t="s">
        <v>1034</v>
      </c>
      <c r="K533" s="2"/>
    </row>
    <row r="534" spans="1:11" ht="26.4" hidden="1" x14ac:dyDescent="0.3">
      <c r="A534" t="str">
        <f t="shared" si="8"/>
        <v>Jhelom|Bengrod|JOB</v>
      </c>
      <c r="B534" s="2" t="s">
        <v>713</v>
      </c>
      <c r="C534" s="2" t="s">
        <v>1001</v>
      </c>
      <c r="D534" s="34" t="s">
        <v>1031</v>
      </c>
      <c r="E534" s="34" t="s">
        <v>18</v>
      </c>
      <c r="F534" s="34" t="s">
        <v>1036</v>
      </c>
      <c r="G534" s="8" t="str">
        <f>IF(ISNA(VLOOKUP(B534&amp;"|"&amp;C534&amp;"|"&amp;D534&amp;"|"&amp;E534,QuestionTriggers!A:F,6,FALSE)),"","---&gt;")</f>
        <v/>
      </c>
      <c r="H534" s="2" t="s">
        <v>1032</v>
      </c>
      <c r="I534" s="2" t="s">
        <v>1033</v>
      </c>
      <c r="J534" s="2" t="s">
        <v>1034</v>
      </c>
      <c r="K534" s="2"/>
    </row>
    <row r="535" spans="1:11" ht="26.4" hidden="1" x14ac:dyDescent="0.3">
      <c r="A535" t="str">
        <f t="shared" si="8"/>
        <v>Jhelom|Bengrod|LOOK</v>
      </c>
      <c r="B535" s="2" t="s">
        <v>713</v>
      </c>
      <c r="C535" s="2" t="s">
        <v>1001</v>
      </c>
      <c r="D535" s="34" t="s">
        <v>1031</v>
      </c>
      <c r="E535" s="34" t="s">
        <v>16</v>
      </c>
      <c r="F535" s="34" t="s">
        <v>1035</v>
      </c>
      <c r="G535" s="8" t="str">
        <f>IF(ISNA(VLOOKUP(B535&amp;"|"&amp;C535&amp;"|"&amp;D535&amp;"|"&amp;E535,QuestionTriggers!A:F,6,FALSE)),"","---&gt;")</f>
        <v/>
      </c>
      <c r="H535" s="2" t="s">
        <v>1032</v>
      </c>
      <c r="I535" s="2" t="s">
        <v>1033</v>
      </c>
      <c r="J535" s="2" t="s">
        <v>1034</v>
      </c>
      <c r="K535" s="2"/>
    </row>
    <row r="536" spans="1:11" ht="26.4" hidden="1" x14ac:dyDescent="0.3">
      <c r="A536" t="str">
        <f t="shared" si="8"/>
        <v>Jhelom|Bengrod|NAME</v>
      </c>
      <c r="B536" s="2" t="s">
        <v>713</v>
      </c>
      <c r="C536" s="2" t="s">
        <v>1001</v>
      </c>
      <c r="D536" s="34" t="s">
        <v>1031</v>
      </c>
      <c r="E536" s="34" t="s">
        <v>12</v>
      </c>
      <c r="F536" s="34" t="s">
        <v>1031</v>
      </c>
      <c r="G536" s="8" t="str">
        <f>IF(ISNA(VLOOKUP(B536&amp;"|"&amp;C536&amp;"|"&amp;D536&amp;"|"&amp;E536,QuestionTriggers!A:F,6,FALSE)),"","---&gt;")</f>
        <v/>
      </c>
      <c r="H536" s="2" t="s">
        <v>1032</v>
      </c>
      <c r="I536" s="2" t="s">
        <v>1033</v>
      </c>
      <c r="J536" s="2" t="s">
        <v>1034</v>
      </c>
      <c r="K536" s="2"/>
    </row>
    <row r="537" spans="1:11" ht="26.4" hidden="1" x14ac:dyDescent="0.3">
      <c r="A537" t="str">
        <f t="shared" si="8"/>
        <v>Jhelom|Bengrod|ROOM</v>
      </c>
      <c r="B537" s="2" t="s">
        <v>713</v>
      </c>
      <c r="C537" s="2" t="s">
        <v>1001</v>
      </c>
      <c r="D537" s="34" t="s">
        <v>1031</v>
      </c>
      <c r="E537" s="34" t="s">
        <v>629</v>
      </c>
      <c r="F537" s="34" t="s">
        <v>1039</v>
      </c>
      <c r="G537" s="8" t="str">
        <f>IF(ISNA(VLOOKUP(B537&amp;"|"&amp;C537&amp;"|"&amp;D537&amp;"|"&amp;E537,QuestionTriggers!A:F,6,FALSE)),"","---&gt;")</f>
        <v>---&gt;</v>
      </c>
      <c r="H537" s="2" t="s">
        <v>1032</v>
      </c>
      <c r="I537" s="2" t="s">
        <v>1033</v>
      </c>
      <c r="J537" s="2" t="s">
        <v>1034</v>
      </c>
      <c r="K537" s="2"/>
    </row>
    <row r="538" spans="1:11" hidden="1" x14ac:dyDescent="0.3">
      <c r="A538" t="str">
        <f t="shared" si="8"/>
        <v>Jhelom|Gate Guard|GATE</v>
      </c>
      <c r="B538" s="2" t="s">
        <v>713</v>
      </c>
      <c r="C538" s="2" t="s">
        <v>1001</v>
      </c>
      <c r="D538" s="2" t="s">
        <v>26</v>
      </c>
      <c r="E538" s="2" t="s">
        <v>504</v>
      </c>
      <c r="F538" s="2" t="s">
        <v>1054</v>
      </c>
      <c r="G538" s="8" t="str">
        <f>IF(ISNA(VLOOKUP(B538&amp;"|"&amp;C538&amp;"|"&amp;D538&amp;"|"&amp;E538,QuestionTriggers!A:F,6,FALSE)),"","---&gt;")</f>
        <v/>
      </c>
      <c r="H538" s="2"/>
      <c r="I538" s="2"/>
      <c r="J538" s="2"/>
      <c r="K538" s="2"/>
    </row>
    <row r="539" spans="1:11" hidden="1" x14ac:dyDescent="0.3">
      <c r="A539" t="str">
        <f t="shared" si="8"/>
        <v>Jhelom|Gate Guard|HEALTH</v>
      </c>
      <c r="B539" s="2" t="s">
        <v>713</v>
      </c>
      <c r="C539" s="2" t="s">
        <v>1001</v>
      </c>
      <c r="D539" s="2" t="s">
        <v>26</v>
      </c>
      <c r="E539" s="2" t="s">
        <v>20</v>
      </c>
      <c r="F539" s="2" t="s">
        <v>93</v>
      </c>
      <c r="G539" s="8" t="str">
        <f>IF(ISNA(VLOOKUP(B539&amp;"|"&amp;C539&amp;"|"&amp;D539&amp;"|"&amp;E539,QuestionTriggers!A:F,6,FALSE)),"","---&gt;")</f>
        <v/>
      </c>
      <c r="H539" s="2"/>
      <c r="I539" s="2"/>
      <c r="J539" s="2"/>
      <c r="K539" s="2"/>
    </row>
    <row r="540" spans="1:11" hidden="1" x14ac:dyDescent="0.3">
      <c r="A540" t="str">
        <f t="shared" si="8"/>
        <v>Jhelom|Gate Guard|JOB</v>
      </c>
      <c r="B540" s="2" t="s">
        <v>713</v>
      </c>
      <c r="C540" s="2" t="s">
        <v>1001</v>
      </c>
      <c r="D540" s="2" t="s">
        <v>26</v>
      </c>
      <c r="E540" s="2" t="s">
        <v>18</v>
      </c>
      <c r="F540" s="2" t="s">
        <v>1053</v>
      </c>
      <c r="G540" s="8" t="str">
        <f>IF(ISNA(VLOOKUP(B540&amp;"|"&amp;C540&amp;"|"&amp;D540&amp;"|"&amp;E540,QuestionTriggers!A:F,6,FALSE)),"","---&gt;")</f>
        <v/>
      </c>
      <c r="H540" s="2"/>
      <c r="I540" s="2"/>
      <c r="J540" s="2"/>
      <c r="K540" s="2"/>
    </row>
    <row r="541" spans="1:11" hidden="1" x14ac:dyDescent="0.3">
      <c r="A541" t="str">
        <f t="shared" si="8"/>
        <v>Jhelom|Gate Guard|LOOK</v>
      </c>
      <c r="B541" s="2" t="s">
        <v>713</v>
      </c>
      <c r="C541" s="2" t="s">
        <v>1001</v>
      </c>
      <c r="D541" s="2" t="s">
        <v>26</v>
      </c>
      <c r="E541" s="2" t="s">
        <v>16</v>
      </c>
      <c r="F541" s="2" t="s">
        <v>636</v>
      </c>
      <c r="G541" s="8" t="str">
        <f>IF(ISNA(VLOOKUP(B541&amp;"|"&amp;C541&amp;"|"&amp;D541&amp;"|"&amp;E541,QuestionTriggers!A:F,6,FALSE)),"","---&gt;")</f>
        <v/>
      </c>
      <c r="H541" s="2"/>
      <c r="I541" s="2"/>
      <c r="J541" s="2"/>
      <c r="K541" s="2"/>
    </row>
    <row r="542" spans="1:11" hidden="1" x14ac:dyDescent="0.3">
      <c r="A542" t="str">
        <f t="shared" si="8"/>
        <v>Jhelom|Gate Guard|NAME</v>
      </c>
      <c r="B542" s="2" t="s">
        <v>713</v>
      </c>
      <c r="C542" s="2" t="s">
        <v>1001</v>
      </c>
      <c r="D542" s="2" t="s">
        <v>26</v>
      </c>
      <c r="E542" s="2" t="s">
        <v>12</v>
      </c>
      <c r="F542" s="2" t="s">
        <v>27</v>
      </c>
      <c r="G542" s="8" t="str">
        <f>IF(ISNA(VLOOKUP(B542&amp;"|"&amp;C542&amp;"|"&amp;D542&amp;"|"&amp;E542,QuestionTriggers!A:F,6,FALSE)),"","---&gt;")</f>
        <v/>
      </c>
      <c r="H542" s="2"/>
      <c r="I542" s="2"/>
      <c r="J542" s="2"/>
      <c r="K542" s="2"/>
    </row>
    <row r="543" spans="1:11" hidden="1" x14ac:dyDescent="0.3">
      <c r="A543" t="str">
        <f t="shared" si="8"/>
        <v>Jhelom|Gate Guard|PASS</v>
      </c>
      <c r="B543" s="2" t="s">
        <v>713</v>
      </c>
      <c r="C543" s="2" t="s">
        <v>1001</v>
      </c>
      <c r="D543" s="2" t="s">
        <v>26</v>
      </c>
      <c r="E543" s="2" t="s">
        <v>513</v>
      </c>
      <c r="F543" s="2" t="s">
        <v>1055</v>
      </c>
      <c r="G543" s="8" t="str">
        <f>IF(ISNA(VLOOKUP(B543&amp;"|"&amp;C543&amp;"|"&amp;D543&amp;"|"&amp;E543,QuestionTriggers!A:F,6,FALSE)),"","---&gt;")</f>
        <v/>
      </c>
      <c r="H543" s="2"/>
      <c r="I543" s="2"/>
      <c r="J543" s="2"/>
      <c r="K543" s="2"/>
    </row>
    <row r="544" spans="1:11" hidden="1" x14ac:dyDescent="0.3">
      <c r="A544" t="str">
        <f t="shared" si="8"/>
        <v>Jhelom|Geoffrey|BATT</v>
      </c>
      <c r="B544" s="2" t="s">
        <v>713</v>
      </c>
      <c r="C544" s="2" t="s">
        <v>1001</v>
      </c>
      <c r="D544" s="34" t="s">
        <v>1002</v>
      </c>
      <c r="E544" s="34" t="s">
        <v>1010</v>
      </c>
      <c r="F544" s="34" t="s">
        <v>1011</v>
      </c>
      <c r="G544" s="8" t="str">
        <f>IF(ISNA(VLOOKUP(B544&amp;"|"&amp;C544&amp;"|"&amp;D544&amp;"|"&amp;E544,QuestionTriggers!A:F,6,FALSE)),"","---&gt;")</f>
        <v>---&gt;</v>
      </c>
      <c r="H544" s="2" t="s">
        <v>1003</v>
      </c>
      <c r="I544" s="2" t="s">
        <v>1004</v>
      </c>
      <c r="J544" s="2" t="s">
        <v>1005</v>
      </c>
      <c r="K544" s="2"/>
    </row>
    <row r="545" spans="1:11" hidden="1" x14ac:dyDescent="0.3">
      <c r="A545" t="str">
        <f t="shared" si="8"/>
        <v>Jhelom|Geoffrey|HEALTH</v>
      </c>
      <c r="B545" s="2" t="s">
        <v>713</v>
      </c>
      <c r="C545" s="2" t="s">
        <v>1001</v>
      </c>
      <c r="D545" s="34" t="s">
        <v>1002</v>
      </c>
      <c r="E545" s="34" t="s">
        <v>20</v>
      </c>
      <c r="F545" s="34" t="s">
        <v>1008</v>
      </c>
      <c r="G545" s="8" t="str">
        <f>IF(ISNA(VLOOKUP(B545&amp;"|"&amp;C545&amp;"|"&amp;D545&amp;"|"&amp;E545,QuestionTriggers!A:F,6,FALSE)),"","---&gt;")</f>
        <v/>
      </c>
      <c r="H545" s="2" t="s">
        <v>1003</v>
      </c>
      <c r="I545" s="2" t="s">
        <v>1004</v>
      </c>
      <c r="J545" s="2" t="s">
        <v>1005</v>
      </c>
      <c r="K545" s="2"/>
    </row>
    <row r="546" spans="1:11" hidden="1" x14ac:dyDescent="0.3">
      <c r="A546" t="str">
        <f t="shared" si="8"/>
        <v>Jhelom|Geoffrey|JOB</v>
      </c>
      <c r="B546" s="2" t="s">
        <v>713</v>
      </c>
      <c r="C546" s="2" t="s">
        <v>1001</v>
      </c>
      <c r="D546" s="34" t="s">
        <v>1002</v>
      </c>
      <c r="E546" s="34" t="s">
        <v>18</v>
      </c>
      <c r="F546" s="34" t="s">
        <v>1007</v>
      </c>
      <c r="G546" s="8" t="str">
        <f>IF(ISNA(VLOOKUP(B546&amp;"|"&amp;C546&amp;"|"&amp;D546&amp;"|"&amp;E546,QuestionTriggers!A:F,6,FALSE)),"","---&gt;")</f>
        <v/>
      </c>
      <c r="H546" s="2" t="s">
        <v>1003</v>
      </c>
      <c r="I546" s="2" t="s">
        <v>1004</v>
      </c>
      <c r="J546" s="2" t="s">
        <v>1005</v>
      </c>
      <c r="K546" s="2"/>
    </row>
    <row r="547" spans="1:11" hidden="1" x14ac:dyDescent="0.3">
      <c r="A547" t="str">
        <f t="shared" si="8"/>
        <v>Jhelom|Geoffrey|LOOK</v>
      </c>
      <c r="B547" s="2" t="s">
        <v>713</v>
      </c>
      <c r="C547" s="2" t="s">
        <v>1001</v>
      </c>
      <c r="D547" s="34" t="s">
        <v>1002</v>
      </c>
      <c r="E547" s="34" t="s">
        <v>16</v>
      </c>
      <c r="F547" s="34" t="s">
        <v>1006</v>
      </c>
      <c r="G547" s="8" t="str">
        <f>IF(ISNA(VLOOKUP(B547&amp;"|"&amp;C547&amp;"|"&amp;D547&amp;"|"&amp;E547,QuestionTriggers!A:F,6,FALSE)),"","---&gt;")</f>
        <v/>
      </c>
      <c r="H547" s="2" t="s">
        <v>1003</v>
      </c>
      <c r="I547" s="2" t="s">
        <v>1004</v>
      </c>
      <c r="J547" s="2" t="s">
        <v>1005</v>
      </c>
      <c r="K547" s="2"/>
    </row>
    <row r="548" spans="1:11" hidden="1" x14ac:dyDescent="0.3">
      <c r="A548" t="str">
        <f t="shared" si="8"/>
        <v>Jhelom|Geoffrey|NAME</v>
      </c>
      <c r="B548" s="2" t="s">
        <v>713</v>
      </c>
      <c r="C548" s="2" t="s">
        <v>1001</v>
      </c>
      <c r="D548" s="34" t="s">
        <v>1002</v>
      </c>
      <c r="E548" s="34" t="s">
        <v>12</v>
      </c>
      <c r="F548" s="34" t="s">
        <v>1002</v>
      </c>
      <c r="G548" s="8" t="str">
        <f>IF(ISNA(VLOOKUP(B548&amp;"|"&amp;C548&amp;"|"&amp;D548&amp;"|"&amp;E548,QuestionTriggers!A:F,6,FALSE)),"","---&gt;")</f>
        <v/>
      </c>
      <c r="H548" s="2" t="s">
        <v>1003</v>
      </c>
      <c r="I548" s="2" t="s">
        <v>1004</v>
      </c>
      <c r="J548" s="2" t="s">
        <v>1005</v>
      </c>
      <c r="K548" s="2"/>
    </row>
    <row r="549" spans="1:11" hidden="1" x14ac:dyDescent="0.3">
      <c r="A549" t="str">
        <f t="shared" si="8"/>
        <v>Jhelom|Geoffrey|WARR</v>
      </c>
      <c r="B549" s="2" t="s">
        <v>713</v>
      </c>
      <c r="C549" s="2" t="s">
        <v>1001</v>
      </c>
      <c r="D549" s="34" t="s">
        <v>1002</v>
      </c>
      <c r="E549" s="34" t="s">
        <v>335</v>
      </c>
      <c r="F549" s="34" t="s">
        <v>1009</v>
      </c>
      <c r="G549" s="8" t="str">
        <f>IF(ISNA(VLOOKUP(B549&amp;"|"&amp;C549&amp;"|"&amp;D549&amp;"|"&amp;E549,QuestionTriggers!A:F,6,FALSE)),"","---&gt;")</f>
        <v/>
      </c>
      <c r="H549" s="2" t="s">
        <v>1003</v>
      </c>
      <c r="I549" s="2" t="s">
        <v>1004</v>
      </c>
      <c r="J549" s="2" t="s">
        <v>1005</v>
      </c>
      <c r="K549" s="2"/>
    </row>
    <row r="550" spans="1:11" hidden="1" x14ac:dyDescent="0.3">
      <c r="A550" t="str">
        <f t="shared" si="8"/>
        <v>Jhelom|Gravnor|DUNG</v>
      </c>
      <c r="B550" s="2" t="s">
        <v>713</v>
      </c>
      <c r="C550" s="2" t="s">
        <v>1001</v>
      </c>
      <c r="D550" s="34" t="s">
        <v>1063</v>
      </c>
      <c r="E550" s="34" t="s">
        <v>619</v>
      </c>
      <c r="F550" s="34" t="s">
        <v>1069</v>
      </c>
      <c r="G550" s="8" t="str">
        <f>IF(ISNA(VLOOKUP(B550&amp;"|"&amp;C550&amp;"|"&amp;D550&amp;"|"&amp;E550,QuestionTriggers!A:F,6,FALSE)),"","---&gt;")</f>
        <v/>
      </c>
      <c r="H550" s="2" t="s">
        <v>539</v>
      </c>
      <c r="I550" s="2" t="s">
        <v>1064</v>
      </c>
      <c r="J550" s="2" t="s">
        <v>1065</v>
      </c>
      <c r="K550" s="2"/>
    </row>
    <row r="551" spans="1:11" hidden="1" x14ac:dyDescent="0.3">
      <c r="A551" t="str">
        <f t="shared" si="8"/>
        <v>Jhelom|Gravnor|HEALTH</v>
      </c>
      <c r="B551" s="2" t="s">
        <v>713</v>
      </c>
      <c r="C551" s="2" t="s">
        <v>1001</v>
      </c>
      <c r="D551" s="34" t="s">
        <v>1063</v>
      </c>
      <c r="E551" s="34" t="s">
        <v>20</v>
      </c>
      <c r="F551" s="34" t="s">
        <v>1068</v>
      </c>
      <c r="G551" s="8" t="str">
        <f>IF(ISNA(VLOOKUP(B551&amp;"|"&amp;C551&amp;"|"&amp;D551&amp;"|"&amp;E551,QuestionTriggers!A:F,6,FALSE)),"","---&gt;")</f>
        <v/>
      </c>
      <c r="H551" s="2" t="s">
        <v>539</v>
      </c>
      <c r="I551" s="2" t="s">
        <v>1064</v>
      </c>
      <c r="J551" s="2" t="s">
        <v>1065</v>
      </c>
      <c r="K551" s="2"/>
    </row>
    <row r="552" spans="1:11" hidden="1" x14ac:dyDescent="0.3">
      <c r="A552" t="str">
        <f t="shared" si="8"/>
        <v>Jhelom|Gravnor|JOB</v>
      </c>
      <c r="B552" s="2" t="s">
        <v>713</v>
      </c>
      <c r="C552" s="2" t="s">
        <v>1001</v>
      </c>
      <c r="D552" s="34" t="s">
        <v>1063</v>
      </c>
      <c r="E552" s="34" t="s">
        <v>18</v>
      </c>
      <c r="F552" s="34" t="s">
        <v>1067</v>
      </c>
      <c r="G552" s="8" t="str">
        <f>IF(ISNA(VLOOKUP(B552&amp;"|"&amp;C552&amp;"|"&amp;D552&amp;"|"&amp;E552,QuestionTriggers!A:F,6,FALSE)),"","---&gt;")</f>
        <v/>
      </c>
      <c r="H552" s="2" t="s">
        <v>539</v>
      </c>
      <c r="I552" s="2" t="s">
        <v>1064</v>
      </c>
      <c r="J552" s="2" t="s">
        <v>1065</v>
      </c>
      <c r="K552" s="2"/>
    </row>
    <row r="553" spans="1:11" hidden="1" x14ac:dyDescent="0.3">
      <c r="A553" t="str">
        <f t="shared" si="8"/>
        <v>Jhelom|Gravnor|LOOK</v>
      </c>
      <c r="B553" s="2" t="s">
        <v>713</v>
      </c>
      <c r="C553" s="2" t="s">
        <v>1001</v>
      </c>
      <c r="D553" s="34" t="s">
        <v>1063</v>
      </c>
      <c r="E553" s="34" t="s">
        <v>16</v>
      </c>
      <c r="F553" s="34" t="s">
        <v>1066</v>
      </c>
      <c r="G553" s="8" t="str">
        <f>IF(ISNA(VLOOKUP(B553&amp;"|"&amp;C553&amp;"|"&amp;D553&amp;"|"&amp;E553,QuestionTriggers!A:F,6,FALSE)),"","---&gt;")</f>
        <v/>
      </c>
      <c r="H553" s="2" t="s">
        <v>539</v>
      </c>
      <c r="I553" s="2" t="s">
        <v>1064</v>
      </c>
      <c r="J553" s="2" t="s">
        <v>1065</v>
      </c>
      <c r="K553" s="2"/>
    </row>
    <row r="554" spans="1:11" hidden="1" x14ac:dyDescent="0.3">
      <c r="A554" t="str">
        <f t="shared" si="8"/>
        <v>Jhelom|Gravnor|NAME</v>
      </c>
      <c r="B554" s="2" t="s">
        <v>713</v>
      </c>
      <c r="C554" s="2" t="s">
        <v>1001</v>
      </c>
      <c r="D554" s="34" t="s">
        <v>1063</v>
      </c>
      <c r="E554" s="34" t="s">
        <v>12</v>
      </c>
      <c r="F554" s="34" t="s">
        <v>1063</v>
      </c>
      <c r="G554" s="8" t="str">
        <f>IF(ISNA(VLOOKUP(B554&amp;"|"&amp;C554&amp;"|"&amp;D554&amp;"|"&amp;E554,QuestionTriggers!A:F,6,FALSE)),"","---&gt;")</f>
        <v/>
      </c>
      <c r="H554" s="2" t="s">
        <v>539</v>
      </c>
      <c r="I554" s="2" t="s">
        <v>1064</v>
      </c>
      <c r="J554" s="2" t="s">
        <v>1065</v>
      </c>
      <c r="K554" s="2"/>
    </row>
    <row r="555" spans="1:11" hidden="1" x14ac:dyDescent="0.3">
      <c r="A555" t="str">
        <f t="shared" si="8"/>
        <v>Jhelom|Gravnor|STON</v>
      </c>
      <c r="B555" s="2" t="s">
        <v>713</v>
      </c>
      <c r="C555" s="2" t="s">
        <v>1001</v>
      </c>
      <c r="D555" s="34" t="s">
        <v>1063</v>
      </c>
      <c r="E555" s="34" t="s">
        <v>854</v>
      </c>
      <c r="F555" s="34" t="s">
        <v>1070</v>
      </c>
      <c r="G555" s="8" t="str">
        <f>IF(ISNA(VLOOKUP(B555&amp;"|"&amp;C555&amp;"|"&amp;D555&amp;"|"&amp;E555,QuestionTriggers!A:F,6,FALSE)),"","---&gt;")</f>
        <v>---&gt;</v>
      </c>
      <c r="H555" s="2" t="s">
        <v>539</v>
      </c>
      <c r="I555" s="2" t="s">
        <v>1064</v>
      </c>
      <c r="J555" s="2" t="s">
        <v>1065</v>
      </c>
      <c r="K555" s="2"/>
    </row>
    <row r="556" spans="1:11" hidden="1" x14ac:dyDescent="0.3">
      <c r="A556" t="str">
        <f t="shared" si="8"/>
        <v>Jhelom|Lady Donna|HEALTH</v>
      </c>
      <c r="B556" s="2" t="s">
        <v>713</v>
      </c>
      <c r="C556" s="2" t="s">
        <v>1001</v>
      </c>
      <c r="D556" s="34" t="s">
        <v>1020</v>
      </c>
      <c r="E556" s="34" t="s">
        <v>20</v>
      </c>
      <c r="F556" s="34" t="s">
        <v>1026</v>
      </c>
      <c r="G556" s="8" t="str">
        <f>IF(ISNA(VLOOKUP(B556&amp;"|"&amp;C556&amp;"|"&amp;D556&amp;"|"&amp;E556,QuestionTriggers!A:F,6,FALSE)),"","---&gt;")</f>
        <v/>
      </c>
      <c r="H556" s="2" t="s">
        <v>1021</v>
      </c>
      <c r="I556" s="2" t="s">
        <v>1022</v>
      </c>
      <c r="J556" s="2" t="s">
        <v>1023</v>
      </c>
      <c r="K556" s="2"/>
    </row>
    <row r="557" spans="1:11" hidden="1" x14ac:dyDescent="0.3">
      <c r="A557" t="str">
        <f t="shared" si="8"/>
        <v>Jhelom|Lady Donna|JOB</v>
      </c>
      <c r="B557" s="2" t="s">
        <v>713</v>
      </c>
      <c r="C557" s="2" t="s">
        <v>1001</v>
      </c>
      <c r="D557" s="34" t="s">
        <v>1020</v>
      </c>
      <c r="E557" s="34" t="s">
        <v>18</v>
      </c>
      <c r="F557" s="34" t="s">
        <v>1025</v>
      </c>
      <c r="G557" s="8" t="str">
        <f>IF(ISNA(VLOOKUP(B557&amp;"|"&amp;C557&amp;"|"&amp;D557&amp;"|"&amp;E557,QuestionTriggers!A:F,6,FALSE)),"","---&gt;")</f>
        <v/>
      </c>
      <c r="H557" s="2" t="s">
        <v>1021</v>
      </c>
      <c r="I557" s="2" t="s">
        <v>1022</v>
      </c>
      <c r="J557" s="2" t="s">
        <v>1023</v>
      </c>
      <c r="K557" s="2"/>
    </row>
    <row r="558" spans="1:11" hidden="1" x14ac:dyDescent="0.3">
      <c r="A558" t="str">
        <f t="shared" si="8"/>
        <v>Jhelom|Lady Donna|LOOK</v>
      </c>
      <c r="B558" s="2" t="s">
        <v>713</v>
      </c>
      <c r="C558" s="2" t="s">
        <v>1001</v>
      </c>
      <c r="D558" s="34" t="s">
        <v>1020</v>
      </c>
      <c r="E558" s="34" t="s">
        <v>16</v>
      </c>
      <c r="F558" s="34" t="s">
        <v>1024</v>
      </c>
      <c r="G558" s="8" t="str">
        <f>IF(ISNA(VLOOKUP(B558&amp;"|"&amp;C558&amp;"|"&amp;D558&amp;"|"&amp;E558,QuestionTriggers!A:F,6,FALSE)),"","---&gt;")</f>
        <v/>
      </c>
      <c r="H558" s="2" t="s">
        <v>1021</v>
      </c>
      <c r="I558" s="2" t="s">
        <v>1022</v>
      </c>
      <c r="J558" s="2" t="s">
        <v>1023</v>
      </c>
      <c r="K558" s="2"/>
    </row>
    <row r="559" spans="1:11" hidden="1" x14ac:dyDescent="0.3">
      <c r="A559" t="str">
        <f t="shared" si="8"/>
        <v>Jhelom|Lady Donna|NAME</v>
      </c>
      <c r="B559" s="2" t="s">
        <v>713</v>
      </c>
      <c r="C559" s="2" t="s">
        <v>1001</v>
      </c>
      <c r="D559" s="34" t="s">
        <v>1020</v>
      </c>
      <c r="E559" s="34" t="s">
        <v>12</v>
      </c>
      <c r="F559" s="34" t="s">
        <v>1020</v>
      </c>
      <c r="G559" s="8" t="str">
        <f>IF(ISNA(VLOOKUP(B559&amp;"|"&amp;C559&amp;"|"&amp;D559&amp;"|"&amp;E559,QuestionTriggers!A:F,6,FALSE)),"","---&gt;")</f>
        <v/>
      </c>
      <c r="H559" s="2" t="s">
        <v>1021</v>
      </c>
      <c r="I559" s="2" t="s">
        <v>1022</v>
      </c>
      <c r="J559" s="2" t="s">
        <v>1023</v>
      </c>
      <c r="K559" s="2"/>
    </row>
    <row r="560" spans="1:11" hidden="1" x14ac:dyDescent="0.3">
      <c r="A560" t="str">
        <f t="shared" si="8"/>
        <v>Jhelom|Lady Donna|PREG</v>
      </c>
      <c r="B560" s="2" t="s">
        <v>713</v>
      </c>
      <c r="C560" s="2" t="s">
        <v>1001</v>
      </c>
      <c r="D560" s="34" t="s">
        <v>1020</v>
      </c>
      <c r="E560" s="34" t="s">
        <v>1027</v>
      </c>
      <c r="F560" s="34" t="s">
        <v>1028</v>
      </c>
      <c r="G560" s="8" t="str">
        <f>IF(ISNA(VLOOKUP(B560&amp;"|"&amp;C560&amp;"|"&amp;D560&amp;"|"&amp;E560,QuestionTriggers!A:F,6,FALSE)),"","---&gt;")</f>
        <v/>
      </c>
      <c r="H560" s="2" t="s">
        <v>1021</v>
      </c>
      <c r="I560" s="2" t="s">
        <v>1022</v>
      </c>
      <c r="J560" s="2" t="s">
        <v>1023</v>
      </c>
      <c r="K560" s="2"/>
    </row>
    <row r="561" spans="1:11" hidden="1" x14ac:dyDescent="0.3">
      <c r="A561" t="str">
        <f t="shared" si="8"/>
        <v>Jhelom|Lady Donna|SHEE</v>
      </c>
      <c r="B561" s="2" t="s">
        <v>713</v>
      </c>
      <c r="C561" s="2" t="s">
        <v>1001</v>
      </c>
      <c r="D561" s="34" t="s">
        <v>1020</v>
      </c>
      <c r="E561" s="34" t="s">
        <v>1029</v>
      </c>
      <c r="F561" s="34" t="s">
        <v>1030</v>
      </c>
      <c r="G561" s="8" t="str">
        <f>IF(ISNA(VLOOKUP(B561&amp;"|"&amp;C561&amp;"|"&amp;D561&amp;"|"&amp;E561,QuestionTriggers!A:F,6,FALSE)),"","---&gt;")</f>
        <v>---&gt;</v>
      </c>
      <c r="H561" s="2" t="s">
        <v>1021</v>
      </c>
      <c r="I561" s="2" t="s">
        <v>1022</v>
      </c>
      <c r="J561" s="2" t="s">
        <v>1023</v>
      </c>
      <c r="K561" s="2"/>
    </row>
    <row r="562" spans="1:11" hidden="1" x14ac:dyDescent="0.3">
      <c r="A562" t="str">
        <f t="shared" si="8"/>
        <v>Jhelom|Lord Robert|BATT</v>
      </c>
      <c r="B562" s="2" t="s">
        <v>713</v>
      </c>
      <c r="C562" s="2" t="s">
        <v>1001</v>
      </c>
      <c r="D562" s="34" t="s">
        <v>439</v>
      </c>
      <c r="E562" s="34" t="s">
        <v>1010</v>
      </c>
      <c r="F562" s="34" t="s">
        <v>1019</v>
      </c>
      <c r="G562" s="8" t="str">
        <f>IF(ISNA(VLOOKUP(B562&amp;"|"&amp;C562&amp;"|"&amp;D562&amp;"|"&amp;E562,QuestionTriggers!A:F,6,FALSE)),"","---&gt;")</f>
        <v>---&gt;</v>
      </c>
      <c r="H562" s="2" t="s">
        <v>1012</v>
      </c>
      <c r="I562" s="2" t="s">
        <v>1013</v>
      </c>
      <c r="J562" s="2" t="s">
        <v>1014</v>
      </c>
      <c r="K562" s="2"/>
    </row>
    <row r="563" spans="1:11" hidden="1" x14ac:dyDescent="0.3">
      <c r="A563" t="str">
        <f t="shared" si="8"/>
        <v>Jhelom|Lord Robert|HEALTH</v>
      </c>
      <c r="B563" s="2" t="s">
        <v>713</v>
      </c>
      <c r="C563" s="2" t="s">
        <v>1001</v>
      </c>
      <c r="D563" s="34" t="s">
        <v>439</v>
      </c>
      <c r="E563" s="34" t="s">
        <v>20</v>
      </c>
      <c r="F563" s="34" t="s">
        <v>1017</v>
      </c>
      <c r="G563" s="8" t="str">
        <f>IF(ISNA(VLOOKUP(B563&amp;"|"&amp;C563&amp;"|"&amp;D563&amp;"|"&amp;E563,QuestionTriggers!A:F,6,FALSE)),"","---&gt;")</f>
        <v/>
      </c>
      <c r="H563" s="2" t="s">
        <v>1012</v>
      </c>
      <c r="I563" s="2" t="s">
        <v>1013</v>
      </c>
      <c r="J563" s="2" t="s">
        <v>1014</v>
      </c>
      <c r="K563" s="2"/>
    </row>
    <row r="564" spans="1:11" hidden="1" x14ac:dyDescent="0.3">
      <c r="A564" t="str">
        <f t="shared" si="8"/>
        <v>Jhelom|Lord Robert|JOB</v>
      </c>
      <c r="B564" s="2" t="s">
        <v>713</v>
      </c>
      <c r="C564" s="2" t="s">
        <v>1001</v>
      </c>
      <c r="D564" s="34" t="s">
        <v>439</v>
      </c>
      <c r="E564" s="34" t="s">
        <v>18</v>
      </c>
      <c r="F564" s="34" t="s">
        <v>1016</v>
      </c>
      <c r="G564" s="8" t="str">
        <f>IF(ISNA(VLOOKUP(B564&amp;"|"&amp;C564&amp;"|"&amp;D564&amp;"|"&amp;E564,QuestionTriggers!A:F,6,FALSE)),"","---&gt;")</f>
        <v/>
      </c>
      <c r="H564" s="2" t="s">
        <v>1012</v>
      </c>
      <c r="I564" s="2" t="s">
        <v>1013</v>
      </c>
      <c r="J564" s="2" t="s">
        <v>1014</v>
      </c>
      <c r="K564" s="2"/>
    </row>
    <row r="565" spans="1:11" hidden="1" x14ac:dyDescent="0.3">
      <c r="A565" t="str">
        <f t="shared" si="8"/>
        <v>Jhelom|Lord Robert|LOOK</v>
      </c>
      <c r="B565" s="2" t="s">
        <v>713</v>
      </c>
      <c r="C565" s="2" t="s">
        <v>1001</v>
      </c>
      <c r="D565" s="34" t="s">
        <v>439</v>
      </c>
      <c r="E565" s="34" t="s">
        <v>16</v>
      </c>
      <c r="F565" s="34" t="s">
        <v>1015</v>
      </c>
      <c r="G565" s="8" t="str">
        <f>IF(ISNA(VLOOKUP(B565&amp;"|"&amp;C565&amp;"|"&amp;D565&amp;"|"&amp;E565,QuestionTriggers!A:F,6,FALSE)),"","---&gt;")</f>
        <v/>
      </c>
      <c r="H565" s="2" t="s">
        <v>1012</v>
      </c>
      <c r="I565" s="2" t="s">
        <v>1013</v>
      </c>
      <c r="J565" s="2" t="s">
        <v>1014</v>
      </c>
      <c r="K565" s="2"/>
    </row>
    <row r="566" spans="1:11" hidden="1" x14ac:dyDescent="0.3">
      <c r="A566" t="str">
        <f t="shared" si="8"/>
        <v>Jhelom|Lord Robert|NAME</v>
      </c>
      <c r="B566" s="2" t="s">
        <v>713</v>
      </c>
      <c r="C566" s="2" t="s">
        <v>1001</v>
      </c>
      <c r="D566" s="34" t="s">
        <v>439</v>
      </c>
      <c r="E566" s="34" t="s">
        <v>12</v>
      </c>
      <c r="F566" s="34" t="s">
        <v>439</v>
      </c>
      <c r="G566" s="8" t="str">
        <f>IF(ISNA(VLOOKUP(B566&amp;"|"&amp;C566&amp;"|"&amp;D566&amp;"|"&amp;E566,QuestionTriggers!A:F,6,FALSE)),"","---&gt;")</f>
        <v/>
      </c>
      <c r="H566" s="2" t="s">
        <v>1012</v>
      </c>
      <c r="I566" s="2" t="s">
        <v>1013</v>
      </c>
      <c r="J566" s="2" t="s">
        <v>1014</v>
      </c>
      <c r="K566" s="2"/>
    </row>
    <row r="567" spans="1:11" hidden="1" x14ac:dyDescent="0.3">
      <c r="A567" t="str">
        <f t="shared" si="8"/>
        <v>Jhelom|Lord Robert|WARR</v>
      </c>
      <c r="B567" s="2" t="s">
        <v>713</v>
      </c>
      <c r="C567" s="2" t="s">
        <v>1001</v>
      </c>
      <c r="D567" s="34" t="s">
        <v>439</v>
      </c>
      <c r="E567" s="34" t="s">
        <v>335</v>
      </c>
      <c r="F567" s="34" t="s">
        <v>1018</v>
      </c>
      <c r="G567" s="8" t="str">
        <f>IF(ISNA(VLOOKUP(B567&amp;"|"&amp;C567&amp;"|"&amp;D567&amp;"|"&amp;E567,QuestionTriggers!A:F,6,FALSE)),"","---&gt;")</f>
        <v/>
      </c>
      <c r="H567" s="2" t="s">
        <v>1012</v>
      </c>
      <c r="I567" s="2" t="s">
        <v>1013</v>
      </c>
      <c r="J567" s="2" t="s">
        <v>1014</v>
      </c>
      <c r="K567" s="2"/>
    </row>
    <row r="568" spans="1:11" hidden="1" x14ac:dyDescent="0.3">
      <c r="A568" t="str">
        <f t="shared" si="8"/>
        <v>Jhelom|Luke|HEALTH</v>
      </c>
      <c r="B568" s="2" t="s">
        <v>713</v>
      </c>
      <c r="C568" s="2" t="s">
        <v>1001</v>
      </c>
      <c r="D568" s="2" t="s">
        <v>1087</v>
      </c>
      <c r="E568" s="2" t="s">
        <v>20</v>
      </c>
      <c r="F568" s="2" t="s">
        <v>652</v>
      </c>
      <c r="G568" s="8" t="str">
        <f>IF(ISNA(VLOOKUP(B568&amp;"|"&amp;C568&amp;"|"&amp;D568&amp;"|"&amp;E568,QuestionTriggers!A:F,6,FALSE)),"","---&gt;")</f>
        <v/>
      </c>
      <c r="H568" s="2" t="s">
        <v>1088</v>
      </c>
      <c r="I568" s="2" t="s">
        <v>1089</v>
      </c>
      <c r="J568" s="2" t="s">
        <v>1090</v>
      </c>
      <c r="K568" s="2"/>
    </row>
    <row r="569" spans="1:11" hidden="1" x14ac:dyDescent="0.3">
      <c r="A569" t="str">
        <f t="shared" si="8"/>
        <v>Jhelom|Luke|JOB</v>
      </c>
      <c r="B569" s="2" t="s">
        <v>713</v>
      </c>
      <c r="C569" s="2" t="s">
        <v>1001</v>
      </c>
      <c r="D569" s="2" t="s">
        <v>1087</v>
      </c>
      <c r="E569" s="2" t="s">
        <v>18</v>
      </c>
      <c r="F569" s="2" t="s">
        <v>1092</v>
      </c>
      <c r="G569" s="8" t="str">
        <f>IF(ISNA(VLOOKUP(B569&amp;"|"&amp;C569&amp;"|"&amp;D569&amp;"|"&amp;E569,QuestionTriggers!A:F,6,FALSE)),"","---&gt;")</f>
        <v/>
      </c>
      <c r="H569" s="2" t="s">
        <v>1088</v>
      </c>
      <c r="I569" s="2" t="s">
        <v>1089</v>
      </c>
      <c r="J569" s="2" t="s">
        <v>1090</v>
      </c>
      <c r="K569" s="2"/>
    </row>
    <row r="570" spans="1:11" hidden="1" x14ac:dyDescent="0.3">
      <c r="A570" t="str">
        <f t="shared" si="8"/>
        <v>Jhelom|Luke|LIGH</v>
      </c>
      <c r="B570" s="2" t="s">
        <v>713</v>
      </c>
      <c r="C570" s="2" t="s">
        <v>1001</v>
      </c>
      <c r="D570" s="2" t="s">
        <v>1087</v>
      </c>
      <c r="E570" s="2" t="s">
        <v>182</v>
      </c>
      <c r="F570" s="2" t="s">
        <v>1093</v>
      </c>
      <c r="G570" s="8" t="str">
        <f>IF(ISNA(VLOOKUP(B570&amp;"|"&amp;C570&amp;"|"&amp;D570&amp;"|"&amp;E570,QuestionTriggers!A:F,6,FALSE)),"","---&gt;")</f>
        <v/>
      </c>
      <c r="H570" s="2" t="s">
        <v>1088</v>
      </c>
      <c r="I570" s="2" t="s">
        <v>1089</v>
      </c>
      <c r="J570" s="2" t="s">
        <v>1090</v>
      </c>
      <c r="K570" s="2"/>
    </row>
    <row r="571" spans="1:11" hidden="1" x14ac:dyDescent="0.3">
      <c r="A571" t="str">
        <f t="shared" si="8"/>
        <v>Jhelom|Luke|LOOK</v>
      </c>
      <c r="B571" s="2" t="s">
        <v>713</v>
      </c>
      <c r="C571" s="2" t="s">
        <v>1001</v>
      </c>
      <c r="D571" s="2" t="s">
        <v>1087</v>
      </c>
      <c r="E571" s="2" t="s">
        <v>16</v>
      </c>
      <c r="F571" s="2" t="s">
        <v>1091</v>
      </c>
      <c r="G571" s="8" t="str">
        <f>IF(ISNA(VLOOKUP(B571&amp;"|"&amp;C571&amp;"|"&amp;D571&amp;"|"&amp;E571,QuestionTriggers!A:F,6,FALSE)),"","---&gt;")</f>
        <v/>
      </c>
      <c r="H571" s="2" t="s">
        <v>1088</v>
      </c>
      <c r="I571" s="2" t="s">
        <v>1089</v>
      </c>
      <c r="J571" s="2" t="s">
        <v>1090</v>
      </c>
      <c r="K571" s="2"/>
    </row>
    <row r="572" spans="1:11" hidden="1" x14ac:dyDescent="0.3">
      <c r="A572" t="str">
        <f t="shared" si="8"/>
        <v>Jhelom|Luke|NAME</v>
      </c>
      <c r="B572" s="2" t="s">
        <v>713</v>
      </c>
      <c r="C572" s="2" t="s">
        <v>1001</v>
      </c>
      <c r="D572" s="2" t="s">
        <v>1087</v>
      </c>
      <c r="E572" s="2" t="s">
        <v>12</v>
      </c>
      <c r="F572" s="2" t="s">
        <v>1087</v>
      </c>
      <c r="G572" s="8" t="str">
        <f>IF(ISNA(VLOOKUP(B572&amp;"|"&amp;C572&amp;"|"&amp;D572&amp;"|"&amp;E572,QuestionTriggers!A:F,6,FALSE)),"","---&gt;")</f>
        <v/>
      </c>
      <c r="H572" s="2" t="s">
        <v>1088</v>
      </c>
      <c r="I572" s="2" t="s">
        <v>1089</v>
      </c>
      <c r="J572" s="2" t="s">
        <v>1090</v>
      </c>
      <c r="K572" s="2"/>
    </row>
    <row r="573" spans="1:11" hidden="1" x14ac:dyDescent="0.3">
      <c r="A573" t="str">
        <f t="shared" si="8"/>
        <v>Jhelom|Luke|YEW</v>
      </c>
      <c r="B573" s="2" t="s">
        <v>713</v>
      </c>
      <c r="C573" s="2" t="s">
        <v>1001</v>
      </c>
      <c r="D573" s="2" t="s">
        <v>1087</v>
      </c>
      <c r="E573" s="2" t="s">
        <v>1094</v>
      </c>
      <c r="F573" s="2" t="s">
        <v>1095</v>
      </c>
      <c r="G573" s="8" t="str">
        <f>IF(ISNA(VLOOKUP(B573&amp;"|"&amp;C573&amp;"|"&amp;D573&amp;"|"&amp;E573,QuestionTriggers!A:F,6,FALSE)),"","---&gt;")</f>
        <v>---&gt;</v>
      </c>
      <c r="H573" s="2" t="s">
        <v>1088</v>
      </c>
      <c r="I573" s="2" t="s">
        <v>1089</v>
      </c>
      <c r="J573" s="2" t="s">
        <v>1090</v>
      </c>
      <c r="K573" s="2"/>
    </row>
    <row r="574" spans="1:11" hidden="1" x14ac:dyDescent="0.3">
      <c r="A574" t="str">
        <f t="shared" si="8"/>
        <v>Jhelom|Max|HEALTH</v>
      </c>
      <c r="B574" s="2" t="s">
        <v>713</v>
      </c>
      <c r="C574" s="2" t="s">
        <v>1001</v>
      </c>
      <c r="D574" s="2" t="s">
        <v>1096</v>
      </c>
      <c r="E574" s="2" t="s">
        <v>20</v>
      </c>
      <c r="F574" s="2" t="s">
        <v>349</v>
      </c>
      <c r="G574" s="8" t="str">
        <f>IF(ISNA(VLOOKUP(B574&amp;"|"&amp;C574&amp;"|"&amp;D574&amp;"|"&amp;E574,QuestionTriggers!A:F,6,FALSE)),"","---&gt;")</f>
        <v/>
      </c>
      <c r="H574" s="2" t="s">
        <v>1097</v>
      </c>
      <c r="I574" s="2" t="s">
        <v>1098</v>
      </c>
      <c r="J574" s="2" t="s">
        <v>1099</v>
      </c>
      <c r="K574" s="2"/>
    </row>
    <row r="575" spans="1:11" hidden="1" x14ac:dyDescent="0.3">
      <c r="A575" t="str">
        <f t="shared" si="8"/>
        <v>Jhelom|Max|HOUS</v>
      </c>
      <c r="B575" s="2" t="s">
        <v>713</v>
      </c>
      <c r="C575" s="2" t="s">
        <v>1001</v>
      </c>
      <c r="D575" s="2" t="s">
        <v>1096</v>
      </c>
      <c r="E575" s="2" t="s">
        <v>1102</v>
      </c>
      <c r="F575" s="2" t="s">
        <v>1103</v>
      </c>
      <c r="G575" s="8" t="str">
        <f>IF(ISNA(VLOOKUP(B575&amp;"|"&amp;C575&amp;"|"&amp;D575&amp;"|"&amp;E575,QuestionTriggers!A:F,6,FALSE)),"","---&gt;")</f>
        <v/>
      </c>
      <c r="H575" s="2" t="s">
        <v>1097</v>
      </c>
      <c r="I575" s="2" t="s">
        <v>1098</v>
      </c>
      <c r="J575" s="2" t="s">
        <v>1099</v>
      </c>
      <c r="K575" s="2"/>
    </row>
    <row r="576" spans="1:11" hidden="1" x14ac:dyDescent="0.3">
      <c r="A576" t="str">
        <f t="shared" si="8"/>
        <v>Jhelom|Max|JOB</v>
      </c>
      <c r="B576" s="2" t="s">
        <v>713</v>
      </c>
      <c r="C576" s="2" t="s">
        <v>1001</v>
      </c>
      <c r="D576" s="2" t="s">
        <v>1096</v>
      </c>
      <c r="E576" s="2" t="s">
        <v>18</v>
      </c>
      <c r="F576" s="2" t="s">
        <v>1101</v>
      </c>
      <c r="G576" s="8" t="str">
        <f>IF(ISNA(VLOOKUP(B576&amp;"|"&amp;C576&amp;"|"&amp;D576&amp;"|"&amp;E576,QuestionTriggers!A:F,6,FALSE)),"","---&gt;")</f>
        <v/>
      </c>
      <c r="H576" s="2" t="s">
        <v>1097</v>
      </c>
      <c r="I576" s="2" t="s">
        <v>1098</v>
      </c>
      <c r="J576" s="2" t="s">
        <v>1099</v>
      </c>
      <c r="K576" s="2"/>
    </row>
    <row r="577" spans="1:11" hidden="1" x14ac:dyDescent="0.3">
      <c r="A577" t="str">
        <f t="shared" si="8"/>
        <v>Jhelom|Max|LOOK</v>
      </c>
      <c r="B577" s="2" t="s">
        <v>713</v>
      </c>
      <c r="C577" s="2" t="s">
        <v>1001</v>
      </c>
      <c r="D577" s="2" t="s">
        <v>1096</v>
      </c>
      <c r="E577" s="2" t="s">
        <v>16</v>
      </c>
      <c r="F577" s="2" t="s">
        <v>1100</v>
      </c>
      <c r="G577" s="8" t="str">
        <f>IF(ISNA(VLOOKUP(B577&amp;"|"&amp;C577&amp;"|"&amp;D577&amp;"|"&amp;E577,QuestionTriggers!A:F,6,FALSE)),"","---&gt;")</f>
        <v/>
      </c>
      <c r="H577" s="2" t="s">
        <v>1097</v>
      </c>
      <c r="I577" s="2" t="s">
        <v>1098</v>
      </c>
      <c r="J577" s="2" t="s">
        <v>1099</v>
      </c>
      <c r="K577" s="2"/>
    </row>
    <row r="578" spans="1:11" hidden="1" x14ac:dyDescent="0.3">
      <c r="A578" t="str">
        <f t="shared" si="8"/>
        <v>Jhelom|Max|NAME</v>
      </c>
      <c r="B578" s="2" t="s">
        <v>713</v>
      </c>
      <c r="C578" s="2" t="s">
        <v>1001</v>
      </c>
      <c r="D578" s="2" t="s">
        <v>1096</v>
      </c>
      <c r="E578" s="2" t="s">
        <v>12</v>
      </c>
      <c r="F578" s="2" t="s">
        <v>1096</v>
      </c>
      <c r="G578" s="8" t="str">
        <f>IF(ISNA(VLOOKUP(B578&amp;"|"&amp;C578&amp;"|"&amp;D578&amp;"|"&amp;E578,QuestionTriggers!A:F,6,FALSE)),"","---&gt;")</f>
        <v/>
      </c>
      <c r="H578" s="2" t="s">
        <v>1097</v>
      </c>
      <c r="I578" s="2" t="s">
        <v>1098</v>
      </c>
      <c r="J578" s="2" t="s">
        <v>1099</v>
      </c>
      <c r="K578" s="2"/>
    </row>
    <row r="579" spans="1:11" hidden="1" x14ac:dyDescent="0.3">
      <c r="A579" t="str">
        <f t="shared" ref="A579:A642" si="9">C579&amp;"|"&amp;D579&amp;"|"&amp;E579</f>
        <v>Jhelom|Max|ROOM</v>
      </c>
      <c r="B579" s="2" t="s">
        <v>713</v>
      </c>
      <c r="C579" s="2" t="s">
        <v>1001</v>
      </c>
      <c r="D579" s="2" t="s">
        <v>1096</v>
      </c>
      <c r="E579" s="2" t="s">
        <v>629</v>
      </c>
      <c r="F579" s="3" t="s">
        <v>1104</v>
      </c>
      <c r="G579" s="8" t="str">
        <f>IF(ISNA(VLOOKUP(B579&amp;"|"&amp;C579&amp;"|"&amp;D579&amp;"|"&amp;E579,QuestionTriggers!A:F,6,FALSE)),"","---&gt;")</f>
        <v>---&gt;</v>
      </c>
      <c r="H579" s="2" t="s">
        <v>1097</v>
      </c>
      <c r="I579" s="2" t="s">
        <v>1098</v>
      </c>
      <c r="J579" s="2" t="s">
        <v>1099</v>
      </c>
      <c r="K579" s="2"/>
    </row>
    <row r="580" spans="1:11" hidden="1" x14ac:dyDescent="0.3">
      <c r="A580" t="str">
        <f t="shared" si="9"/>
        <v>Jhelom|Nostro|HEALTH</v>
      </c>
      <c r="B580" s="2" t="s">
        <v>713</v>
      </c>
      <c r="C580" s="2" t="s">
        <v>1001</v>
      </c>
      <c r="D580" s="2" t="s">
        <v>1079</v>
      </c>
      <c r="E580" s="2" t="s">
        <v>20</v>
      </c>
      <c r="F580" s="2" t="s">
        <v>1084</v>
      </c>
      <c r="G580" s="8" t="str">
        <f>IF(ISNA(VLOOKUP(B580&amp;"|"&amp;C580&amp;"|"&amp;D580&amp;"|"&amp;E580,QuestionTriggers!A:F,6,FALSE)),"","---&gt;")</f>
        <v/>
      </c>
      <c r="H580" s="2" t="s">
        <v>1080</v>
      </c>
      <c r="I580" s="2" t="s">
        <v>1081</v>
      </c>
      <c r="J580" s="6" t="s">
        <v>2523</v>
      </c>
      <c r="K580" s="2"/>
    </row>
    <row r="581" spans="1:11" hidden="1" x14ac:dyDescent="0.3">
      <c r="A581" t="str">
        <f t="shared" si="9"/>
        <v>Jhelom|Nostro|JOB</v>
      </c>
      <c r="B581" s="2" t="s">
        <v>713</v>
      </c>
      <c r="C581" s="2" t="s">
        <v>1001</v>
      </c>
      <c r="D581" s="2" t="s">
        <v>1079</v>
      </c>
      <c r="E581" s="2" t="s">
        <v>18</v>
      </c>
      <c r="F581" s="2" t="s">
        <v>1083</v>
      </c>
      <c r="G581" s="8" t="str">
        <f>IF(ISNA(VLOOKUP(B581&amp;"|"&amp;C581&amp;"|"&amp;D581&amp;"|"&amp;E581,QuestionTriggers!A:F,6,FALSE)),"","---&gt;")</f>
        <v/>
      </c>
      <c r="H581" s="2" t="s">
        <v>1080</v>
      </c>
      <c r="I581" s="2" t="s">
        <v>1081</v>
      </c>
      <c r="J581" s="6" t="s">
        <v>2523</v>
      </c>
      <c r="K581" s="2"/>
    </row>
    <row r="582" spans="1:11" hidden="1" x14ac:dyDescent="0.3">
      <c r="A582" t="str">
        <f t="shared" si="9"/>
        <v>Jhelom|Nostro|LOOK</v>
      </c>
      <c r="B582" s="2" t="s">
        <v>713</v>
      </c>
      <c r="C582" s="2" t="s">
        <v>1001</v>
      </c>
      <c r="D582" s="2" t="s">
        <v>1079</v>
      </c>
      <c r="E582" s="2" t="s">
        <v>16</v>
      </c>
      <c r="F582" s="2" t="s">
        <v>1082</v>
      </c>
      <c r="G582" s="8" t="str">
        <f>IF(ISNA(VLOOKUP(B582&amp;"|"&amp;C582&amp;"|"&amp;D582&amp;"|"&amp;E582,QuestionTriggers!A:F,6,FALSE)),"","---&gt;")</f>
        <v/>
      </c>
      <c r="H582" s="2" t="s">
        <v>1080</v>
      </c>
      <c r="I582" s="2" t="s">
        <v>1081</v>
      </c>
      <c r="J582" s="6" t="s">
        <v>2523</v>
      </c>
      <c r="K582" s="2"/>
    </row>
    <row r="583" spans="1:11" hidden="1" x14ac:dyDescent="0.3">
      <c r="A583" t="str">
        <f t="shared" si="9"/>
        <v>Jhelom|Nostro|NAME</v>
      </c>
      <c r="B583" s="2" t="s">
        <v>713</v>
      </c>
      <c r="C583" s="2" t="s">
        <v>1001</v>
      </c>
      <c r="D583" s="2" t="s">
        <v>1079</v>
      </c>
      <c r="E583" s="2" t="s">
        <v>12</v>
      </c>
      <c r="F583" s="2" t="s">
        <v>1079</v>
      </c>
      <c r="G583" s="8" t="str">
        <f>IF(ISNA(VLOOKUP(B583&amp;"|"&amp;C583&amp;"|"&amp;D583&amp;"|"&amp;E583,QuestionTriggers!A:F,6,FALSE)),"","---&gt;")</f>
        <v/>
      </c>
      <c r="H583" s="2" t="s">
        <v>1080</v>
      </c>
      <c r="I583" s="2" t="s">
        <v>1081</v>
      </c>
      <c r="J583" s="6" t="s">
        <v>2523</v>
      </c>
      <c r="K583" s="2"/>
    </row>
    <row r="584" spans="1:11" hidden="1" x14ac:dyDescent="0.3">
      <c r="A584" t="str">
        <f t="shared" si="9"/>
        <v>Jhelom|Nostro|PASS</v>
      </c>
      <c r="B584" s="2" t="s">
        <v>713</v>
      </c>
      <c r="C584" s="2" t="s">
        <v>1001</v>
      </c>
      <c r="D584" s="2" t="s">
        <v>1079</v>
      </c>
      <c r="E584" s="2" t="s">
        <v>513</v>
      </c>
      <c r="F584" s="2" t="s">
        <v>1085</v>
      </c>
      <c r="G584" s="8" t="str">
        <f>IF(ISNA(VLOOKUP(B584&amp;"|"&amp;C584&amp;"|"&amp;D584&amp;"|"&amp;E584,QuestionTriggers!A:F,6,FALSE)),"","---&gt;")</f>
        <v/>
      </c>
      <c r="H584" s="2" t="s">
        <v>1080</v>
      </c>
      <c r="I584" s="2" t="s">
        <v>1081</v>
      </c>
      <c r="J584" s="6" t="s">
        <v>2523</v>
      </c>
      <c r="K584" s="2"/>
    </row>
    <row r="585" spans="1:11" hidden="1" x14ac:dyDescent="0.3">
      <c r="A585" t="str">
        <f t="shared" si="9"/>
        <v>Jhelom|Nostro|RUNE</v>
      </c>
      <c r="B585" s="2" t="s">
        <v>713</v>
      </c>
      <c r="C585" s="2" t="s">
        <v>1001</v>
      </c>
      <c r="D585" s="2" t="s">
        <v>1079</v>
      </c>
      <c r="E585" s="2" t="s">
        <v>847</v>
      </c>
      <c r="F585" s="3" t="s">
        <v>1086</v>
      </c>
      <c r="G585" s="8" t="str">
        <f>IF(ISNA(VLOOKUP(B585&amp;"|"&amp;C585&amp;"|"&amp;D585&amp;"|"&amp;E585,QuestionTriggers!A:F,6,FALSE)),"","---&gt;")</f>
        <v>---&gt;</v>
      </c>
      <c r="H585" s="2" t="s">
        <v>1080</v>
      </c>
      <c r="I585" s="2" t="s">
        <v>1081</v>
      </c>
      <c r="J585" s="6" t="s">
        <v>2523</v>
      </c>
      <c r="K585" s="2"/>
    </row>
    <row r="586" spans="1:11" ht="26.4" hidden="1" x14ac:dyDescent="0.3">
      <c r="A586" t="str">
        <f t="shared" si="9"/>
        <v>Jhelom|Senora|CRIM</v>
      </c>
      <c r="B586" s="2" t="s">
        <v>713</v>
      </c>
      <c r="C586" s="2" t="s">
        <v>1001</v>
      </c>
      <c r="D586" s="2" t="s">
        <v>1071</v>
      </c>
      <c r="E586" s="2" t="s">
        <v>138</v>
      </c>
      <c r="F586" s="2" t="s">
        <v>1078</v>
      </c>
      <c r="G586" s="8" t="str">
        <f>IF(ISNA(VLOOKUP(B586&amp;"|"&amp;C586&amp;"|"&amp;D586&amp;"|"&amp;E586,QuestionTriggers!A:F,6,FALSE)),"","---&gt;")</f>
        <v>---&gt;</v>
      </c>
      <c r="H586" s="2" t="s">
        <v>1072</v>
      </c>
      <c r="I586" s="2" t="s">
        <v>1073</v>
      </c>
      <c r="J586" s="2" t="s">
        <v>881</v>
      </c>
      <c r="K586" s="2"/>
    </row>
    <row r="587" spans="1:11" ht="26.4" hidden="1" x14ac:dyDescent="0.3">
      <c r="A587" t="str">
        <f t="shared" si="9"/>
        <v>Jhelom|Senora|HEALTH</v>
      </c>
      <c r="B587" s="2" t="s">
        <v>713</v>
      </c>
      <c r="C587" s="2" t="s">
        <v>1001</v>
      </c>
      <c r="D587" s="2" t="s">
        <v>1071</v>
      </c>
      <c r="E587" s="2" t="s">
        <v>20</v>
      </c>
      <c r="F587" s="2" t="s">
        <v>691</v>
      </c>
      <c r="G587" s="8" t="str">
        <f>IF(ISNA(VLOOKUP(B587&amp;"|"&amp;C587&amp;"|"&amp;D587&amp;"|"&amp;E587,QuestionTriggers!A:F,6,FALSE)),"","---&gt;")</f>
        <v/>
      </c>
      <c r="H587" s="2" t="s">
        <v>1072</v>
      </c>
      <c r="I587" s="2" t="s">
        <v>1073</v>
      </c>
      <c r="J587" s="2" t="s">
        <v>881</v>
      </c>
      <c r="K587" s="2"/>
    </row>
    <row r="588" spans="1:11" ht="26.4" hidden="1" x14ac:dyDescent="0.3">
      <c r="A588" t="str">
        <f t="shared" si="9"/>
        <v>Jhelom|Senora|JOB</v>
      </c>
      <c r="B588" s="2" t="s">
        <v>713</v>
      </c>
      <c r="C588" s="2" t="s">
        <v>1001</v>
      </c>
      <c r="D588" s="2" t="s">
        <v>1071</v>
      </c>
      <c r="E588" s="2" t="s">
        <v>18</v>
      </c>
      <c r="F588" s="2" t="s">
        <v>1075</v>
      </c>
      <c r="G588" s="8" t="str">
        <f>IF(ISNA(VLOOKUP(B588&amp;"|"&amp;C588&amp;"|"&amp;D588&amp;"|"&amp;E588,QuestionTriggers!A:F,6,FALSE)),"","---&gt;")</f>
        <v/>
      </c>
      <c r="H588" s="2" t="s">
        <v>1072</v>
      </c>
      <c r="I588" s="2" t="s">
        <v>1073</v>
      </c>
      <c r="J588" s="2" t="s">
        <v>881</v>
      </c>
      <c r="K588" s="2"/>
    </row>
    <row r="589" spans="1:11" ht="26.4" hidden="1" x14ac:dyDescent="0.3">
      <c r="A589" t="str">
        <f t="shared" si="9"/>
        <v>Jhelom|Senora|LOOK</v>
      </c>
      <c r="B589" s="2" t="s">
        <v>713</v>
      </c>
      <c r="C589" s="2" t="s">
        <v>1001</v>
      </c>
      <c r="D589" s="2" t="s">
        <v>1071</v>
      </c>
      <c r="E589" s="2" t="s">
        <v>16</v>
      </c>
      <c r="F589" s="2" t="s">
        <v>1074</v>
      </c>
      <c r="G589" s="8" t="str">
        <f>IF(ISNA(VLOOKUP(B589&amp;"|"&amp;C589&amp;"|"&amp;D589&amp;"|"&amp;E589,QuestionTriggers!A:F,6,FALSE)),"","---&gt;")</f>
        <v/>
      </c>
      <c r="H589" s="2" t="s">
        <v>1072</v>
      </c>
      <c r="I589" s="2" t="s">
        <v>1073</v>
      </c>
      <c r="J589" s="2" t="s">
        <v>881</v>
      </c>
      <c r="K589" s="2"/>
    </row>
    <row r="590" spans="1:11" ht="26.4" hidden="1" x14ac:dyDescent="0.3">
      <c r="A590" t="str">
        <f t="shared" si="9"/>
        <v>Jhelom|Senora|NAME</v>
      </c>
      <c r="B590" s="2" t="s">
        <v>713</v>
      </c>
      <c r="C590" s="2" t="s">
        <v>1001</v>
      </c>
      <c r="D590" s="2" t="s">
        <v>1071</v>
      </c>
      <c r="E590" s="2" t="s">
        <v>12</v>
      </c>
      <c r="F590" s="2" t="s">
        <v>1071</v>
      </c>
      <c r="G590" s="8" t="str">
        <f>IF(ISNA(VLOOKUP(B590&amp;"|"&amp;C590&amp;"|"&amp;D590&amp;"|"&amp;E590,QuestionTriggers!A:F,6,FALSE)),"","---&gt;")</f>
        <v/>
      </c>
      <c r="H590" s="2" t="s">
        <v>1072</v>
      </c>
      <c r="I590" s="2" t="s">
        <v>1073</v>
      </c>
      <c r="J590" s="2" t="s">
        <v>881</v>
      </c>
      <c r="K590" s="2"/>
    </row>
    <row r="591" spans="1:11" ht="26.4" hidden="1" x14ac:dyDescent="0.3">
      <c r="A591" t="str">
        <f t="shared" si="9"/>
        <v>Jhelom|Senora|TOWE</v>
      </c>
      <c r="B591" s="2" t="s">
        <v>713</v>
      </c>
      <c r="C591" s="2" t="s">
        <v>1001</v>
      </c>
      <c r="D591" s="2" t="s">
        <v>1071</v>
      </c>
      <c r="E591" s="2" t="s">
        <v>1076</v>
      </c>
      <c r="F591" s="2" t="s">
        <v>1077</v>
      </c>
      <c r="G591" s="8" t="str">
        <f>IF(ISNA(VLOOKUP(B591&amp;"|"&amp;C591&amp;"|"&amp;D591&amp;"|"&amp;E591,QuestionTriggers!A:F,6,FALSE)),"","---&gt;")</f>
        <v/>
      </c>
      <c r="H591" s="2" t="s">
        <v>1072</v>
      </c>
      <c r="I591" s="2" t="s">
        <v>1073</v>
      </c>
      <c r="J591" s="2" t="s">
        <v>881</v>
      </c>
      <c r="K591" s="2"/>
    </row>
    <row r="592" spans="1:11" ht="26.4" hidden="1" x14ac:dyDescent="0.3">
      <c r="A592" t="str">
        <f t="shared" si="9"/>
        <v>Jhelom|Sir Hrothgar|HEALTH</v>
      </c>
      <c r="B592" s="2" t="s">
        <v>713</v>
      </c>
      <c r="C592" s="2" t="s">
        <v>1001</v>
      </c>
      <c r="D592" s="34" t="s">
        <v>1046</v>
      </c>
      <c r="E592" s="34" t="s">
        <v>20</v>
      </c>
      <c r="F592" s="34" t="s">
        <v>616</v>
      </c>
      <c r="G592" s="8" t="str">
        <f>IF(ISNA(VLOOKUP(B592&amp;"|"&amp;C592&amp;"|"&amp;D592&amp;"|"&amp;E592,QuestionTriggers!A:F,6,FALSE)),"","---&gt;")</f>
        <v/>
      </c>
      <c r="H592" s="2" t="s">
        <v>1047</v>
      </c>
      <c r="I592" s="2" t="s">
        <v>1048</v>
      </c>
      <c r="J592" s="3" t="s">
        <v>2524</v>
      </c>
      <c r="K592" s="2" t="s">
        <v>51</v>
      </c>
    </row>
    <row r="593" spans="1:11" ht="26.4" hidden="1" x14ac:dyDescent="0.3">
      <c r="A593" t="str">
        <f t="shared" si="9"/>
        <v>Jhelom|Sir Hrothgar|JOB</v>
      </c>
      <c r="B593" s="2" t="s">
        <v>713</v>
      </c>
      <c r="C593" s="2" t="s">
        <v>1001</v>
      </c>
      <c r="D593" s="34" t="s">
        <v>1046</v>
      </c>
      <c r="E593" s="34" t="s">
        <v>18</v>
      </c>
      <c r="F593" s="34" t="s">
        <v>1050</v>
      </c>
      <c r="G593" s="8" t="str">
        <f>IF(ISNA(VLOOKUP(B593&amp;"|"&amp;C593&amp;"|"&amp;D593&amp;"|"&amp;E593,QuestionTriggers!A:F,6,FALSE)),"","---&gt;")</f>
        <v/>
      </c>
      <c r="H593" s="2" t="s">
        <v>1047</v>
      </c>
      <c r="I593" s="2" t="s">
        <v>1048</v>
      </c>
      <c r="J593" s="3" t="s">
        <v>2524</v>
      </c>
      <c r="K593" s="2" t="s">
        <v>51</v>
      </c>
    </row>
    <row r="594" spans="1:11" ht="26.4" hidden="1" x14ac:dyDescent="0.3">
      <c r="A594" t="str">
        <f t="shared" si="9"/>
        <v>Jhelom|Sir Hrothgar|LOOK</v>
      </c>
      <c r="B594" s="2" t="s">
        <v>713</v>
      </c>
      <c r="C594" s="2" t="s">
        <v>1001</v>
      </c>
      <c r="D594" s="34" t="s">
        <v>1046</v>
      </c>
      <c r="E594" s="34" t="s">
        <v>16</v>
      </c>
      <c r="F594" s="34" t="s">
        <v>1049</v>
      </c>
      <c r="G594" s="8" t="str">
        <f>IF(ISNA(VLOOKUP(B594&amp;"|"&amp;C594&amp;"|"&amp;D594&amp;"|"&amp;E594,QuestionTriggers!A:F,6,FALSE)),"","---&gt;")</f>
        <v/>
      </c>
      <c r="H594" s="2" t="s">
        <v>1047</v>
      </c>
      <c r="I594" s="2" t="s">
        <v>1048</v>
      </c>
      <c r="J594" s="3" t="s">
        <v>2524</v>
      </c>
      <c r="K594" s="2" t="s">
        <v>51</v>
      </c>
    </row>
    <row r="595" spans="1:11" ht="26.4" hidden="1" x14ac:dyDescent="0.3">
      <c r="A595" t="str">
        <f t="shared" si="9"/>
        <v>Jhelom|Sir Hrothgar|NAME</v>
      </c>
      <c r="B595" s="2" t="s">
        <v>713</v>
      </c>
      <c r="C595" s="2" t="s">
        <v>1001</v>
      </c>
      <c r="D595" s="34" t="s">
        <v>1046</v>
      </c>
      <c r="E595" s="34" t="s">
        <v>12</v>
      </c>
      <c r="F595" s="34" t="s">
        <v>1046</v>
      </c>
      <c r="G595" s="8" t="str">
        <f>IF(ISNA(VLOOKUP(B595&amp;"|"&amp;C595&amp;"|"&amp;D595&amp;"|"&amp;E595,QuestionTriggers!A:F,6,FALSE)),"","---&gt;")</f>
        <v/>
      </c>
      <c r="H595" s="2" t="s">
        <v>1047</v>
      </c>
      <c r="I595" s="2" t="s">
        <v>1048</v>
      </c>
      <c r="J595" s="3" t="s">
        <v>2524</v>
      </c>
      <c r="K595" s="2" t="s">
        <v>51</v>
      </c>
    </row>
    <row r="596" spans="1:11" ht="26.4" hidden="1" x14ac:dyDescent="0.3">
      <c r="A596" t="str">
        <f t="shared" si="9"/>
        <v>Jhelom|Sir Hrothgar|SHRI</v>
      </c>
      <c r="B596" s="2" t="s">
        <v>713</v>
      </c>
      <c r="C596" s="2" t="s">
        <v>1001</v>
      </c>
      <c r="D596" s="34" t="s">
        <v>1046</v>
      </c>
      <c r="E596" s="34" t="s">
        <v>184</v>
      </c>
      <c r="F596" s="34" t="s">
        <v>1052</v>
      </c>
      <c r="G596" s="8" t="str">
        <f>IF(ISNA(VLOOKUP(B596&amp;"|"&amp;C596&amp;"|"&amp;D596&amp;"|"&amp;E596,QuestionTriggers!A:F,6,FALSE)),"","---&gt;")</f>
        <v>---&gt;</v>
      </c>
      <c r="H596" s="2" t="s">
        <v>1047</v>
      </c>
      <c r="I596" s="2" t="s">
        <v>1048</v>
      </c>
      <c r="J596" s="3" t="s">
        <v>2524</v>
      </c>
      <c r="K596" s="2" t="s">
        <v>51</v>
      </c>
    </row>
    <row r="597" spans="1:11" ht="26.4" hidden="1" x14ac:dyDescent="0.3">
      <c r="A597" t="str">
        <f t="shared" si="9"/>
        <v>Jhelom|Sir Hrothgar|VALO</v>
      </c>
      <c r="B597" s="2" t="s">
        <v>713</v>
      </c>
      <c r="C597" s="2" t="s">
        <v>1001</v>
      </c>
      <c r="D597" s="34" t="s">
        <v>1046</v>
      </c>
      <c r="E597" s="34" t="s">
        <v>243</v>
      </c>
      <c r="F597" s="34" t="s">
        <v>1051</v>
      </c>
      <c r="G597" s="8" t="str">
        <f>IF(ISNA(VLOOKUP(B597&amp;"|"&amp;C597&amp;"|"&amp;D597&amp;"|"&amp;E597,QuestionTriggers!A:F,6,FALSE)),"","---&gt;")</f>
        <v/>
      </c>
      <c r="H597" s="2" t="s">
        <v>1047</v>
      </c>
      <c r="I597" s="2" t="s">
        <v>1048</v>
      </c>
      <c r="J597" s="3" t="s">
        <v>2524</v>
      </c>
      <c r="K597" s="2" t="s">
        <v>51</v>
      </c>
    </row>
    <row r="598" spans="1:11" hidden="1" x14ac:dyDescent="0.3">
      <c r="A598" t="str">
        <f t="shared" si="9"/>
        <v>Jhelom|Sir William|EVIL</v>
      </c>
      <c r="B598" s="2" t="s">
        <v>713</v>
      </c>
      <c r="C598" s="2" t="s">
        <v>1001</v>
      </c>
      <c r="D598" s="2" t="s">
        <v>1040</v>
      </c>
      <c r="E598" s="2" t="s">
        <v>750</v>
      </c>
      <c r="F598" s="3" t="s">
        <v>1045</v>
      </c>
      <c r="G598" s="8" t="str">
        <f>IF(ISNA(VLOOKUP(B598&amp;"|"&amp;C598&amp;"|"&amp;D598&amp;"|"&amp;E598,QuestionTriggers!A:F,6,FALSE)),"","---&gt;")</f>
        <v/>
      </c>
      <c r="H598" s="2" t="s">
        <v>1041</v>
      </c>
      <c r="I598" s="2" t="s">
        <v>1042</v>
      </c>
      <c r="J598" s="2" t="s">
        <v>475</v>
      </c>
      <c r="K598" s="2"/>
    </row>
    <row r="599" spans="1:11" hidden="1" x14ac:dyDescent="0.3">
      <c r="A599" t="str">
        <f t="shared" si="9"/>
        <v>Jhelom|Sir William|VALOR</v>
      </c>
      <c r="B599" s="2" t="s">
        <v>713</v>
      </c>
      <c r="C599" s="2" t="s">
        <v>1001</v>
      </c>
      <c r="D599" s="2" t="s">
        <v>1040</v>
      </c>
      <c r="E599" s="6" t="s">
        <v>2522</v>
      </c>
      <c r="F599" s="3" t="s">
        <v>1120</v>
      </c>
      <c r="G599" s="8" t="str">
        <f>IF(ISNA(VLOOKUP(B599&amp;"|"&amp;C599&amp;"|"&amp;D599&amp;"|"&amp;E599,QuestionTriggers!A:F,6,FALSE)),"","---&gt;")</f>
        <v/>
      </c>
      <c r="H599" s="2" t="s">
        <v>1041</v>
      </c>
      <c r="I599" s="2" t="s">
        <v>1042</v>
      </c>
      <c r="J599" s="2" t="s">
        <v>475</v>
      </c>
      <c r="K599" s="2"/>
    </row>
    <row r="600" spans="1:11" hidden="1" x14ac:dyDescent="0.3">
      <c r="A600" t="str">
        <f t="shared" si="9"/>
        <v>Jhelom|Sir William|JOB</v>
      </c>
      <c r="B600" s="2" t="s">
        <v>713</v>
      </c>
      <c r="C600" s="2" t="s">
        <v>1001</v>
      </c>
      <c r="D600" s="2" t="s">
        <v>1040</v>
      </c>
      <c r="E600" s="2" t="s">
        <v>18</v>
      </c>
      <c r="F600" s="2" t="s">
        <v>1044</v>
      </c>
      <c r="G600" s="8" t="str">
        <f>IF(ISNA(VLOOKUP(B600&amp;"|"&amp;C600&amp;"|"&amp;D600&amp;"|"&amp;E600,QuestionTriggers!A:F,6,FALSE)),"","---&gt;")</f>
        <v/>
      </c>
      <c r="H600" s="2" t="s">
        <v>1041</v>
      </c>
      <c r="I600" s="2" t="s">
        <v>1042</v>
      </c>
      <c r="J600" s="2" t="s">
        <v>475</v>
      </c>
      <c r="K600" s="2"/>
    </row>
    <row r="601" spans="1:11" hidden="1" x14ac:dyDescent="0.3">
      <c r="A601" t="str">
        <f t="shared" si="9"/>
        <v>Jhelom|Sir William|FEAR</v>
      </c>
      <c r="B601" s="2" t="s">
        <v>713</v>
      </c>
      <c r="C601" s="2" t="s">
        <v>1001</v>
      </c>
      <c r="D601" s="2" t="s">
        <v>1040</v>
      </c>
      <c r="E601" s="2" t="s">
        <v>2568</v>
      </c>
      <c r="F601" s="2" t="s">
        <v>1051</v>
      </c>
      <c r="G601" s="8" t="str">
        <f>IF(ISNA(VLOOKUP(B601&amp;"|"&amp;C601&amp;"|"&amp;D601&amp;"|"&amp;E601,QuestionTriggers!A:F,6,FALSE)),"","---&gt;")</f>
        <v/>
      </c>
      <c r="H601" s="2" t="s">
        <v>1041</v>
      </c>
      <c r="I601" s="2" t="s">
        <v>1042</v>
      </c>
      <c r="J601" s="2" t="s">
        <v>475</v>
      </c>
      <c r="K601" s="2"/>
    </row>
    <row r="602" spans="1:11" hidden="1" x14ac:dyDescent="0.3">
      <c r="A602" t="str">
        <f t="shared" si="9"/>
        <v>Jhelom|Sir William|LOOK</v>
      </c>
      <c r="B602" s="2" t="s">
        <v>713</v>
      </c>
      <c r="C602" s="2" t="s">
        <v>1001</v>
      </c>
      <c r="D602" s="2" t="s">
        <v>1040</v>
      </c>
      <c r="E602" s="2" t="s">
        <v>16</v>
      </c>
      <c r="F602" s="2" t="s">
        <v>1043</v>
      </c>
      <c r="G602" s="8" t="str">
        <f>IF(ISNA(VLOOKUP(B602&amp;"|"&amp;C602&amp;"|"&amp;D602&amp;"|"&amp;E602,QuestionTriggers!A:F,6,FALSE)),"","---&gt;")</f>
        <v/>
      </c>
      <c r="H602" s="2" t="s">
        <v>1041</v>
      </c>
      <c r="I602" s="2" t="s">
        <v>1042</v>
      </c>
      <c r="J602" s="2" t="s">
        <v>475</v>
      </c>
      <c r="K602" s="2"/>
    </row>
    <row r="603" spans="1:11" hidden="1" x14ac:dyDescent="0.3">
      <c r="A603" t="str">
        <f t="shared" si="9"/>
        <v>Jhelom|Sir William|NAME</v>
      </c>
      <c r="B603" s="2" t="s">
        <v>713</v>
      </c>
      <c r="C603" s="2" t="s">
        <v>1001</v>
      </c>
      <c r="D603" s="2" t="s">
        <v>1040</v>
      </c>
      <c r="E603" s="2" t="s">
        <v>12</v>
      </c>
      <c r="F603" s="2" t="s">
        <v>1040</v>
      </c>
      <c r="G603" s="8" t="str">
        <f>IF(ISNA(VLOOKUP(B603&amp;"|"&amp;C603&amp;"|"&amp;D603&amp;"|"&amp;E603,QuestionTriggers!A:F,6,FALSE)),"","---&gt;")</f>
        <v/>
      </c>
      <c r="H603" s="2" t="s">
        <v>1041</v>
      </c>
      <c r="I603" s="2" t="s">
        <v>1042</v>
      </c>
      <c r="J603" s="2" t="s">
        <v>475</v>
      </c>
      <c r="K603" s="2"/>
    </row>
    <row r="604" spans="1:11" hidden="1" x14ac:dyDescent="0.3">
      <c r="A604" t="str">
        <f t="shared" si="9"/>
        <v>Jhelom|Slithe|BATT</v>
      </c>
      <c r="B604" s="2" t="s">
        <v>713</v>
      </c>
      <c r="C604" s="2" t="s">
        <v>1001</v>
      </c>
      <c r="D604" s="2" t="s">
        <v>1114</v>
      </c>
      <c r="E604" s="2" t="s">
        <v>1010</v>
      </c>
      <c r="F604" s="2" t="s">
        <v>1120</v>
      </c>
      <c r="G604" s="8" t="str">
        <f>IF(ISNA(VLOOKUP(B604&amp;"|"&amp;C604&amp;"|"&amp;D604&amp;"|"&amp;E604,QuestionTriggers!A:F,6,FALSE)),"","---&gt;")</f>
        <v/>
      </c>
      <c r="H604" s="2" t="s">
        <v>1041</v>
      </c>
      <c r="I604" s="2" t="s">
        <v>1115</v>
      </c>
      <c r="J604" s="2" t="s">
        <v>1116</v>
      </c>
      <c r="K604" s="2"/>
    </row>
    <row r="605" spans="1:11" hidden="1" x14ac:dyDescent="0.3">
      <c r="A605" t="str">
        <f t="shared" si="9"/>
        <v>Jhelom|Slithe|HEALTH</v>
      </c>
      <c r="B605" s="2" t="s">
        <v>713</v>
      </c>
      <c r="C605" s="2" t="s">
        <v>1001</v>
      </c>
      <c r="D605" s="2" t="s">
        <v>1114</v>
      </c>
      <c r="E605" s="2" t="s">
        <v>20</v>
      </c>
      <c r="F605" s="2" t="s">
        <v>1119</v>
      </c>
      <c r="G605" s="8" t="str">
        <f>IF(ISNA(VLOOKUP(B605&amp;"|"&amp;C605&amp;"|"&amp;D605&amp;"|"&amp;E605,QuestionTriggers!A:F,6,FALSE)),"","---&gt;")</f>
        <v/>
      </c>
      <c r="H605" s="2" t="s">
        <v>1041</v>
      </c>
      <c r="I605" s="2" t="s">
        <v>1115</v>
      </c>
      <c r="J605" s="2" t="s">
        <v>1116</v>
      </c>
      <c r="K605" s="2"/>
    </row>
    <row r="606" spans="1:11" hidden="1" x14ac:dyDescent="0.3">
      <c r="A606" t="str">
        <f t="shared" si="9"/>
        <v>Jhelom|Slithe|JOB</v>
      </c>
      <c r="B606" s="2" t="s">
        <v>713</v>
      </c>
      <c r="C606" s="2" t="s">
        <v>1001</v>
      </c>
      <c r="D606" s="2" t="s">
        <v>1114</v>
      </c>
      <c r="E606" s="2" t="s">
        <v>18</v>
      </c>
      <c r="F606" s="2" t="s">
        <v>1118</v>
      </c>
      <c r="G606" s="8" t="str">
        <f>IF(ISNA(VLOOKUP(B606&amp;"|"&amp;C606&amp;"|"&amp;D606&amp;"|"&amp;E606,QuestionTriggers!A:F,6,FALSE)),"","---&gt;")</f>
        <v/>
      </c>
      <c r="H606" s="2" t="s">
        <v>1041</v>
      </c>
      <c r="I606" s="2" t="s">
        <v>1115</v>
      </c>
      <c r="J606" s="2" t="s">
        <v>1116</v>
      </c>
      <c r="K606" s="2"/>
    </row>
    <row r="607" spans="1:11" hidden="1" x14ac:dyDescent="0.3">
      <c r="A607" t="str">
        <f t="shared" si="9"/>
        <v>Jhelom|Slithe|LOOK</v>
      </c>
      <c r="B607" s="2" t="s">
        <v>713</v>
      </c>
      <c r="C607" s="2" t="s">
        <v>1001</v>
      </c>
      <c r="D607" s="2" t="s">
        <v>1114</v>
      </c>
      <c r="E607" s="2" t="s">
        <v>16</v>
      </c>
      <c r="F607" s="2" t="s">
        <v>1117</v>
      </c>
      <c r="G607" s="8" t="str">
        <f>IF(ISNA(VLOOKUP(B607&amp;"|"&amp;C607&amp;"|"&amp;D607&amp;"|"&amp;E607,QuestionTriggers!A:F,6,FALSE)),"","---&gt;")</f>
        <v/>
      </c>
      <c r="H607" s="2" t="s">
        <v>1041</v>
      </c>
      <c r="I607" s="2" t="s">
        <v>1115</v>
      </c>
      <c r="J607" s="2" t="s">
        <v>1116</v>
      </c>
      <c r="K607" s="2"/>
    </row>
    <row r="608" spans="1:11" hidden="1" x14ac:dyDescent="0.3">
      <c r="A608" t="str">
        <f t="shared" si="9"/>
        <v>Jhelom|Slithe|NAME</v>
      </c>
      <c r="B608" s="2" t="s">
        <v>713</v>
      </c>
      <c r="C608" s="2" t="s">
        <v>1001</v>
      </c>
      <c r="D608" s="2" t="s">
        <v>1114</v>
      </c>
      <c r="E608" s="2" t="s">
        <v>12</v>
      </c>
      <c r="F608" s="2" t="s">
        <v>1114</v>
      </c>
      <c r="G608" s="8" t="str">
        <f>IF(ISNA(VLOOKUP(B608&amp;"|"&amp;C608&amp;"|"&amp;D608&amp;"|"&amp;E608,QuestionTriggers!A:F,6,FALSE)),"","---&gt;")</f>
        <v/>
      </c>
      <c r="H608" s="2" t="s">
        <v>1041</v>
      </c>
      <c r="I608" s="2" t="s">
        <v>1115</v>
      </c>
      <c r="J608" s="2" t="s">
        <v>1116</v>
      </c>
      <c r="K608" s="2"/>
    </row>
    <row r="609" spans="1:11" hidden="1" x14ac:dyDescent="0.3">
      <c r="A609" t="str">
        <f t="shared" si="9"/>
        <v>Jhelom|Slithe|VALO</v>
      </c>
      <c r="B609" s="2" t="s">
        <v>713</v>
      </c>
      <c r="C609" s="2" t="s">
        <v>1001</v>
      </c>
      <c r="D609" s="2" t="s">
        <v>1114</v>
      </c>
      <c r="E609" s="2" t="s">
        <v>243</v>
      </c>
      <c r="F609" s="2" t="s">
        <v>1121</v>
      </c>
      <c r="G609" s="8" t="str">
        <f>IF(ISNA(VLOOKUP(B609&amp;"|"&amp;C609&amp;"|"&amp;D609&amp;"|"&amp;E609,QuestionTriggers!A:F,6,FALSE)),"","---&gt;")</f>
        <v>---&gt;</v>
      </c>
      <c r="H609" s="2" t="s">
        <v>1041</v>
      </c>
      <c r="I609" s="2" t="s">
        <v>1115</v>
      </c>
      <c r="J609" s="2" t="s">
        <v>1116</v>
      </c>
      <c r="K609" s="2"/>
    </row>
    <row r="610" spans="1:11" hidden="1" x14ac:dyDescent="0.3">
      <c r="A610" t="str">
        <f t="shared" si="9"/>
        <v>Jhelom|Timrod|BRAV</v>
      </c>
      <c r="B610" s="2" t="s">
        <v>713</v>
      </c>
      <c r="C610" s="2" t="s">
        <v>1001</v>
      </c>
      <c r="D610" s="34" t="s">
        <v>1122</v>
      </c>
      <c r="E610" s="34" t="s">
        <v>1128</v>
      </c>
      <c r="F610" s="34" t="s">
        <v>1129</v>
      </c>
      <c r="G610" s="8" t="str">
        <f>IF(ISNA(VLOOKUP(B610&amp;"|"&amp;C610&amp;"|"&amp;D610&amp;"|"&amp;E610,QuestionTriggers!A:F,6,FALSE)),"","---&gt;")</f>
        <v>---&gt;</v>
      </c>
      <c r="H610" s="2" t="s">
        <v>1123</v>
      </c>
      <c r="I610" s="2" t="s">
        <v>1124</v>
      </c>
      <c r="J610" s="2" t="s">
        <v>1116</v>
      </c>
      <c r="K610" s="2"/>
    </row>
    <row r="611" spans="1:11" hidden="1" x14ac:dyDescent="0.3">
      <c r="A611" t="str">
        <f t="shared" si="9"/>
        <v>Jhelom|Timrod|HEALTH</v>
      </c>
      <c r="B611" s="2" t="s">
        <v>713</v>
      </c>
      <c r="C611" s="2" t="s">
        <v>1001</v>
      </c>
      <c r="D611" s="34" t="s">
        <v>1122</v>
      </c>
      <c r="E611" s="34" t="s">
        <v>20</v>
      </c>
      <c r="F611" s="34" t="s">
        <v>33</v>
      </c>
      <c r="G611" s="8" t="str">
        <f>IF(ISNA(VLOOKUP(B611&amp;"|"&amp;C611&amp;"|"&amp;D611&amp;"|"&amp;E611,QuestionTriggers!A:F,6,FALSE)),"","---&gt;")</f>
        <v/>
      </c>
      <c r="H611" s="2" t="s">
        <v>1123</v>
      </c>
      <c r="I611" s="2" t="s">
        <v>1124</v>
      </c>
      <c r="J611" s="2" t="s">
        <v>1116</v>
      </c>
      <c r="K611" s="2"/>
    </row>
    <row r="612" spans="1:11" hidden="1" x14ac:dyDescent="0.3">
      <c r="A612" t="str">
        <f t="shared" si="9"/>
        <v>Jhelom|Timrod|JOB</v>
      </c>
      <c r="B612" s="2" t="s">
        <v>713</v>
      </c>
      <c r="C612" s="2" t="s">
        <v>1001</v>
      </c>
      <c r="D612" s="34" t="s">
        <v>1122</v>
      </c>
      <c r="E612" s="34" t="s">
        <v>18</v>
      </c>
      <c r="F612" s="34" t="s">
        <v>1126</v>
      </c>
      <c r="G612" s="8" t="str">
        <f>IF(ISNA(VLOOKUP(B612&amp;"|"&amp;C612&amp;"|"&amp;D612&amp;"|"&amp;E612,QuestionTriggers!A:F,6,FALSE)),"","---&gt;")</f>
        <v/>
      </c>
      <c r="H612" s="2" t="s">
        <v>1123</v>
      </c>
      <c r="I612" s="2" t="s">
        <v>1124</v>
      </c>
      <c r="J612" s="2" t="s">
        <v>1116</v>
      </c>
      <c r="K612" s="2"/>
    </row>
    <row r="613" spans="1:11" hidden="1" x14ac:dyDescent="0.3">
      <c r="A613" t="str">
        <f t="shared" si="9"/>
        <v>Jhelom|Timrod|LOOK</v>
      </c>
      <c r="B613" s="2" t="s">
        <v>713</v>
      </c>
      <c r="C613" s="2" t="s">
        <v>1001</v>
      </c>
      <c r="D613" s="34" t="s">
        <v>1122</v>
      </c>
      <c r="E613" s="34" t="s">
        <v>16</v>
      </c>
      <c r="F613" s="34" t="s">
        <v>1125</v>
      </c>
      <c r="G613" s="8" t="str">
        <f>IF(ISNA(VLOOKUP(B613&amp;"|"&amp;C613&amp;"|"&amp;D613&amp;"|"&amp;E613,QuestionTriggers!A:F,6,FALSE)),"","---&gt;")</f>
        <v/>
      </c>
      <c r="H613" s="2" t="s">
        <v>1123</v>
      </c>
      <c r="I613" s="2" t="s">
        <v>1124</v>
      </c>
      <c r="J613" s="2" t="s">
        <v>1116</v>
      </c>
      <c r="K613" s="2"/>
    </row>
    <row r="614" spans="1:11" hidden="1" x14ac:dyDescent="0.3">
      <c r="A614" t="str">
        <f t="shared" si="9"/>
        <v>Jhelom|Timrod|NAME</v>
      </c>
      <c r="B614" s="2" t="s">
        <v>713</v>
      </c>
      <c r="C614" s="2" t="s">
        <v>1001</v>
      </c>
      <c r="D614" s="34" t="s">
        <v>1122</v>
      </c>
      <c r="E614" s="34" t="s">
        <v>12</v>
      </c>
      <c r="F614" s="34" t="s">
        <v>1122</v>
      </c>
      <c r="G614" s="8" t="str">
        <f>IF(ISNA(VLOOKUP(B614&amp;"|"&amp;C614&amp;"|"&amp;D614&amp;"|"&amp;E614,QuestionTriggers!A:F,6,FALSE)),"","---&gt;")</f>
        <v/>
      </c>
      <c r="H614" s="2" t="s">
        <v>1123</v>
      </c>
      <c r="I614" s="2" t="s">
        <v>1124</v>
      </c>
      <c r="J614" s="2" t="s">
        <v>1116</v>
      </c>
      <c r="K614" s="2"/>
    </row>
    <row r="615" spans="1:11" hidden="1" x14ac:dyDescent="0.3">
      <c r="A615" t="str">
        <f t="shared" si="9"/>
        <v>Jhelom|Timrod|VALO</v>
      </c>
      <c r="B615" s="2" t="s">
        <v>713</v>
      </c>
      <c r="C615" s="2" t="s">
        <v>1001</v>
      </c>
      <c r="D615" s="34" t="s">
        <v>1122</v>
      </c>
      <c r="E615" s="34" t="s">
        <v>243</v>
      </c>
      <c r="F615" s="34" t="s">
        <v>1127</v>
      </c>
      <c r="G615" s="8" t="str">
        <f>IF(ISNA(VLOOKUP(B615&amp;"|"&amp;C615&amp;"|"&amp;D615&amp;"|"&amp;E615,QuestionTriggers!A:F,6,FALSE)),"","---&gt;")</f>
        <v/>
      </c>
      <c r="H615" s="2" t="s">
        <v>1123</v>
      </c>
      <c r="I615" s="2" t="s">
        <v>1124</v>
      </c>
      <c r="J615" s="2" t="s">
        <v>1116</v>
      </c>
      <c r="K615" s="2"/>
    </row>
    <row r="616" spans="1:11" ht="39.6" hidden="1" x14ac:dyDescent="0.3">
      <c r="A616" t="str">
        <f t="shared" si="9"/>
        <v>Jhelom|X|HEALTH</v>
      </c>
      <c r="B616" s="2" t="s">
        <v>713</v>
      </c>
      <c r="C616" s="2" t="s">
        <v>1001</v>
      </c>
      <c r="D616" s="2" t="s">
        <v>1105</v>
      </c>
      <c r="E616" s="2" t="s">
        <v>20</v>
      </c>
      <c r="F616" s="2" t="s">
        <v>946</v>
      </c>
      <c r="G616" s="8" t="str">
        <f>IF(ISNA(VLOOKUP(B616&amp;"|"&amp;C616&amp;"|"&amp;D616&amp;"|"&amp;E616,QuestionTriggers!A:F,6,FALSE)),"","---&gt;")</f>
        <v/>
      </c>
      <c r="H616" s="2" t="s">
        <v>1106</v>
      </c>
      <c r="I616" s="2" t="s">
        <v>1107</v>
      </c>
      <c r="J616" s="2" t="s">
        <v>1108</v>
      </c>
      <c r="K616" s="2" t="s">
        <v>51</v>
      </c>
    </row>
    <row r="617" spans="1:11" ht="39.6" hidden="1" x14ac:dyDescent="0.3">
      <c r="A617" t="str">
        <f t="shared" si="9"/>
        <v>Jhelom|X|JOB</v>
      </c>
      <c r="B617" s="2" t="s">
        <v>713</v>
      </c>
      <c r="C617" s="2" t="s">
        <v>1001</v>
      </c>
      <c r="D617" s="2" t="s">
        <v>1105</v>
      </c>
      <c r="E617" s="2" t="s">
        <v>18</v>
      </c>
      <c r="F617" s="2" t="s">
        <v>1110</v>
      </c>
      <c r="G617" s="8" t="str">
        <f>IF(ISNA(VLOOKUP(B617&amp;"|"&amp;C617&amp;"|"&amp;D617&amp;"|"&amp;E617,QuestionTriggers!A:F,6,FALSE)),"","---&gt;")</f>
        <v/>
      </c>
      <c r="H617" s="2" t="s">
        <v>1106</v>
      </c>
      <c r="I617" s="2" t="s">
        <v>1107</v>
      </c>
      <c r="J617" s="2" t="s">
        <v>1108</v>
      </c>
      <c r="K617" s="2" t="s">
        <v>51</v>
      </c>
    </row>
    <row r="618" spans="1:11" ht="39.6" hidden="1" x14ac:dyDescent="0.3">
      <c r="A618" t="str">
        <f t="shared" si="9"/>
        <v>Jhelom|X|LOOK</v>
      </c>
      <c r="B618" s="2" t="s">
        <v>713</v>
      </c>
      <c r="C618" s="2" t="s">
        <v>1001</v>
      </c>
      <c r="D618" s="2" t="s">
        <v>1105</v>
      </c>
      <c r="E618" s="2" t="s">
        <v>16</v>
      </c>
      <c r="F618" s="2" t="s">
        <v>1109</v>
      </c>
      <c r="G618" s="8" t="str">
        <f>IF(ISNA(VLOOKUP(B618&amp;"|"&amp;C618&amp;"|"&amp;D618&amp;"|"&amp;E618,QuestionTriggers!A:F,6,FALSE)),"","---&gt;")</f>
        <v/>
      </c>
      <c r="H618" s="2" t="s">
        <v>1106</v>
      </c>
      <c r="I618" s="2" t="s">
        <v>1107</v>
      </c>
      <c r="J618" s="2" t="s">
        <v>1108</v>
      </c>
      <c r="K618" s="2" t="s">
        <v>51</v>
      </c>
    </row>
    <row r="619" spans="1:11" ht="39.6" hidden="1" x14ac:dyDescent="0.3">
      <c r="A619" t="str">
        <f t="shared" si="9"/>
        <v>Jhelom|X|NAME</v>
      </c>
      <c r="B619" s="2" t="s">
        <v>713</v>
      </c>
      <c r="C619" s="2" t="s">
        <v>1001</v>
      </c>
      <c r="D619" s="2" t="s">
        <v>1105</v>
      </c>
      <c r="E619" s="2" t="s">
        <v>12</v>
      </c>
      <c r="F619" s="2" t="s">
        <v>1105</v>
      </c>
      <c r="G619" s="8" t="str">
        <f>IF(ISNA(VLOOKUP(B619&amp;"|"&amp;C619&amp;"|"&amp;D619&amp;"|"&amp;E619,QuestionTriggers!A:F,6,FALSE)),"","---&gt;")</f>
        <v/>
      </c>
      <c r="H619" s="2" t="s">
        <v>1106</v>
      </c>
      <c r="I619" s="2" t="s">
        <v>1107</v>
      </c>
      <c r="J619" s="2" t="s">
        <v>1108</v>
      </c>
      <c r="K619" s="2" t="s">
        <v>51</v>
      </c>
    </row>
    <row r="620" spans="1:11" ht="39.6" hidden="1" x14ac:dyDescent="0.3">
      <c r="A620" t="str">
        <f t="shared" si="9"/>
        <v>Jhelom|X|RED</v>
      </c>
      <c r="B620" s="2" t="s">
        <v>713</v>
      </c>
      <c r="C620" s="2" t="s">
        <v>1001</v>
      </c>
      <c r="D620" s="2" t="s">
        <v>1105</v>
      </c>
      <c r="E620" s="2" t="s">
        <v>1112</v>
      </c>
      <c r="F620" s="3" t="s">
        <v>1113</v>
      </c>
      <c r="G620" s="8" t="str">
        <f>IF(ISNA(VLOOKUP(B620&amp;"|"&amp;C620&amp;"|"&amp;D620&amp;"|"&amp;E620,QuestionTriggers!A:F,6,FALSE)),"","---&gt;")</f>
        <v>---&gt;</v>
      </c>
      <c r="H620" s="2" t="s">
        <v>1106</v>
      </c>
      <c r="I620" s="2" t="s">
        <v>1107</v>
      </c>
      <c r="J620" s="2" t="s">
        <v>1108</v>
      </c>
      <c r="K620" s="2" t="s">
        <v>51</v>
      </c>
    </row>
    <row r="621" spans="1:11" ht="39.6" hidden="1" x14ac:dyDescent="0.3">
      <c r="A621" t="str">
        <f t="shared" si="9"/>
        <v>Jhelom|X|STON</v>
      </c>
      <c r="B621" s="2" t="s">
        <v>713</v>
      </c>
      <c r="C621" s="2" t="s">
        <v>1001</v>
      </c>
      <c r="D621" s="2" t="s">
        <v>1105</v>
      </c>
      <c r="E621" s="2" t="s">
        <v>854</v>
      </c>
      <c r="F621" s="2" t="s">
        <v>1111</v>
      </c>
      <c r="G621" s="8" t="str">
        <f>IF(ISNA(VLOOKUP(B621&amp;"|"&amp;C621&amp;"|"&amp;D621&amp;"|"&amp;E621,QuestionTriggers!A:F,6,FALSE)),"","---&gt;")</f>
        <v/>
      </c>
      <c r="H621" s="2" t="s">
        <v>1106</v>
      </c>
      <c r="I621" s="2" t="s">
        <v>1107</v>
      </c>
      <c r="J621" s="2" t="s">
        <v>1108</v>
      </c>
      <c r="K621" s="2" t="s">
        <v>51</v>
      </c>
    </row>
    <row r="622" spans="1:11" x14ac:dyDescent="0.3">
      <c r="A622" t="str">
        <f t="shared" si="9"/>
        <v>Lycaeum|Beth Frasier|HEALTH</v>
      </c>
      <c r="B622" s="2" t="s">
        <v>9</v>
      </c>
      <c r="C622" s="2" t="s">
        <v>277</v>
      </c>
      <c r="D622" s="2" t="s">
        <v>288</v>
      </c>
      <c r="E622" s="2" t="s">
        <v>20</v>
      </c>
      <c r="F622" s="2" t="s">
        <v>93</v>
      </c>
      <c r="G622" s="8" t="str">
        <f>IF(ISNA(VLOOKUP(B622&amp;"|"&amp;C622&amp;"|"&amp;D622&amp;"|"&amp;E622,QuestionTriggers!A:F,6,FALSE)),"","---&gt;")</f>
        <v/>
      </c>
      <c r="H622" s="2" t="s">
        <v>289</v>
      </c>
      <c r="I622" s="2" t="s">
        <v>290</v>
      </c>
      <c r="J622" s="2" t="s">
        <v>291</v>
      </c>
      <c r="K622" s="2"/>
    </row>
    <row r="623" spans="1:11" x14ac:dyDescent="0.3">
      <c r="A623" t="str">
        <f t="shared" si="9"/>
        <v>Lycaeum|Beth Frasier|JOB</v>
      </c>
      <c r="B623" s="2" t="s">
        <v>9</v>
      </c>
      <c r="C623" s="2" t="s">
        <v>277</v>
      </c>
      <c r="D623" s="2" t="s">
        <v>288</v>
      </c>
      <c r="E623" s="2" t="s">
        <v>18</v>
      </c>
      <c r="F623" s="2" t="s">
        <v>293</v>
      </c>
      <c r="G623" s="8" t="str">
        <f>IF(ISNA(VLOOKUP(B623&amp;"|"&amp;C623&amp;"|"&amp;D623&amp;"|"&amp;E623,QuestionTriggers!A:F,6,FALSE)),"","---&gt;")</f>
        <v/>
      </c>
      <c r="H623" s="2" t="s">
        <v>289</v>
      </c>
      <c r="I623" s="2" t="s">
        <v>290</v>
      </c>
      <c r="J623" s="2" t="s">
        <v>291</v>
      </c>
      <c r="K623" s="2"/>
    </row>
    <row r="624" spans="1:11" x14ac:dyDescent="0.3">
      <c r="A624" t="str">
        <f t="shared" si="9"/>
        <v>Lycaeum|Beth Frasier|LOOK</v>
      </c>
      <c r="B624" s="2" t="s">
        <v>9</v>
      </c>
      <c r="C624" s="2" t="s">
        <v>277</v>
      </c>
      <c r="D624" s="2" t="s">
        <v>288</v>
      </c>
      <c r="E624" s="2" t="s">
        <v>16</v>
      </c>
      <c r="F624" s="2" t="s">
        <v>292</v>
      </c>
      <c r="G624" s="8" t="str">
        <f>IF(ISNA(VLOOKUP(B624&amp;"|"&amp;C624&amp;"|"&amp;D624&amp;"|"&amp;E624,QuestionTriggers!A:F,6,FALSE)),"","---&gt;")</f>
        <v/>
      </c>
      <c r="H624" s="2" t="s">
        <v>289</v>
      </c>
      <c r="I624" s="2" t="s">
        <v>290</v>
      </c>
      <c r="J624" s="2" t="s">
        <v>291</v>
      </c>
      <c r="K624" s="2"/>
    </row>
    <row r="625" spans="1:11" x14ac:dyDescent="0.3">
      <c r="A625" t="str">
        <f t="shared" si="9"/>
        <v>Lycaeum|Beth Frasier|NAME</v>
      </c>
      <c r="B625" s="2" t="s">
        <v>9</v>
      </c>
      <c r="C625" s="2" t="s">
        <v>277</v>
      </c>
      <c r="D625" s="2" t="s">
        <v>288</v>
      </c>
      <c r="E625" s="2" t="s">
        <v>12</v>
      </c>
      <c r="F625" s="2" t="s">
        <v>288</v>
      </c>
      <c r="G625" s="8" t="str">
        <f>IF(ISNA(VLOOKUP(B625&amp;"|"&amp;C625&amp;"|"&amp;D625&amp;"|"&amp;E625,QuestionTriggers!A:F,6,FALSE)),"","---&gt;")</f>
        <v/>
      </c>
      <c r="H625" s="2" t="s">
        <v>289</v>
      </c>
      <c r="I625" s="2" t="s">
        <v>290</v>
      </c>
      <c r="J625" s="2" t="s">
        <v>291</v>
      </c>
      <c r="K625" s="2"/>
    </row>
    <row r="626" spans="1:11" x14ac:dyDescent="0.3">
      <c r="A626" t="str">
        <f t="shared" si="9"/>
        <v>Lycaeum|Beth Frasier|PROV</v>
      </c>
      <c r="B626" s="2" t="s">
        <v>9</v>
      </c>
      <c r="C626" s="2" t="s">
        <v>277</v>
      </c>
      <c r="D626" s="2" t="s">
        <v>288</v>
      </c>
      <c r="E626" s="2" t="s">
        <v>285</v>
      </c>
      <c r="F626" s="2" t="s">
        <v>296</v>
      </c>
      <c r="G626" s="8" t="str">
        <f>IF(ISNA(VLOOKUP(B626&amp;"|"&amp;C626&amp;"|"&amp;D626&amp;"|"&amp;E626,QuestionTriggers!A:F,6,FALSE)),"","---&gt;")</f>
        <v>---&gt;</v>
      </c>
      <c r="H626" s="2" t="s">
        <v>289</v>
      </c>
      <c r="I626" s="2" t="s">
        <v>290</v>
      </c>
      <c r="J626" s="2" t="s">
        <v>291</v>
      </c>
      <c r="K626" s="2"/>
    </row>
    <row r="627" spans="1:11" x14ac:dyDescent="0.3">
      <c r="A627" t="str">
        <f t="shared" si="9"/>
        <v>Lycaeum|Beth Frasier|RULE</v>
      </c>
      <c r="B627" s="2" t="s">
        <v>9</v>
      </c>
      <c r="C627" s="2" t="s">
        <v>277</v>
      </c>
      <c r="D627" s="2" t="s">
        <v>288</v>
      </c>
      <c r="E627" s="2" t="s">
        <v>294</v>
      </c>
      <c r="F627" s="2" t="s">
        <v>2642</v>
      </c>
      <c r="G627" s="8" t="str">
        <f>IF(ISNA(VLOOKUP(B627&amp;"|"&amp;C627&amp;"|"&amp;D627&amp;"|"&amp;E627,QuestionTriggers!A:F,6,FALSE)),"","---&gt;")</f>
        <v/>
      </c>
      <c r="H627" s="2" t="s">
        <v>289</v>
      </c>
      <c r="I627" s="2" t="s">
        <v>290</v>
      </c>
      <c r="J627" s="2" t="s">
        <v>291</v>
      </c>
      <c r="K627" s="2"/>
    </row>
    <row r="628" spans="1:11" hidden="1" x14ac:dyDescent="0.3">
      <c r="A628" t="str">
        <f t="shared" si="9"/>
        <v>Lycaeum|Catriona|HEALTH</v>
      </c>
      <c r="B628" s="2" t="s">
        <v>9</v>
      </c>
      <c r="C628" s="2" t="s">
        <v>277</v>
      </c>
      <c r="D628" s="34" t="s">
        <v>306</v>
      </c>
      <c r="E628" s="34" t="s">
        <v>20</v>
      </c>
      <c r="F628" s="34" t="s">
        <v>312</v>
      </c>
      <c r="G628" s="8" t="str">
        <f>IF(ISNA(VLOOKUP(B628&amp;"|"&amp;C628&amp;"|"&amp;D628&amp;"|"&amp;E628,QuestionTriggers!A:F,6,FALSE)),"","---&gt;")</f>
        <v/>
      </c>
      <c r="H628" s="2" t="s">
        <v>307</v>
      </c>
      <c r="I628" s="2" t="s">
        <v>308</v>
      </c>
      <c r="J628" s="2" t="s">
        <v>309</v>
      </c>
      <c r="K628" s="2"/>
    </row>
    <row r="629" spans="1:11" hidden="1" x14ac:dyDescent="0.3">
      <c r="A629" t="str">
        <f t="shared" si="9"/>
        <v>Lycaeum|Catriona|JOB</v>
      </c>
      <c r="B629" s="2" t="s">
        <v>9</v>
      </c>
      <c r="C629" s="2" t="s">
        <v>277</v>
      </c>
      <c r="D629" s="34" t="s">
        <v>306</v>
      </c>
      <c r="E629" s="34" t="s">
        <v>18</v>
      </c>
      <c r="F629" s="34" t="s">
        <v>311</v>
      </c>
      <c r="G629" s="8" t="str">
        <f>IF(ISNA(VLOOKUP(B629&amp;"|"&amp;C629&amp;"|"&amp;D629&amp;"|"&amp;E629,QuestionTriggers!A:F,6,FALSE)),"","---&gt;")</f>
        <v/>
      </c>
      <c r="H629" s="2" t="s">
        <v>307</v>
      </c>
      <c r="I629" s="2" t="s">
        <v>308</v>
      </c>
      <c r="J629" s="2" t="s">
        <v>309</v>
      </c>
      <c r="K629" s="2"/>
    </row>
    <row r="630" spans="1:11" hidden="1" x14ac:dyDescent="0.3">
      <c r="A630" t="str">
        <f t="shared" si="9"/>
        <v>Lycaeum|Catriona|LOOK</v>
      </c>
      <c r="B630" s="2" t="s">
        <v>9</v>
      </c>
      <c r="C630" s="2" t="s">
        <v>277</v>
      </c>
      <c r="D630" s="34" t="s">
        <v>306</v>
      </c>
      <c r="E630" s="34" t="s">
        <v>16</v>
      </c>
      <c r="F630" s="34" t="s">
        <v>310</v>
      </c>
      <c r="G630" s="8" t="str">
        <f>IF(ISNA(VLOOKUP(B630&amp;"|"&amp;C630&amp;"|"&amp;D630&amp;"|"&amp;E630,QuestionTriggers!A:F,6,FALSE)),"","---&gt;")</f>
        <v/>
      </c>
      <c r="H630" s="2" t="s">
        <v>307</v>
      </c>
      <c r="I630" s="2" t="s">
        <v>308</v>
      </c>
      <c r="J630" s="2" t="s">
        <v>309</v>
      </c>
      <c r="K630" s="2"/>
    </row>
    <row r="631" spans="1:11" hidden="1" x14ac:dyDescent="0.3">
      <c r="A631" t="str">
        <f t="shared" si="9"/>
        <v>Lycaeum|Catriona|NAME</v>
      </c>
      <c r="B631" s="2" t="s">
        <v>9</v>
      </c>
      <c r="C631" s="2" t="s">
        <v>277</v>
      </c>
      <c r="D631" s="34" t="s">
        <v>306</v>
      </c>
      <c r="E631" s="34" t="s">
        <v>12</v>
      </c>
      <c r="F631" s="34" t="s">
        <v>306</v>
      </c>
      <c r="G631" s="8" t="str">
        <f>IF(ISNA(VLOOKUP(B631&amp;"|"&amp;C631&amp;"|"&amp;D631&amp;"|"&amp;E631,QuestionTriggers!A:F,6,FALSE)),"","---&gt;")</f>
        <v/>
      </c>
      <c r="H631" s="2" t="s">
        <v>307</v>
      </c>
      <c r="I631" s="2" t="s">
        <v>308</v>
      </c>
      <c r="J631" s="2" t="s">
        <v>309</v>
      </c>
      <c r="K631" s="2"/>
    </row>
    <row r="632" spans="1:11" hidden="1" x14ac:dyDescent="0.3">
      <c r="A632" t="str">
        <f t="shared" si="9"/>
        <v>Lycaeum|Catriona|TREA</v>
      </c>
      <c r="B632" s="2" t="s">
        <v>9</v>
      </c>
      <c r="C632" s="2" t="s">
        <v>277</v>
      </c>
      <c r="D632" s="34" t="s">
        <v>306</v>
      </c>
      <c r="E632" s="34" t="s">
        <v>45</v>
      </c>
      <c r="F632" s="34" t="s">
        <v>313</v>
      </c>
      <c r="G632" s="8" t="str">
        <f>IF(ISNA(VLOOKUP(B632&amp;"|"&amp;C632&amp;"|"&amp;D632&amp;"|"&amp;E632,QuestionTriggers!A:F,6,FALSE)),"","---&gt;")</f>
        <v/>
      </c>
      <c r="H632" s="2" t="s">
        <v>307</v>
      </c>
      <c r="I632" s="2" t="s">
        <v>308</v>
      </c>
      <c r="J632" s="2" t="s">
        <v>309</v>
      </c>
      <c r="K632" s="2"/>
    </row>
    <row r="633" spans="1:11" hidden="1" x14ac:dyDescent="0.3">
      <c r="A633" t="str">
        <f t="shared" si="9"/>
        <v>Lycaeum|Catriona|VALU</v>
      </c>
      <c r="B633" s="2" t="s">
        <v>9</v>
      </c>
      <c r="C633" s="2" t="s">
        <v>277</v>
      </c>
      <c r="D633" s="34" t="s">
        <v>306</v>
      </c>
      <c r="E633" s="34" t="s">
        <v>314</v>
      </c>
      <c r="F633" s="34" t="s">
        <v>315</v>
      </c>
      <c r="G633" s="8" t="str">
        <f>IF(ISNA(VLOOKUP(B633&amp;"|"&amp;C633&amp;"|"&amp;D633&amp;"|"&amp;E633,QuestionTriggers!A:F,6,FALSE)),"","---&gt;")</f>
        <v>---&gt;</v>
      </c>
      <c r="H633" s="2" t="s">
        <v>307</v>
      </c>
      <c r="I633" s="2" t="s">
        <v>308</v>
      </c>
      <c r="J633" s="2" t="s">
        <v>309</v>
      </c>
      <c r="K633" s="2"/>
    </row>
    <row r="634" spans="1:11" ht="26.4" x14ac:dyDescent="0.3">
      <c r="A634" t="str">
        <f t="shared" si="9"/>
        <v>Lycaeum|Estro|HEALTH</v>
      </c>
      <c r="B634" s="2" t="s">
        <v>9</v>
      </c>
      <c r="C634" s="2" t="s">
        <v>277</v>
      </c>
      <c r="D634" s="2" t="s">
        <v>316</v>
      </c>
      <c r="E634" s="2" t="s">
        <v>20</v>
      </c>
      <c r="F634" s="2" t="s">
        <v>322</v>
      </c>
      <c r="G634" s="8" t="str">
        <f>IF(ISNA(VLOOKUP(B634&amp;"|"&amp;C634&amp;"|"&amp;D634&amp;"|"&amp;E634,QuestionTriggers!A:F,6,FALSE)),"","---&gt;")</f>
        <v/>
      </c>
      <c r="H634" s="2" t="s">
        <v>317</v>
      </c>
      <c r="I634" s="2" t="s">
        <v>318</v>
      </c>
      <c r="J634" s="2" t="s">
        <v>319</v>
      </c>
      <c r="K634" s="2" t="s">
        <v>51</v>
      </c>
    </row>
    <row r="635" spans="1:11" ht="26.4" x14ac:dyDescent="0.3">
      <c r="A635" t="str">
        <f t="shared" si="9"/>
        <v>Lycaeum|Estro|JOB</v>
      </c>
      <c r="B635" s="2" t="s">
        <v>9</v>
      </c>
      <c r="C635" s="2" t="s">
        <v>277</v>
      </c>
      <c r="D635" s="2" t="s">
        <v>316</v>
      </c>
      <c r="E635" s="2" t="s">
        <v>18</v>
      </c>
      <c r="F635" s="2" t="s">
        <v>321</v>
      </c>
      <c r="G635" s="8" t="str">
        <f>IF(ISNA(VLOOKUP(B635&amp;"|"&amp;C635&amp;"|"&amp;D635&amp;"|"&amp;E635,QuestionTriggers!A:F,6,FALSE)),"","---&gt;")</f>
        <v/>
      </c>
      <c r="H635" s="2" t="s">
        <v>317</v>
      </c>
      <c r="I635" s="2" t="s">
        <v>318</v>
      </c>
      <c r="J635" s="2" t="s">
        <v>319</v>
      </c>
      <c r="K635" s="2" t="s">
        <v>51</v>
      </c>
    </row>
    <row r="636" spans="1:11" ht="26.4" x14ac:dyDescent="0.3">
      <c r="A636" t="str">
        <f t="shared" si="9"/>
        <v>Lycaeum|Estro|JUST</v>
      </c>
      <c r="B636" s="2" t="s">
        <v>9</v>
      </c>
      <c r="C636" s="2" t="s">
        <v>277</v>
      </c>
      <c r="D636" s="2" t="s">
        <v>316</v>
      </c>
      <c r="E636" s="2" t="s">
        <v>245</v>
      </c>
      <c r="F636" s="2" t="s">
        <v>325</v>
      </c>
      <c r="G636" s="8" t="str">
        <f>IF(ISNA(VLOOKUP(B636&amp;"|"&amp;C636&amp;"|"&amp;D636&amp;"|"&amp;E636,QuestionTriggers!A:F,6,FALSE)),"","---&gt;")</f>
        <v>---&gt;</v>
      </c>
      <c r="H636" s="2" t="s">
        <v>317</v>
      </c>
      <c r="I636" s="2" t="s">
        <v>318</v>
      </c>
      <c r="J636" s="2" t="s">
        <v>319</v>
      </c>
      <c r="K636" s="2" t="s">
        <v>51</v>
      </c>
    </row>
    <row r="637" spans="1:11" ht="26.4" x14ac:dyDescent="0.3">
      <c r="A637" t="str">
        <f t="shared" si="9"/>
        <v>Lycaeum|Estro|LOOK</v>
      </c>
      <c r="B637" s="2" t="s">
        <v>9</v>
      </c>
      <c r="C637" s="2" t="s">
        <v>277</v>
      </c>
      <c r="D637" s="2" t="s">
        <v>316</v>
      </c>
      <c r="E637" s="2" t="s">
        <v>16</v>
      </c>
      <c r="F637" s="2" t="s">
        <v>320</v>
      </c>
      <c r="G637" s="8" t="str">
        <f>IF(ISNA(VLOOKUP(B637&amp;"|"&amp;C637&amp;"|"&amp;D637&amp;"|"&amp;E637,QuestionTriggers!A:F,6,FALSE)),"","---&gt;")</f>
        <v/>
      </c>
      <c r="H637" s="2" t="s">
        <v>317</v>
      </c>
      <c r="I637" s="2" t="s">
        <v>318</v>
      </c>
      <c r="J637" s="2" t="s">
        <v>319</v>
      </c>
      <c r="K637" s="2" t="s">
        <v>51</v>
      </c>
    </row>
    <row r="638" spans="1:11" ht="26.4" x14ac:dyDescent="0.3">
      <c r="A638" t="str">
        <f t="shared" si="9"/>
        <v>Lycaeum|Estro|NAME</v>
      </c>
      <c r="B638" s="2" t="s">
        <v>9</v>
      </c>
      <c r="C638" s="2" t="s">
        <v>277</v>
      </c>
      <c r="D638" s="2" t="s">
        <v>316</v>
      </c>
      <c r="E638" s="2" t="s">
        <v>12</v>
      </c>
      <c r="F638" s="2" t="s">
        <v>316</v>
      </c>
      <c r="G638" s="8" t="str">
        <f>IF(ISNA(VLOOKUP(B638&amp;"|"&amp;C638&amp;"|"&amp;D638&amp;"|"&amp;E638,QuestionTriggers!A:F,6,FALSE)),"","---&gt;")</f>
        <v/>
      </c>
      <c r="H638" s="2" t="s">
        <v>317</v>
      </c>
      <c r="I638" s="2" t="s">
        <v>318</v>
      </c>
      <c r="J638" s="2" t="s">
        <v>319</v>
      </c>
      <c r="K638" s="2" t="s">
        <v>51</v>
      </c>
    </row>
    <row r="639" spans="1:11" ht="26.4" x14ac:dyDescent="0.3">
      <c r="A639" t="str">
        <f t="shared" si="9"/>
        <v>Lycaeum|Estro|REAS</v>
      </c>
      <c r="B639" s="2" t="s">
        <v>9</v>
      </c>
      <c r="C639" s="2" t="s">
        <v>277</v>
      </c>
      <c r="D639" s="2" t="s">
        <v>316</v>
      </c>
      <c r="E639" s="2" t="s">
        <v>323</v>
      </c>
      <c r="F639" s="3" t="s">
        <v>324</v>
      </c>
      <c r="G639" s="8" t="str">
        <f>IF(ISNA(VLOOKUP(B639&amp;"|"&amp;C639&amp;"|"&amp;D639&amp;"|"&amp;E639,QuestionTriggers!A:F,6,FALSE)),"","---&gt;")</f>
        <v/>
      </c>
      <c r="H639" s="2" t="s">
        <v>317</v>
      </c>
      <c r="I639" s="2" t="s">
        <v>318</v>
      </c>
      <c r="J639" s="2" t="s">
        <v>319</v>
      </c>
      <c r="K639" s="2" t="s">
        <v>51</v>
      </c>
    </row>
    <row r="640" spans="1:11" x14ac:dyDescent="0.3">
      <c r="A640" t="str">
        <f t="shared" si="9"/>
        <v>Lycaeum|Father Antos|BOOK</v>
      </c>
      <c r="B640" s="2" t="s">
        <v>9</v>
      </c>
      <c r="C640" s="2" t="s">
        <v>277</v>
      </c>
      <c r="D640" s="2" t="s">
        <v>297</v>
      </c>
      <c r="E640" s="2" t="s">
        <v>305</v>
      </c>
      <c r="F640" s="3" t="s">
        <v>2634</v>
      </c>
      <c r="G640" s="8" t="str">
        <f>IF(ISNA(VLOOKUP(B640&amp;"|"&amp;C640&amp;"|"&amp;D640&amp;"|"&amp;E640,QuestionTriggers!A:F,6,FALSE)),"","---&gt;")</f>
        <v>---&gt;</v>
      </c>
      <c r="H640" s="2" t="s">
        <v>298</v>
      </c>
      <c r="I640" s="2" t="s">
        <v>299</v>
      </c>
      <c r="J640" s="2" t="s">
        <v>90</v>
      </c>
      <c r="K640" s="2"/>
    </row>
    <row r="641" spans="1:11" x14ac:dyDescent="0.3">
      <c r="A641" t="str">
        <f t="shared" si="9"/>
        <v>Lycaeum|Father Antos|HEALTH</v>
      </c>
      <c r="B641" s="2" t="s">
        <v>9</v>
      </c>
      <c r="C641" s="2" t="s">
        <v>277</v>
      </c>
      <c r="D641" s="2" t="s">
        <v>297</v>
      </c>
      <c r="E641" s="2" t="s">
        <v>20</v>
      </c>
      <c r="F641" s="2" t="s">
        <v>302</v>
      </c>
      <c r="G641" s="8" t="str">
        <f>IF(ISNA(VLOOKUP(B641&amp;"|"&amp;C641&amp;"|"&amp;D641&amp;"|"&amp;E641,QuestionTriggers!A:F,6,FALSE)),"","---&gt;")</f>
        <v/>
      </c>
      <c r="H641" s="2" t="s">
        <v>298</v>
      </c>
      <c r="I641" s="2" t="s">
        <v>299</v>
      </c>
      <c r="J641" s="2" t="s">
        <v>90</v>
      </c>
      <c r="K641" s="2"/>
    </row>
    <row r="642" spans="1:11" x14ac:dyDescent="0.3">
      <c r="A642" t="str">
        <f t="shared" si="9"/>
        <v>Lycaeum|Father Antos|JOB</v>
      </c>
      <c r="B642" s="2" t="s">
        <v>9</v>
      </c>
      <c r="C642" s="2" t="s">
        <v>277</v>
      </c>
      <c r="D642" s="2" t="s">
        <v>297</v>
      </c>
      <c r="E642" s="2" t="s">
        <v>18</v>
      </c>
      <c r="F642" s="2" t="s">
        <v>301</v>
      </c>
      <c r="G642" s="8" t="str">
        <f>IF(ISNA(VLOOKUP(B642&amp;"|"&amp;C642&amp;"|"&amp;D642&amp;"|"&amp;E642,QuestionTriggers!A:F,6,FALSE)),"","---&gt;")</f>
        <v/>
      </c>
      <c r="H642" s="2" t="s">
        <v>298</v>
      </c>
      <c r="I642" s="2" t="s">
        <v>299</v>
      </c>
      <c r="J642" s="2" t="s">
        <v>90</v>
      </c>
      <c r="K642" s="2"/>
    </row>
    <row r="643" spans="1:11" x14ac:dyDescent="0.3">
      <c r="A643" t="str">
        <f t="shared" ref="A643:A706" si="10">C643&amp;"|"&amp;D643&amp;"|"&amp;E643</f>
        <v>Lycaeum|Father Antos|KNOW</v>
      </c>
      <c r="B643" s="2" t="s">
        <v>9</v>
      </c>
      <c r="C643" s="2" t="s">
        <v>277</v>
      </c>
      <c r="D643" s="2" t="s">
        <v>297</v>
      </c>
      <c r="E643" s="2" t="s">
        <v>303</v>
      </c>
      <c r="F643" s="2" t="s">
        <v>304</v>
      </c>
      <c r="G643" s="8" t="str">
        <f>IF(ISNA(VLOOKUP(B643&amp;"|"&amp;C643&amp;"|"&amp;D643&amp;"|"&amp;E643,QuestionTriggers!A:F,6,FALSE)),"","---&gt;")</f>
        <v/>
      </c>
      <c r="H643" s="2" t="s">
        <v>298</v>
      </c>
      <c r="I643" s="2" t="s">
        <v>299</v>
      </c>
      <c r="J643" s="2" t="s">
        <v>90</v>
      </c>
      <c r="K643" s="2"/>
    </row>
    <row r="644" spans="1:11" x14ac:dyDescent="0.3">
      <c r="A644" t="str">
        <f t="shared" si="10"/>
        <v>Lycaeum|Father Antos|LOOK</v>
      </c>
      <c r="B644" s="2" t="s">
        <v>9</v>
      </c>
      <c r="C644" s="2" t="s">
        <v>277</v>
      </c>
      <c r="D644" s="2" t="s">
        <v>297</v>
      </c>
      <c r="E644" s="2" t="s">
        <v>16</v>
      </c>
      <c r="F644" s="2" t="s">
        <v>300</v>
      </c>
      <c r="G644" s="8" t="str">
        <f>IF(ISNA(VLOOKUP(B644&amp;"|"&amp;C644&amp;"|"&amp;D644&amp;"|"&amp;E644,QuestionTriggers!A:F,6,FALSE)),"","---&gt;")</f>
        <v/>
      </c>
      <c r="H644" s="2" t="s">
        <v>298</v>
      </c>
      <c r="I644" s="2" t="s">
        <v>299</v>
      </c>
      <c r="J644" s="2" t="s">
        <v>90</v>
      </c>
      <c r="K644" s="2"/>
    </row>
    <row r="645" spans="1:11" x14ac:dyDescent="0.3">
      <c r="A645" t="str">
        <f t="shared" si="10"/>
        <v>Lycaeum|Father Antos|NAME</v>
      </c>
      <c r="B645" s="2" t="s">
        <v>9</v>
      </c>
      <c r="C645" s="2" t="s">
        <v>277</v>
      </c>
      <c r="D645" s="2" t="s">
        <v>297</v>
      </c>
      <c r="E645" s="2" t="s">
        <v>12</v>
      </c>
      <c r="F645" s="2" t="s">
        <v>297</v>
      </c>
      <c r="G645" s="8" t="str">
        <f>IF(ISNA(VLOOKUP(B645&amp;"|"&amp;C645&amp;"|"&amp;D645&amp;"|"&amp;E645,QuestionTriggers!A:F,6,FALSE)),"","---&gt;")</f>
        <v/>
      </c>
      <c r="H645" s="2" t="s">
        <v>298</v>
      </c>
      <c r="I645" s="2" t="s">
        <v>299</v>
      </c>
      <c r="J645" s="2" t="s">
        <v>90</v>
      </c>
      <c r="K645" s="2"/>
    </row>
    <row r="646" spans="1:11" ht="26.4" hidden="1" x14ac:dyDescent="0.3">
      <c r="A646" t="str">
        <f t="shared" si="10"/>
        <v>Lycaeum|Fighter|HEALTH</v>
      </c>
      <c r="B646" s="2" t="s">
        <v>9</v>
      </c>
      <c r="C646" s="2" t="s">
        <v>277</v>
      </c>
      <c r="D646" s="34" t="s">
        <v>326</v>
      </c>
      <c r="E646" s="34" t="s">
        <v>20</v>
      </c>
      <c r="F646" s="34" t="s">
        <v>333</v>
      </c>
      <c r="G646" s="8" t="str">
        <f>IF(ISNA(VLOOKUP(B646&amp;"|"&amp;C646&amp;"|"&amp;D646&amp;"|"&amp;E646,QuestionTriggers!A:F,6,FALSE)),"","---&gt;")</f>
        <v/>
      </c>
      <c r="H646" s="2" t="s">
        <v>328</v>
      </c>
      <c r="I646" s="2" t="s">
        <v>329</v>
      </c>
      <c r="J646" s="2" t="s">
        <v>330</v>
      </c>
      <c r="K646" s="2"/>
    </row>
    <row r="647" spans="1:11" ht="26.4" hidden="1" x14ac:dyDescent="0.3">
      <c r="A647" t="str">
        <f t="shared" si="10"/>
        <v>Lycaeum|Fighter|JOB</v>
      </c>
      <c r="B647" s="2" t="s">
        <v>9</v>
      </c>
      <c r="C647" s="2" t="s">
        <v>277</v>
      </c>
      <c r="D647" s="34" t="s">
        <v>326</v>
      </c>
      <c r="E647" s="34" t="s">
        <v>18</v>
      </c>
      <c r="F647" s="34" t="s">
        <v>332</v>
      </c>
      <c r="G647" s="8" t="str">
        <f>IF(ISNA(VLOOKUP(B647&amp;"|"&amp;C647&amp;"|"&amp;D647&amp;"|"&amp;E647,QuestionTriggers!A:F,6,FALSE)),"","---&gt;")</f>
        <v/>
      </c>
      <c r="H647" s="2" t="s">
        <v>328</v>
      </c>
      <c r="I647" s="2" t="s">
        <v>329</v>
      </c>
      <c r="J647" s="2" t="s">
        <v>330</v>
      </c>
      <c r="K647" s="2"/>
    </row>
    <row r="648" spans="1:11" ht="26.4" hidden="1" x14ac:dyDescent="0.3">
      <c r="A648" t="str">
        <f t="shared" si="10"/>
        <v>Lycaeum|Fighter|LOOK</v>
      </c>
      <c r="B648" s="2" t="s">
        <v>9</v>
      </c>
      <c r="C648" s="2" t="s">
        <v>277</v>
      </c>
      <c r="D648" s="34" t="s">
        <v>326</v>
      </c>
      <c r="E648" s="34" t="s">
        <v>16</v>
      </c>
      <c r="F648" s="34" t="s">
        <v>331</v>
      </c>
      <c r="G648" s="8" t="str">
        <f>IF(ISNA(VLOOKUP(B648&amp;"|"&amp;C648&amp;"|"&amp;D648&amp;"|"&amp;E648,QuestionTriggers!A:F,6,FALSE)),"","---&gt;")</f>
        <v/>
      </c>
      <c r="H648" s="2" t="s">
        <v>328</v>
      </c>
      <c r="I648" s="2" t="s">
        <v>329</v>
      </c>
      <c r="J648" s="2" t="s">
        <v>330</v>
      </c>
      <c r="K648" s="2"/>
    </row>
    <row r="649" spans="1:11" ht="26.4" hidden="1" x14ac:dyDescent="0.3">
      <c r="A649" t="str">
        <f t="shared" si="10"/>
        <v>Lycaeum|Fighter|NAME</v>
      </c>
      <c r="B649" s="2" t="s">
        <v>9</v>
      </c>
      <c r="C649" s="2" t="s">
        <v>277</v>
      </c>
      <c r="D649" s="34" t="s">
        <v>326</v>
      </c>
      <c r="E649" s="34" t="s">
        <v>12</v>
      </c>
      <c r="F649" s="34" t="s">
        <v>327</v>
      </c>
      <c r="G649" s="8" t="str">
        <f>IF(ISNA(VLOOKUP(B649&amp;"|"&amp;C649&amp;"|"&amp;D649&amp;"|"&amp;E649,QuestionTriggers!A:F,6,FALSE)),"","---&gt;")</f>
        <v/>
      </c>
      <c r="H649" s="2" t="s">
        <v>328</v>
      </c>
      <c r="I649" s="2" t="s">
        <v>329</v>
      </c>
      <c r="J649" s="2" t="s">
        <v>330</v>
      </c>
      <c r="K649" s="2"/>
    </row>
    <row r="650" spans="1:11" ht="26.4" hidden="1" x14ac:dyDescent="0.3">
      <c r="A650" t="str">
        <f t="shared" si="10"/>
        <v>Lycaeum|Fighter|WARR</v>
      </c>
      <c r="B650" s="2" t="s">
        <v>9</v>
      </c>
      <c r="C650" s="2" t="s">
        <v>277</v>
      </c>
      <c r="D650" s="34" t="s">
        <v>326</v>
      </c>
      <c r="E650" s="34" t="s">
        <v>335</v>
      </c>
      <c r="F650" s="34" t="s">
        <v>336</v>
      </c>
      <c r="G650" s="8" t="str">
        <f>IF(ISNA(VLOOKUP(B650&amp;"|"&amp;C650&amp;"|"&amp;D650&amp;"|"&amp;E650,QuestionTriggers!A:F,6,FALSE)),"","---&gt;")</f>
        <v>---&gt;</v>
      </c>
      <c r="H650" s="2" t="s">
        <v>328</v>
      </c>
      <c r="I650" s="2" t="s">
        <v>329</v>
      </c>
      <c r="J650" s="2" t="s">
        <v>330</v>
      </c>
      <c r="K650" s="2"/>
    </row>
    <row r="651" spans="1:11" ht="26.4" hidden="1" x14ac:dyDescent="0.3">
      <c r="A651" t="str">
        <f t="shared" si="10"/>
        <v>Lycaeum|Fighter|WOUN</v>
      </c>
      <c r="B651" s="2" t="s">
        <v>9</v>
      </c>
      <c r="C651" s="2" t="s">
        <v>277</v>
      </c>
      <c r="D651" s="34" t="s">
        <v>326</v>
      </c>
      <c r="E651" s="34" t="s">
        <v>161</v>
      </c>
      <c r="F651" s="34" t="s">
        <v>334</v>
      </c>
      <c r="G651" s="8" t="str">
        <f>IF(ISNA(VLOOKUP(B651&amp;"|"&amp;C651&amp;"|"&amp;D651&amp;"|"&amp;E651,QuestionTriggers!A:F,6,FALSE)),"","---&gt;")</f>
        <v/>
      </c>
      <c r="H651" s="2" t="s">
        <v>328</v>
      </c>
      <c r="I651" s="2" t="s">
        <v>329</v>
      </c>
      <c r="J651" s="2" t="s">
        <v>330</v>
      </c>
      <c r="K651" s="2"/>
    </row>
    <row r="652" spans="1:11" ht="26.4" hidden="1" x14ac:dyDescent="0.3">
      <c r="A652" t="str">
        <f t="shared" si="10"/>
        <v>Lycaeum|Guard|GUAR</v>
      </c>
      <c r="B652" s="2" t="s">
        <v>9</v>
      </c>
      <c r="C652" s="2" t="s">
        <v>277</v>
      </c>
      <c r="D652" s="34" t="s">
        <v>337</v>
      </c>
      <c r="E652" s="34" t="s">
        <v>34</v>
      </c>
      <c r="F652" s="34" t="s">
        <v>344</v>
      </c>
      <c r="G652" s="8" t="str">
        <f>IF(ISNA(VLOOKUP(B652&amp;"|"&amp;C652&amp;"|"&amp;D652&amp;"|"&amp;E652,QuestionTriggers!A:F,6,FALSE)),"","---&gt;")</f>
        <v/>
      </c>
      <c r="H652" s="2" t="s">
        <v>338</v>
      </c>
      <c r="I652" s="2" t="s">
        <v>339</v>
      </c>
      <c r="J652" s="2" t="s">
        <v>340</v>
      </c>
      <c r="K652" s="2"/>
    </row>
    <row r="653" spans="1:11" ht="26.4" hidden="1" x14ac:dyDescent="0.3">
      <c r="A653" t="str">
        <f t="shared" si="10"/>
        <v>Lycaeum|Guard|HEALTH</v>
      </c>
      <c r="B653" s="2" t="s">
        <v>9</v>
      </c>
      <c r="C653" s="2" t="s">
        <v>277</v>
      </c>
      <c r="D653" s="34" t="s">
        <v>337</v>
      </c>
      <c r="E653" s="34" t="s">
        <v>20</v>
      </c>
      <c r="F653" s="34" t="s">
        <v>343</v>
      </c>
      <c r="G653" s="8" t="str">
        <f>IF(ISNA(VLOOKUP(B653&amp;"|"&amp;C653&amp;"|"&amp;D653&amp;"|"&amp;E653,QuestionTriggers!A:F,6,FALSE)),"","---&gt;")</f>
        <v/>
      </c>
      <c r="H653" s="2" t="s">
        <v>338</v>
      </c>
      <c r="I653" s="2" t="s">
        <v>339</v>
      </c>
      <c r="J653" s="2" t="s">
        <v>340</v>
      </c>
      <c r="K653" s="2"/>
    </row>
    <row r="654" spans="1:11" ht="26.4" hidden="1" x14ac:dyDescent="0.3">
      <c r="A654" t="str">
        <f t="shared" si="10"/>
        <v>Lycaeum|Guard|HOUR</v>
      </c>
      <c r="B654" s="2" t="s">
        <v>9</v>
      </c>
      <c r="C654" s="2" t="s">
        <v>277</v>
      </c>
      <c r="D654" s="34" t="s">
        <v>337</v>
      </c>
      <c r="E654" s="34" t="s">
        <v>345</v>
      </c>
      <c r="F654" s="34" t="s">
        <v>346</v>
      </c>
      <c r="G654" s="8" t="str">
        <f>IF(ISNA(VLOOKUP(B654&amp;"|"&amp;C654&amp;"|"&amp;D654&amp;"|"&amp;E654,QuestionTriggers!A:F,6,FALSE)),"","---&gt;")</f>
        <v>---&gt;</v>
      </c>
      <c r="H654" s="2" t="s">
        <v>338</v>
      </c>
      <c r="I654" s="2" t="s">
        <v>339</v>
      </c>
      <c r="J654" s="2" t="s">
        <v>340</v>
      </c>
      <c r="K654" s="2"/>
    </row>
    <row r="655" spans="1:11" ht="26.4" hidden="1" x14ac:dyDescent="0.3">
      <c r="A655" t="str">
        <f t="shared" si="10"/>
        <v>Lycaeum|Guard|JOB</v>
      </c>
      <c r="B655" s="2" t="s">
        <v>9</v>
      </c>
      <c r="C655" s="2" t="s">
        <v>277</v>
      </c>
      <c r="D655" s="34" t="s">
        <v>337</v>
      </c>
      <c r="E655" s="34" t="s">
        <v>18</v>
      </c>
      <c r="F655" s="34" t="s">
        <v>342</v>
      </c>
      <c r="G655" s="8" t="str">
        <f>IF(ISNA(VLOOKUP(B655&amp;"|"&amp;C655&amp;"|"&amp;D655&amp;"|"&amp;E655,QuestionTriggers!A:F,6,FALSE)),"","---&gt;")</f>
        <v/>
      </c>
      <c r="H655" s="2" t="s">
        <v>338</v>
      </c>
      <c r="I655" s="2" t="s">
        <v>339</v>
      </c>
      <c r="J655" s="2" t="s">
        <v>340</v>
      </c>
      <c r="K655" s="2"/>
    </row>
    <row r="656" spans="1:11" ht="26.4" hidden="1" x14ac:dyDescent="0.3">
      <c r="A656" t="str">
        <f t="shared" si="10"/>
        <v>Lycaeum|Guard|LOOK</v>
      </c>
      <c r="B656" s="2" t="s">
        <v>9</v>
      </c>
      <c r="C656" s="2" t="s">
        <v>277</v>
      </c>
      <c r="D656" s="34" t="s">
        <v>337</v>
      </c>
      <c r="E656" s="34" t="s">
        <v>16</v>
      </c>
      <c r="F656" s="34" t="s">
        <v>341</v>
      </c>
      <c r="G656" s="8" t="str">
        <f>IF(ISNA(VLOOKUP(B656&amp;"|"&amp;C656&amp;"|"&amp;D656&amp;"|"&amp;E656,QuestionTriggers!A:F,6,FALSE)),"","---&gt;")</f>
        <v/>
      </c>
      <c r="H656" s="2" t="s">
        <v>338</v>
      </c>
      <c r="I656" s="2" t="s">
        <v>339</v>
      </c>
      <c r="J656" s="2" t="s">
        <v>340</v>
      </c>
      <c r="K656" s="2"/>
    </row>
    <row r="657" spans="1:11" ht="26.4" hidden="1" x14ac:dyDescent="0.3">
      <c r="A657" t="str">
        <f t="shared" si="10"/>
        <v>Lycaeum|Guard|NAME</v>
      </c>
      <c r="B657" s="2" t="s">
        <v>9</v>
      </c>
      <c r="C657" s="2" t="s">
        <v>277</v>
      </c>
      <c r="D657" s="34" t="s">
        <v>337</v>
      </c>
      <c r="E657" s="34" t="s">
        <v>12</v>
      </c>
      <c r="F657" s="34" t="s">
        <v>27</v>
      </c>
      <c r="G657" s="8" t="str">
        <f>IF(ISNA(VLOOKUP(B657&amp;"|"&amp;C657&amp;"|"&amp;D657&amp;"|"&amp;E657,QuestionTriggers!A:F,6,FALSE)),"","---&gt;")</f>
        <v/>
      </c>
      <c r="H657" s="2" t="s">
        <v>338</v>
      </c>
      <c r="I657" s="2" t="s">
        <v>339</v>
      </c>
      <c r="J657" s="2" t="s">
        <v>340</v>
      </c>
      <c r="K657" s="2"/>
    </row>
    <row r="658" spans="1:11" ht="39.6" hidden="1" x14ac:dyDescent="0.3">
      <c r="A658" t="str">
        <f t="shared" si="10"/>
        <v>Lycaeum|Jon|HEALTH</v>
      </c>
      <c r="B658" s="2" t="s">
        <v>9</v>
      </c>
      <c r="C658" s="2" t="s">
        <v>277</v>
      </c>
      <c r="D658" s="34" t="s">
        <v>347</v>
      </c>
      <c r="E658" s="34" t="s">
        <v>20</v>
      </c>
      <c r="F658" s="34" t="s">
        <v>353</v>
      </c>
      <c r="G658" s="8" t="str">
        <f>IF(ISNA(VLOOKUP(B658&amp;"|"&amp;C658&amp;"|"&amp;D658&amp;"|"&amp;E658,QuestionTriggers!A:F,6,FALSE)),"","---&gt;")</f>
        <v/>
      </c>
      <c r="H658" s="2" t="s">
        <v>348</v>
      </c>
      <c r="I658" s="2" t="s">
        <v>349</v>
      </c>
      <c r="J658" s="2" t="s">
        <v>350</v>
      </c>
      <c r="K658" s="2"/>
    </row>
    <row r="659" spans="1:11" ht="39.6" hidden="1" x14ac:dyDescent="0.3">
      <c r="A659" t="str">
        <f t="shared" si="10"/>
        <v>Lycaeum|Jon|JOB</v>
      </c>
      <c r="B659" s="2" t="s">
        <v>9</v>
      </c>
      <c r="C659" s="2" t="s">
        <v>277</v>
      </c>
      <c r="D659" s="34" t="s">
        <v>347</v>
      </c>
      <c r="E659" s="34" t="s">
        <v>18</v>
      </c>
      <c r="F659" s="34" t="s">
        <v>352</v>
      </c>
      <c r="G659" s="8" t="str">
        <f>IF(ISNA(VLOOKUP(B659&amp;"|"&amp;C659&amp;"|"&amp;D659&amp;"|"&amp;E659,QuestionTriggers!A:F,6,FALSE)),"","---&gt;")</f>
        <v/>
      </c>
      <c r="H659" s="2" t="s">
        <v>348</v>
      </c>
      <c r="I659" s="2" t="s">
        <v>349</v>
      </c>
      <c r="J659" s="2" t="s">
        <v>350</v>
      </c>
      <c r="K659" s="2"/>
    </row>
    <row r="660" spans="1:11" ht="39.6" hidden="1" x14ac:dyDescent="0.3">
      <c r="A660" t="str">
        <f t="shared" si="10"/>
        <v>Lycaeum|Jon|LOOK</v>
      </c>
      <c r="B660" s="2" t="s">
        <v>9</v>
      </c>
      <c r="C660" s="2" t="s">
        <v>277</v>
      </c>
      <c r="D660" s="34" t="s">
        <v>347</v>
      </c>
      <c r="E660" s="34" t="s">
        <v>16</v>
      </c>
      <c r="F660" s="34" t="s">
        <v>351</v>
      </c>
      <c r="G660" s="8" t="str">
        <f>IF(ISNA(VLOOKUP(B660&amp;"|"&amp;C660&amp;"|"&amp;D660&amp;"|"&amp;E660,QuestionTriggers!A:F,6,FALSE)),"","---&gt;")</f>
        <v/>
      </c>
      <c r="H660" s="2" t="s">
        <v>348</v>
      </c>
      <c r="I660" s="2" t="s">
        <v>349</v>
      </c>
      <c r="J660" s="2" t="s">
        <v>350</v>
      </c>
      <c r="K660" s="2"/>
    </row>
    <row r="661" spans="1:11" ht="39.6" hidden="1" x14ac:dyDescent="0.3">
      <c r="A661" t="str">
        <f t="shared" si="10"/>
        <v>Lycaeum|Jon|NAME</v>
      </c>
      <c r="B661" s="2" t="s">
        <v>9</v>
      </c>
      <c r="C661" s="2" t="s">
        <v>277</v>
      </c>
      <c r="D661" s="34" t="s">
        <v>347</v>
      </c>
      <c r="E661" s="34" t="s">
        <v>12</v>
      </c>
      <c r="F661" s="34" t="s">
        <v>347</v>
      </c>
      <c r="G661" s="8" t="str">
        <f>IF(ISNA(VLOOKUP(B661&amp;"|"&amp;C661&amp;"|"&amp;D661&amp;"|"&amp;E661,QuestionTriggers!A:F,6,FALSE)),"","---&gt;")</f>
        <v/>
      </c>
      <c r="H661" s="2" t="s">
        <v>348</v>
      </c>
      <c r="I661" s="2" t="s">
        <v>349</v>
      </c>
      <c r="J661" s="2" t="s">
        <v>350</v>
      </c>
      <c r="K661" s="2"/>
    </row>
    <row r="662" spans="1:11" ht="39.6" hidden="1" x14ac:dyDescent="0.3">
      <c r="A662" t="str">
        <f t="shared" si="10"/>
        <v>Lycaeum|Jon|THRO</v>
      </c>
      <c r="B662" s="2" t="s">
        <v>9</v>
      </c>
      <c r="C662" s="2" t="s">
        <v>277</v>
      </c>
      <c r="D662" s="34" t="s">
        <v>347</v>
      </c>
      <c r="E662" s="34" t="s">
        <v>354</v>
      </c>
      <c r="F662" s="34" t="s">
        <v>355</v>
      </c>
      <c r="G662" s="8" t="str">
        <f>IF(ISNA(VLOOKUP(B662&amp;"|"&amp;C662&amp;"|"&amp;D662&amp;"|"&amp;E662,QuestionTriggers!A:F,6,FALSE)),"","---&gt;")</f>
        <v/>
      </c>
      <c r="H662" s="2" t="s">
        <v>348</v>
      </c>
      <c r="I662" s="2" t="s">
        <v>349</v>
      </c>
      <c r="J662" s="2" t="s">
        <v>350</v>
      </c>
      <c r="K662" s="2"/>
    </row>
    <row r="663" spans="1:11" ht="39.6" hidden="1" x14ac:dyDescent="0.3">
      <c r="A663" t="str">
        <f t="shared" si="10"/>
        <v>Lycaeum|Jon|TRUT</v>
      </c>
      <c r="B663" s="2" t="s">
        <v>9</v>
      </c>
      <c r="C663" s="2" t="s">
        <v>277</v>
      </c>
      <c r="D663" s="34" t="s">
        <v>347</v>
      </c>
      <c r="E663" s="34" t="s">
        <v>233</v>
      </c>
      <c r="F663" s="34" t="s">
        <v>356</v>
      </c>
      <c r="G663" s="8" t="str">
        <f>IF(ISNA(VLOOKUP(B663&amp;"|"&amp;C663&amp;"|"&amp;D663&amp;"|"&amp;E663,QuestionTriggers!A:F,6,FALSE)),"","---&gt;")</f>
        <v>---&gt;</v>
      </c>
      <c r="H663" s="2" t="s">
        <v>348</v>
      </c>
      <c r="I663" s="2" t="s">
        <v>349</v>
      </c>
      <c r="J663" s="2" t="s">
        <v>350</v>
      </c>
      <c r="K663" s="2"/>
    </row>
    <row r="664" spans="1:11" x14ac:dyDescent="0.3">
      <c r="A664" t="str">
        <f t="shared" si="10"/>
        <v>Lycaeum|Lord Terence|HEALTH</v>
      </c>
      <c r="B664" s="2" t="s">
        <v>9</v>
      </c>
      <c r="C664" s="2" t="s">
        <v>277</v>
      </c>
      <c r="D664" s="2" t="s">
        <v>400</v>
      </c>
      <c r="E664" s="2" t="s">
        <v>20</v>
      </c>
      <c r="F664" s="2" t="s">
        <v>181</v>
      </c>
      <c r="G664" s="8" t="str">
        <f>IF(ISNA(VLOOKUP(B664&amp;"|"&amp;C664&amp;"|"&amp;D664&amp;"|"&amp;E664,QuestionTriggers!A:F,6,FALSE)),"","---&gt;")</f>
        <v/>
      </c>
      <c r="H664" s="2" t="s">
        <v>401</v>
      </c>
      <c r="I664" s="2" t="s">
        <v>402</v>
      </c>
      <c r="J664" s="2" t="s">
        <v>403</v>
      </c>
      <c r="K664" s="2"/>
    </row>
    <row r="665" spans="1:11" x14ac:dyDescent="0.3">
      <c r="A665" t="str">
        <f t="shared" si="10"/>
        <v>Lycaeum|Lord Terence|JOB</v>
      </c>
      <c r="B665" s="2" t="s">
        <v>9</v>
      </c>
      <c r="C665" s="2" t="s">
        <v>277</v>
      </c>
      <c r="D665" s="2" t="s">
        <v>400</v>
      </c>
      <c r="E665" s="2" t="s">
        <v>18</v>
      </c>
      <c r="F665" s="2" t="s">
        <v>405</v>
      </c>
      <c r="G665" s="8" t="str">
        <f>IF(ISNA(VLOOKUP(B665&amp;"|"&amp;C665&amp;"|"&amp;D665&amp;"|"&amp;E665,QuestionTriggers!A:F,6,FALSE)),"","---&gt;")</f>
        <v/>
      </c>
      <c r="H665" s="2" t="s">
        <v>401</v>
      </c>
      <c r="I665" s="2" t="s">
        <v>402</v>
      </c>
      <c r="J665" s="2" t="s">
        <v>403</v>
      </c>
      <c r="K665" s="2"/>
    </row>
    <row r="666" spans="1:11" x14ac:dyDescent="0.3">
      <c r="A666" t="str">
        <f t="shared" si="10"/>
        <v>Lycaeum|Lord Terence|LIBR</v>
      </c>
      <c r="B666" s="2" t="s">
        <v>9</v>
      </c>
      <c r="C666" s="2" t="s">
        <v>277</v>
      </c>
      <c r="D666" s="2" t="s">
        <v>400</v>
      </c>
      <c r="E666" s="2" t="s">
        <v>406</v>
      </c>
      <c r="F666" s="3" t="s">
        <v>2635</v>
      </c>
      <c r="G666" s="8" t="str">
        <f>IF(ISNA(VLOOKUP(B666&amp;"|"&amp;C666&amp;"|"&amp;D666&amp;"|"&amp;E666,QuestionTriggers!A:F,6,FALSE)),"","---&gt;")</f>
        <v/>
      </c>
      <c r="H666" s="2" t="s">
        <v>401</v>
      </c>
      <c r="I666" s="2" t="s">
        <v>402</v>
      </c>
      <c r="J666" s="2" t="s">
        <v>403</v>
      </c>
      <c r="K666" s="2"/>
    </row>
    <row r="667" spans="1:11" x14ac:dyDescent="0.3">
      <c r="A667" t="str">
        <f t="shared" si="10"/>
        <v>Lycaeum|Lord Terence|LOOK</v>
      </c>
      <c r="B667" s="2" t="s">
        <v>9</v>
      </c>
      <c r="C667" s="2" t="s">
        <v>277</v>
      </c>
      <c r="D667" s="2" t="s">
        <v>400</v>
      </c>
      <c r="E667" s="2" t="s">
        <v>16</v>
      </c>
      <c r="F667" s="2" t="s">
        <v>404</v>
      </c>
      <c r="G667" s="8" t="str">
        <f>IF(ISNA(VLOOKUP(B667&amp;"|"&amp;C667&amp;"|"&amp;D667&amp;"|"&amp;E667,QuestionTriggers!A:F,6,FALSE)),"","---&gt;")</f>
        <v/>
      </c>
      <c r="H667" s="2" t="s">
        <v>401</v>
      </c>
      <c r="I667" s="2" t="s">
        <v>402</v>
      </c>
      <c r="J667" s="2" t="s">
        <v>403</v>
      </c>
      <c r="K667" s="2"/>
    </row>
    <row r="668" spans="1:11" x14ac:dyDescent="0.3">
      <c r="A668" t="str">
        <f t="shared" si="10"/>
        <v>Lycaeum|Lord Terence|NAME</v>
      </c>
      <c r="B668" s="2" t="s">
        <v>9</v>
      </c>
      <c r="C668" s="2" t="s">
        <v>277</v>
      </c>
      <c r="D668" s="2" t="s">
        <v>400</v>
      </c>
      <c r="E668" s="2" t="s">
        <v>12</v>
      </c>
      <c r="F668" s="2" t="s">
        <v>400</v>
      </c>
      <c r="G668" s="8" t="str">
        <f>IF(ISNA(VLOOKUP(B668&amp;"|"&amp;C668&amp;"|"&amp;D668&amp;"|"&amp;E668,QuestionTriggers!A:F,6,FALSE)),"","---&gt;")</f>
        <v/>
      </c>
      <c r="H668" s="2" t="s">
        <v>401</v>
      </c>
      <c r="I668" s="2" t="s">
        <v>402</v>
      </c>
      <c r="J668" s="2" t="s">
        <v>403</v>
      </c>
      <c r="K668" s="2"/>
    </row>
    <row r="669" spans="1:11" x14ac:dyDescent="0.3">
      <c r="A669" t="str">
        <f t="shared" si="10"/>
        <v>Lycaeum|Lord Terence|TRUT</v>
      </c>
      <c r="B669" s="2" t="s">
        <v>9</v>
      </c>
      <c r="C669" s="2" t="s">
        <v>277</v>
      </c>
      <c r="D669" s="3" t="s">
        <v>400</v>
      </c>
      <c r="E669" s="3" t="s">
        <v>233</v>
      </c>
      <c r="F669" s="3" t="s">
        <v>407</v>
      </c>
      <c r="G669" s="8" t="str">
        <f>IF(ISNA(VLOOKUP(B669&amp;"|"&amp;C669&amp;"|"&amp;D669&amp;"|"&amp;E669,QuestionTriggers!A:F,6,FALSE)),"","---&gt;")</f>
        <v>---&gt;</v>
      </c>
      <c r="H669" s="2" t="s">
        <v>401</v>
      </c>
      <c r="I669" s="2" t="s">
        <v>402</v>
      </c>
      <c r="J669" s="2" t="s">
        <v>403</v>
      </c>
      <c r="K669" s="2"/>
    </row>
    <row r="670" spans="1:11" x14ac:dyDescent="0.3">
      <c r="A670" t="str">
        <f t="shared" si="10"/>
        <v>Lycaeum|Nigel|HEALTH</v>
      </c>
      <c r="B670" s="2" t="s">
        <v>9</v>
      </c>
      <c r="C670" s="2" t="s">
        <v>277</v>
      </c>
      <c r="D670" s="2" t="s">
        <v>357</v>
      </c>
      <c r="E670" s="2" t="s">
        <v>20</v>
      </c>
      <c r="F670" s="2" t="s">
        <v>364</v>
      </c>
      <c r="G670" s="8" t="str">
        <f>IF(ISNA(VLOOKUP(B670&amp;"|"&amp;C670&amp;"|"&amp;D670&amp;"|"&amp;E670,QuestionTriggers!A:F,6,FALSE)),"","---&gt;")</f>
        <v/>
      </c>
      <c r="H670" s="2" t="s">
        <v>359</v>
      </c>
      <c r="I670" s="2" t="s">
        <v>360</v>
      </c>
      <c r="J670" s="2" t="s">
        <v>361</v>
      </c>
      <c r="K670" s="2"/>
    </row>
    <row r="671" spans="1:11" x14ac:dyDescent="0.3">
      <c r="A671" t="str">
        <f t="shared" si="10"/>
        <v>Lycaeum|Nigel|JOB</v>
      </c>
      <c r="B671" s="2" t="s">
        <v>9</v>
      </c>
      <c r="C671" s="2" t="s">
        <v>277</v>
      </c>
      <c r="D671" s="2" t="s">
        <v>357</v>
      </c>
      <c r="E671" s="2" t="s">
        <v>18</v>
      </c>
      <c r="F671" s="2" t="s">
        <v>363</v>
      </c>
      <c r="G671" s="8" t="str">
        <f>IF(ISNA(VLOOKUP(B671&amp;"|"&amp;C671&amp;"|"&amp;D671&amp;"|"&amp;E671,QuestionTriggers!A:F,6,FALSE)),"","---&gt;")</f>
        <v/>
      </c>
      <c r="H671" s="2" t="s">
        <v>359</v>
      </c>
      <c r="I671" s="2" t="s">
        <v>360</v>
      </c>
      <c r="J671" s="2" t="s">
        <v>361</v>
      </c>
      <c r="K671" s="2"/>
    </row>
    <row r="672" spans="1:11" x14ac:dyDescent="0.3">
      <c r="A672" t="str">
        <f t="shared" si="10"/>
        <v>Lycaeum|Nigel|LOOK</v>
      </c>
      <c r="B672" s="2" t="s">
        <v>9</v>
      </c>
      <c r="C672" s="2" t="s">
        <v>277</v>
      </c>
      <c r="D672" s="2" t="s">
        <v>357</v>
      </c>
      <c r="E672" s="2" t="s">
        <v>16</v>
      </c>
      <c r="F672" s="2" t="s">
        <v>362</v>
      </c>
      <c r="G672" s="8" t="str">
        <f>IF(ISNA(VLOOKUP(B672&amp;"|"&amp;C672&amp;"|"&amp;D672&amp;"|"&amp;E672,QuestionTriggers!A:F,6,FALSE)),"","---&gt;")</f>
        <v/>
      </c>
      <c r="H672" s="2" t="s">
        <v>359</v>
      </c>
      <c r="I672" s="2" t="s">
        <v>360</v>
      </c>
      <c r="J672" s="2" t="s">
        <v>361</v>
      </c>
      <c r="K672" s="2"/>
    </row>
    <row r="673" spans="1:11" x14ac:dyDescent="0.3">
      <c r="A673" t="str">
        <f t="shared" si="10"/>
        <v>Lycaeum|Nigel|NAME</v>
      </c>
      <c r="B673" s="2" t="s">
        <v>9</v>
      </c>
      <c r="C673" s="2" t="s">
        <v>277</v>
      </c>
      <c r="D673" s="2" t="s">
        <v>357</v>
      </c>
      <c r="E673" s="2" t="s">
        <v>12</v>
      </c>
      <c r="F673" s="2" t="s">
        <v>358</v>
      </c>
      <c r="G673" s="8" t="str">
        <f>IF(ISNA(VLOOKUP(B673&amp;"|"&amp;C673&amp;"|"&amp;D673&amp;"|"&amp;E673,QuestionTriggers!A:F,6,FALSE)),"","---&gt;")</f>
        <v/>
      </c>
      <c r="H673" s="2" t="s">
        <v>359</v>
      </c>
      <c r="I673" s="2" t="s">
        <v>360</v>
      </c>
      <c r="J673" s="2" t="s">
        <v>361</v>
      </c>
      <c r="K673" s="2"/>
    </row>
    <row r="674" spans="1:11" ht="26.4" x14ac:dyDescent="0.3">
      <c r="A674" t="str">
        <f t="shared" si="10"/>
        <v>Lycaeum|Nigel|RECA</v>
      </c>
      <c r="B674" s="2" t="s">
        <v>9</v>
      </c>
      <c r="C674" s="2" t="s">
        <v>277</v>
      </c>
      <c r="D674" s="2" t="s">
        <v>357</v>
      </c>
      <c r="E674" s="2" t="s">
        <v>367</v>
      </c>
      <c r="F674" s="2" t="s">
        <v>368</v>
      </c>
      <c r="G674" s="8" t="str">
        <f>IF(ISNA(VLOOKUP(B674&amp;"|"&amp;C674&amp;"|"&amp;D674&amp;"|"&amp;E674,QuestionTriggers!A:F,6,FALSE)),"","---&gt;")</f>
        <v>---&gt;</v>
      </c>
      <c r="H674" s="2" t="s">
        <v>359</v>
      </c>
      <c r="I674" s="2" t="s">
        <v>360</v>
      </c>
      <c r="J674" s="2" t="s">
        <v>361</v>
      </c>
      <c r="K674" s="2"/>
    </row>
    <row r="675" spans="1:11" x14ac:dyDescent="0.3">
      <c r="A675" t="str">
        <f t="shared" si="10"/>
        <v>Lycaeum|Nigel|SPEL</v>
      </c>
      <c r="B675" s="2" t="s">
        <v>9</v>
      </c>
      <c r="C675" s="2" t="s">
        <v>277</v>
      </c>
      <c r="D675" s="2" t="s">
        <v>357</v>
      </c>
      <c r="E675" s="2" t="s">
        <v>365</v>
      </c>
      <c r="F675" s="2" t="s">
        <v>366</v>
      </c>
      <c r="G675" s="8" t="str">
        <f>IF(ISNA(VLOOKUP(B675&amp;"|"&amp;C675&amp;"|"&amp;D675&amp;"|"&amp;E675,QuestionTriggers!A:F,6,FALSE)),"","---&gt;")</f>
        <v/>
      </c>
      <c r="H675" s="2" t="s">
        <v>359</v>
      </c>
      <c r="I675" s="2" t="s">
        <v>360</v>
      </c>
      <c r="J675" s="2" t="s">
        <v>361</v>
      </c>
      <c r="K675" s="2"/>
    </row>
    <row r="676" spans="1:11" hidden="1" x14ac:dyDescent="0.3">
      <c r="A676" t="str">
        <f t="shared" si="10"/>
        <v>Lycaeum|Palamar|HEALTH</v>
      </c>
      <c r="B676" s="2" t="s">
        <v>9</v>
      </c>
      <c r="C676" s="2" t="s">
        <v>277</v>
      </c>
      <c r="D676" s="34" t="s">
        <v>369</v>
      </c>
      <c r="E676" s="34" t="s">
        <v>20</v>
      </c>
      <c r="F676" s="34" t="s">
        <v>375</v>
      </c>
      <c r="G676" s="8" t="str">
        <f>IF(ISNA(VLOOKUP(B676&amp;"|"&amp;C676&amp;"|"&amp;D676&amp;"|"&amp;E676,QuestionTriggers!A:F,6,FALSE)),"","---&gt;")</f>
        <v/>
      </c>
      <c r="H676" s="2" t="s">
        <v>370</v>
      </c>
      <c r="I676" s="2" t="s">
        <v>371</v>
      </c>
      <c r="J676" s="2" t="s">
        <v>372</v>
      </c>
      <c r="K676" s="2"/>
    </row>
    <row r="677" spans="1:11" hidden="1" x14ac:dyDescent="0.3">
      <c r="A677" t="str">
        <f t="shared" si="10"/>
        <v>Lycaeum|Palamar|JOB</v>
      </c>
      <c r="B677" s="2" t="s">
        <v>9</v>
      </c>
      <c r="C677" s="2" t="s">
        <v>277</v>
      </c>
      <c r="D677" s="34" t="s">
        <v>369</v>
      </c>
      <c r="E677" s="34" t="s">
        <v>18</v>
      </c>
      <c r="F677" s="34" t="s">
        <v>374</v>
      </c>
      <c r="G677" s="8" t="str">
        <f>IF(ISNA(VLOOKUP(B677&amp;"|"&amp;C677&amp;"|"&amp;D677&amp;"|"&amp;E677,QuestionTriggers!A:F,6,FALSE)),"","---&gt;")</f>
        <v/>
      </c>
      <c r="H677" s="2" t="s">
        <v>370</v>
      </c>
      <c r="I677" s="2" t="s">
        <v>371</v>
      </c>
      <c r="J677" s="2" t="s">
        <v>372</v>
      </c>
      <c r="K677" s="2"/>
    </row>
    <row r="678" spans="1:11" hidden="1" x14ac:dyDescent="0.3">
      <c r="A678" t="str">
        <f t="shared" si="10"/>
        <v>Lycaeum|Palamar|LOOK</v>
      </c>
      <c r="B678" s="2" t="s">
        <v>9</v>
      </c>
      <c r="C678" s="2" t="s">
        <v>277</v>
      </c>
      <c r="D678" s="34" t="s">
        <v>369</v>
      </c>
      <c r="E678" s="34" t="s">
        <v>16</v>
      </c>
      <c r="F678" s="34" t="s">
        <v>373</v>
      </c>
      <c r="G678" s="8" t="str">
        <f>IF(ISNA(VLOOKUP(B678&amp;"|"&amp;C678&amp;"|"&amp;D678&amp;"|"&amp;E678,QuestionTriggers!A:F,6,FALSE)),"","---&gt;")</f>
        <v/>
      </c>
      <c r="H678" s="2" t="s">
        <v>370</v>
      </c>
      <c r="I678" s="2" t="s">
        <v>371</v>
      </c>
      <c r="J678" s="2" t="s">
        <v>372</v>
      </c>
      <c r="K678" s="2"/>
    </row>
    <row r="679" spans="1:11" hidden="1" x14ac:dyDescent="0.3">
      <c r="A679" t="str">
        <f t="shared" si="10"/>
        <v>Lycaeum|Palamar|NAME</v>
      </c>
      <c r="B679" s="2" t="s">
        <v>9</v>
      </c>
      <c r="C679" s="2" t="s">
        <v>277</v>
      </c>
      <c r="D679" s="34" t="s">
        <v>369</v>
      </c>
      <c r="E679" s="34" t="s">
        <v>12</v>
      </c>
      <c r="F679" s="34" t="s">
        <v>369</v>
      </c>
      <c r="G679" s="8" t="str">
        <f>IF(ISNA(VLOOKUP(B679&amp;"|"&amp;C679&amp;"|"&amp;D679&amp;"|"&amp;E679,QuestionTriggers!A:F,6,FALSE)),"","---&gt;")</f>
        <v/>
      </c>
      <c r="H679" s="2" t="s">
        <v>370</v>
      </c>
      <c r="I679" s="2" t="s">
        <v>371</v>
      </c>
      <c r="J679" s="2" t="s">
        <v>372</v>
      </c>
      <c r="K679" s="2"/>
    </row>
    <row r="680" spans="1:11" hidden="1" x14ac:dyDescent="0.3">
      <c r="A680" t="str">
        <f t="shared" si="10"/>
        <v>Lycaeum|Palamar|SHOW</v>
      </c>
      <c r="B680" s="2" t="s">
        <v>9</v>
      </c>
      <c r="C680" s="2" t="s">
        <v>277</v>
      </c>
      <c r="D680" s="34" t="s">
        <v>369</v>
      </c>
      <c r="E680" s="34" t="s">
        <v>376</v>
      </c>
      <c r="F680" s="34" t="s">
        <v>377</v>
      </c>
      <c r="G680" s="8" t="str">
        <f>IF(ISNA(VLOOKUP(B680&amp;"|"&amp;C680&amp;"|"&amp;D680&amp;"|"&amp;E680,QuestionTriggers!A:F,6,FALSE)),"","---&gt;")</f>
        <v/>
      </c>
      <c r="H680" s="2" t="s">
        <v>370</v>
      </c>
      <c r="I680" s="2" t="s">
        <v>371</v>
      </c>
      <c r="J680" s="2" t="s">
        <v>372</v>
      </c>
      <c r="K680" s="2"/>
    </row>
    <row r="681" spans="1:11" hidden="1" x14ac:dyDescent="0.3">
      <c r="A681" t="str">
        <f t="shared" si="10"/>
        <v>Lycaeum|Palamar|TELE</v>
      </c>
      <c r="B681" s="2" t="s">
        <v>9</v>
      </c>
      <c r="C681" s="2" t="s">
        <v>277</v>
      </c>
      <c r="D681" s="34" t="s">
        <v>369</v>
      </c>
      <c r="E681" s="34" t="s">
        <v>378</v>
      </c>
      <c r="F681" s="34" t="s">
        <v>379</v>
      </c>
      <c r="G681" s="8" t="str">
        <f>IF(ISNA(VLOOKUP(B681&amp;"|"&amp;C681&amp;"|"&amp;D681&amp;"|"&amp;E681,QuestionTriggers!A:F,6,FALSE)),"","---&gt;")</f>
        <v>---&gt;</v>
      </c>
      <c r="H681" s="2" t="s">
        <v>370</v>
      </c>
      <c r="I681" s="2" t="s">
        <v>371</v>
      </c>
      <c r="J681" s="2" t="s">
        <v>372</v>
      </c>
      <c r="K681" s="2"/>
    </row>
    <row r="682" spans="1:11" x14ac:dyDescent="0.3">
      <c r="A682" t="str">
        <f t="shared" si="10"/>
        <v>Lycaeum|Robert Frasier|HEALTH</v>
      </c>
      <c r="B682" s="2" t="s">
        <v>9</v>
      </c>
      <c r="C682" s="2" t="s">
        <v>277</v>
      </c>
      <c r="D682" s="2" t="s">
        <v>278</v>
      </c>
      <c r="E682" s="2" t="s">
        <v>20</v>
      </c>
      <c r="F682" s="2" t="s">
        <v>284</v>
      </c>
      <c r="G682" s="8" t="str">
        <f>IF(ISNA(VLOOKUP(B682&amp;"|"&amp;C682&amp;"|"&amp;D682&amp;"|"&amp;E682,QuestionTriggers!A:F,6,FALSE)),"","---&gt;")</f>
        <v/>
      </c>
      <c r="H682" s="2" t="s">
        <v>279</v>
      </c>
      <c r="I682" s="2" t="s">
        <v>280</v>
      </c>
      <c r="J682" s="2" t="s">
        <v>281</v>
      </c>
      <c r="K682" s="2"/>
    </row>
    <row r="683" spans="1:11" x14ac:dyDescent="0.3">
      <c r="A683" t="str">
        <f t="shared" si="10"/>
        <v>Lycaeum|Robert Frasier|JOB</v>
      </c>
      <c r="B683" s="2" t="s">
        <v>9</v>
      </c>
      <c r="C683" s="2" t="s">
        <v>277</v>
      </c>
      <c r="D683" s="2" t="s">
        <v>278</v>
      </c>
      <c r="E683" s="2" t="s">
        <v>18</v>
      </c>
      <c r="F683" s="2" t="s">
        <v>283</v>
      </c>
      <c r="G683" s="8" t="str">
        <f>IF(ISNA(VLOOKUP(B683&amp;"|"&amp;C683&amp;"|"&amp;D683&amp;"|"&amp;E683,QuestionTriggers!A:F,6,FALSE)),"","---&gt;")</f>
        <v/>
      </c>
      <c r="H683" s="2" t="s">
        <v>279</v>
      </c>
      <c r="I683" s="2" t="s">
        <v>280</v>
      </c>
      <c r="J683" s="2" t="s">
        <v>281</v>
      </c>
      <c r="K683" s="2"/>
    </row>
    <row r="684" spans="1:11" x14ac:dyDescent="0.3">
      <c r="A684" t="str">
        <f t="shared" si="10"/>
        <v>Lycaeum|Robert Frasier|LOOK</v>
      </c>
      <c r="B684" s="2" t="s">
        <v>9</v>
      </c>
      <c r="C684" s="2" t="s">
        <v>277</v>
      </c>
      <c r="D684" s="2" t="s">
        <v>278</v>
      </c>
      <c r="E684" s="2" t="s">
        <v>16</v>
      </c>
      <c r="F684" s="2" t="s">
        <v>282</v>
      </c>
      <c r="G684" s="8" t="str">
        <f>IF(ISNA(VLOOKUP(B684&amp;"|"&amp;C684&amp;"|"&amp;D684&amp;"|"&amp;E684,QuestionTriggers!A:F,6,FALSE)),"","---&gt;")</f>
        <v/>
      </c>
      <c r="H684" s="2" t="s">
        <v>279</v>
      </c>
      <c r="I684" s="2" t="s">
        <v>280</v>
      </c>
      <c r="J684" s="2" t="s">
        <v>281</v>
      </c>
      <c r="K684" s="2"/>
    </row>
    <row r="685" spans="1:11" x14ac:dyDescent="0.3">
      <c r="A685" t="str">
        <f t="shared" si="10"/>
        <v>Lycaeum|Robert Frasier|NAME</v>
      </c>
      <c r="B685" s="2" t="s">
        <v>9</v>
      </c>
      <c r="C685" s="2" t="s">
        <v>277</v>
      </c>
      <c r="D685" s="2" t="s">
        <v>278</v>
      </c>
      <c r="E685" s="2" t="s">
        <v>12</v>
      </c>
      <c r="F685" s="2" t="s">
        <v>278</v>
      </c>
      <c r="G685" s="8" t="str">
        <f>IF(ISNA(VLOOKUP(B685&amp;"|"&amp;C685&amp;"|"&amp;D685&amp;"|"&amp;E685,QuestionTriggers!A:F,6,FALSE)),"","---&gt;")</f>
        <v/>
      </c>
      <c r="H685" s="2" t="s">
        <v>279</v>
      </c>
      <c r="I685" s="2" t="s">
        <v>280</v>
      </c>
      <c r="J685" s="2" t="s">
        <v>281</v>
      </c>
      <c r="K685" s="2"/>
    </row>
    <row r="686" spans="1:11" x14ac:dyDescent="0.3">
      <c r="A686" t="str">
        <f t="shared" si="10"/>
        <v>Lycaeum|Robert Frasier|PROV</v>
      </c>
      <c r="B686" s="2" t="s">
        <v>9</v>
      </c>
      <c r="C686" s="2" t="s">
        <v>277</v>
      </c>
      <c r="D686" s="2" t="s">
        <v>278</v>
      </c>
      <c r="E686" s="2" t="s">
        <v>285</v>
      </c>
      <c r="F686" s="2" t="s">
        <v>2641</v>
      </c>
      <c r="G686" s="8" t="str">
        <f>IF(ISNA(VLOOKUP(B686&amp;"|"&amp;C686&amp;"|"&amp;D686&amp;"|"&amp;E686,QuestionTriggers!A:F,6,FALSE)),"","---&gt;")</f>
        <v/>
      </c>
      <c r="H686" s="2" t="s">
        <v>279</v>
      </c>
      <c r="I686" s="2" t="s">
        <v>280</v>
      </c>
      <c r="J686" s="2" t="s">
        <v>281</v>
      </c>
      <c r="K686" s="2"/>
    </row>
    <row r="687" spans="1:11" x14ac:dyDescent="0.3">
      <c r="A687" t="str">
        <f t="shared" si="10"/>
        <v>Lycaeum|Robert Frasier|WORD</v>
      </c>
      <c r="B687" s="2" t="s">
        <v>9</v>
      </c>
      <c r="C687" s="2" t="s">
        <v>277</v>
      </c>
      <c r="D687" s="2" t="s">
        <v>278</v>
      </c>
      <c r="E687" s="2" t="s">
        <v>286</v>
      </c>
      <c r="F687" s="3" t="s">
        <v>287</v>
      </c>
      <c r="G687" s="8" t="str">
        <f>IF(ISNA(VLOOKUP(B687&amp;"|"&amp;C687&amp;"|"&amp;D687&amp;"|"&amp;E687,QuestionTriggers!A:F,6,FALSE)),"","---&gt;")</f>
        <v>---&gt;</v>
      </c>
      <c r="H687" s="3" t="s">
        <v>279</v>
      </c>
      <c r="I687" s="3" t="s">
        <v>280</v>
      </c>
      <c r="J687" s="2" t="s">
        <v>281</v>
      </c>
      <c r="K687" s="2"/>
    </row>
    <row r="688" spans="1:11" ht="26.4" x14ac:dyDescent="0.3">
      <c r="A688" t="str">
        <f t="shared" si="10"/>
        <v>Lycaeum|Scatuu|ADVI</v>
      </c>
      <c r="B688" s="2" t="s">
        <v>9</v>
      </c>
      <c r="C688" s="2" t="s">
        <v>277</v>
      </c>
      <c r="D688" s="2" t="s">
        <v>2629</v>
      </c>
      <c r="E688" s="2" t="s">
        <v>386</v>
      </c>
      <c r="F688" s="2" t="s">
        <v>387</v>
      </c>
      <c r="G688" s="8" t="str">
        <f>IF(ISNA(VLOOKUP(B688&amp;"|"&amp;C688&amp;"|"&amp;D688&amp;"|"&amp;E688,QuestionTriggers!A:F,6,FALSE)),"","---&gt;")</f>
        <v/>
      </c>
      <c r="H688" s="2" t="s">
        <v>381</v>
      </c>
      <c r="I688" s="2" t="s">
        <v>382</v>
      </c>
      <c r="J688" s="2" t="s">
        <v>197</v>
      </c>
      <c r="K688" s="2"/>
    </row>
    <row r="689" spans="1:11" ht="26.4" x14ac:dyDescent="0.3">
      <c r="A689" t="str">
        <f t="shared" si="10"/>
        <v>Lycaeum|Scatuu|ARMO</v>
      </c>
      <c r="B689" s="2" t="s">
        <v>9</v>
      </c>
      <c r="C689" s="2" t="s">
        <v>277</v>
      </c>
      <c r="D689" s="2" t="s">
        <v>2629</v>
      </c>
      <c r="E689" s="2" t="s">
        <v>388</v>
      </c>
      <c r="F689" s="2" t="s">
        <v>389</v>
      </c>
      <c r="G689" s="8" t="str">
        <f>IF(ISNA(VLOOKUP(B689&amp;"|"&amp;C689&amp;"|"&amp;D689&amp;"|"&amp;E689,QuestionTriggers!A:F,6,FALSE)),"","---&gt;")</f>
        <v/>
      </c>
      <c r="H689" s="2" t="s">
        <v>381</v>
      </c>
      <c r="I689" s="2" t="s">
        <v>382</v>
      </c>
      <c r="J689" s="2" t="s">
        <v>197</v>
      </c>
      <c r="K689" s="2"/>
    </row>
    <row r="690" spans="1:11" ht="26.4" x14ac:dyDescent="0.3">
      <c r="A690" t="str">
        <f t="shared" si="10"/>
        <v>Lycaeum|Scatuu|HEALTH</v>
      </c>
      <c r="B690" s="2" t="s">
        <v>9</v>
      </c>
      <c r="C690" s="2" t="s">
        <v>277</v>
      </c>
      <c r="D690" s="2" t="s">
        <v>2629</v>
      </c>
      <c r="E690" s="2" t="s">
        <v>20</v>
      </c>
      <c r="F690" s="2" t="s">
        <v>385</v>
      </c>
      <c r="G690" s="8" t="str">
        <f>IF(ISNA(VLOOKUP(B690&amp;"|"&amp;C690&amp;"|"&amp;D690&amp;"|"&amp;E690,QuestionTriggers!A:F,6,FALSE)),"","---&gt;")</f>
        <v/>
      </c>
      <c r="H690" s="3" t="s">
        <v>381</v>
      </c>
      <c r="I690" s="3" t="s">
        <v>382</v>
      </c>
      <c r="J690" s="2" t="s">
        <v>197</v>
      </c>
      <c r="K690" s="2"/>
    </row>
    <row r="691" spans="1:11" ht="26.4" x14ac:dyDescent="0.3">
      <c r="A691" t="str">
        <f t="shared" si="10"/>
        <v>Lycaeum|Scatuu|JOB</v>
      </c>
      <c r="B691" s="2" t="s">
        <v>9</v>
      </c>
      <c r="C691" s="2" t="s">
        <v>277</v>
      </c>
      <c r="D691" s="2" t="s">
        <v>2629</v>
      </c>
      <c r="E691" s="2" t="s">
        <v>18</v>
      </c>
      <c r="F691" s="2" t="s">
        <v>384</v>
      </c>
      <c r="G691" s="8" t="str">
        <f>IF(ISNA(VLOOKUP(B691&amp;"|"&amp;C691&amp;"|"&amp;D691&amp;"|"&amp;E691,QuestionTriggers!A:F,6,FALSE)),"","---&gt;")</f>
        <v/>
      </c>
      <c r="H691" s="2" t="s">
        <v>381</v>
      </c>
      <c r="I691" s="2" t="s">
        <v>382</v>
      </c>
      <c r="J691" s="2" t="s">
        <v>197</v>
      </c>
      <c r="K691" s="2"/>
    </row>
    <row r="692" spans="1:11" ht="26.4" x14ac:dyDescent="0.3">
      <c r="A692" t="str">
        <f t="shared" si="10"/>
        <v>Lycaeum|Scatuu|LOOK</v>
      </c>
      <c r="B692" s="2" t="s">
        <v>9</v>
      </c>
      <c r="C692" s="2" t="s">
        <v>277</v>
      </c>
      <c r="D692" s="2" t="s">
        <v>2629</v>
      </c>
      <c r="E692" s="2" t="s">
        <v>16</v>
      </c>
      <c r="F692" s="2" t="s">
        <v>383</v>
      </c>
      <c r="G692" s="8" t="str">
        <f>IF(ISNA(VLOOKUP(B692&amp;"|"&amp;C692&amp;"|"&amp;D692&amp;"|"&amp;E692,QuestionTriggers!A:F,6,FALSE)),"","---&gt;")</f>
        <v/>
      </c>
      <c r="H692" s="2" t="s">
        <v>381</v>
      </c>
      <c r="I692" s="2" t="s">
        <v>382</v>
      </c>
      <c r="J692" s="2" t="s">
        <v>197</v>
      </c>
      <c r="K692" s="2"/>
    </row>
    <row r="693" spans="1:11" ht="26.4" x14ac:dyDescent="0.3">
      <c r="A693" t="str">
        <f t="shared" si="10"/>
        <v>Lycaeum|Scatuu|NAME</v>
      </c>
      <c r="B693" s="2" t="s">
        <v>9</v>
      </c>
      <c r="C693" s="2" t="s">
        <v>277</v>
      </c>
      <c r="D693" s="2" t="s">
        <v>2629</v>
      </c>
      <c r="E693" s="2" t="s">
        <v>12</v>
      </c>
      <c r="F693" s="2" t="s">
        <v>2629</v>
      </c>
      <c r="G693" s="8" t="str">
        <f>IF(ISNA(VLOOKUP(B693&amp;"|"&amp;C693&amp;"|"&amp;D693&amp;"|"&amp;E693,QuestionTriggers!A:F,6,FALSE)),"","---&gt;")</f>
        <v/>
      </c>
      <c r="H693" s="2" t="s">
        <v>381</v>
      </c>
      <c r="I693" s="2" t="s">
        <v>382</v>
      </c>
      <c r="J693" s="2" t="s">
        <v>197</v>
      </c>
      <c r="K693" s="2"/>
    </row>
    <row r="694" spans="1:11" x14ac:dyDescent="0.3">
      <c r="A694" t="str">
        <f t="shared" si="10"/>
        <v>Lycaeum|Shylock the Meek|BEG</v>
      </c>
      <c r="B694" s="2" t="s">
        <v>9</v>
      </c>
      <c r="C694" s="2" t="s">
        <v>277</v>
      </c>
      <c r="D694" s="2" t="s">
        <v>390</v>
      </c>
      <c r="E694" s="2" t="s">
        <v>398</v>
      </c>
      <c r="F694" s="2" t="s">
        <v>399</v>
      </c>
      <c r="G694" s="8" t="str">
        <f>IF(ISNA(VLOOKUP(B694&amp;"|"&amp;C694&amp;"|"&amp;D694&amp;"|"&amp;E694,QuestionTriggers!A:F,6,FALSE)),"","---&gt;")</f>
        <v>---&gt;</v>
      </c>
      <c r="H694" s="2" t="s">
        <v>391</v>
      </c>
      <c r="I694" s="2" t="s">
        <v>392</v>
      </c>
      <c r="J694" s="2" t="s">
        <v>392</v>
      </c>
      <c r="K694" s="2"/>
    </row>
    <row r="695" spans="1:11" x14ac:dyDescent="0.3">
      <c r="A695" t="str">
        <f t="shared" si="10"/>
        <v>Lycaeum|Shylock the Meek|HEALTH</v>
      </c>
      <c r="B695" s="2" t="s">
        <v>9</v>
      </c>
      <c r="C695" s="2" t="s">
        <v>277</v>
      </c>
      <c r="D695" s="2" t="s">
        <v>390</v>
      </c>
      <c r="E695" s="2" t="s">
        <v>20</v>
      </c>
      <c r="F695" s="2" t="s">
        <v>395</v>
      </c>
      <c r="G695" s="8" t="str">
        <f>IF(ISNA(VLOOKUP(B695&amp;"|"&amp;C695&amp;"|"&amp;D695&amp;"|"&amp;E695,QuestionTriggers!A:F,6,FALSE)),"","---&gt;")</f>
        <v/>
      </c>
      <c r="H695" s="2" t="s">
        <v>391</v>
      </c>
      <c r="I695" s="2" t="s">
        <v>392</v>
      </c>
      <c r="J695" s="2" t="s">
        <v>392</v>
      </c>
      <c r="K695" s="2"/>
    </row>
    <row r="696" spans="1:11" x14ac:dyDescent="0.3">
      <c r="A696" t="str">
        <f t="shared" si="10"/>
        <v>Lycaeum|Shylock the Meek|JOB</v>
      </c>
      <c r="B696" s="2" t="s">
        <v>9</v>
      </c>
      <c r="C696" s="2" t="s">
        <v>277</v>
      </c>
      <c r="D696" s="2" t="s">
        <v>390</v>
      </c>
      <c r="E696" s="2" t="s">
        <v>18</v>
      </c>
      <c r="F696" s="2" t="s">
        <v>394</v>
      </c>
      <c r="G696" s="8" t="str">
        <f>IF(ISNA(VLOOKUP(B696&amp;"|"&amp;C696&amp;"|"&amp;D696&amp;"|"&amp;E696,QuestionTriggers!A:F,6,FALSE)),"","---&gt;")</f>
        <v/>
      </c>
      <c r="H696" s="2" t="s">
        <v>391</v>
      </c>
      <c r="I696" s="2" t="s">
        <v>392</v>
      </c>
      <c r="J696" s="2" t="s">
        <v>392</v>
      </c>
      <c r="K696" s="2"/>
    </row>
    <row r="697" spans="1:11" x14ac:dyDescent="0.3">
      <c r="A697" t="str">
        <f t="shared" si="10"/>
        <v>Lycaeum|Shylock the Meek|LOOK</v>
      </c>
      <c r="B697" s="2" t="s">
        <v>9</v>
      </c>
      <c r="C697" s="2" t="s">
        <v>277</v>
      </c>
      <c r="D697" s="2" t="s">
        <v>390</v>
      </c>
      <c r="E697" s="2" t="s">
        <v>16</v>
      </c>
      <c r="F697" s="2" t="s">
        <v>393</v>
      </c>
      <c r="G697" s="8" t="str">
        <f>IF(ISNA(VLOOKUP(B697&amp;"|"&amp;C697&amp;"|"&amp;D697&amp;"|"&amp;E697,QuestionTriggers!A:F,6,FALSE)),"","---&gt;")</f>
        <v/>
      </c>
      <c r="H697" s="2" t="s">
        <v>391</v>
      </c>
      <c r="I697" s="2" t="s">
        <v>392</v>
      </c>
      <c r="J697" s="2" t="s">
        <v>392</v>
      </c>
      <c r="K697" s="2"/>
    </row>
    <row r="698" spans="1:11" x14ac:dyDescent="0.3">
      <c r="A698" t="str">
        <f t="shared" si="10"/>
        <v>Lycaeum|Shylock the Meek|NAME</v>
      </c>
      <c r="B698" s="2" t="s">
        <v>9</v>
      </c>
      <c r="C698" s="2" t="s">
        <v>277</v>
      </c>
      <c r="D698" s="2" t="s">
        <v>390</v>
      </c>
      <c r="E698" s="2" t="s">
        <v>12</v>
      </c>
      <c r="F698" s="2" t="s">
        <v>390</v>
      </c>
      <c r="G698" s="8" t="str">
        <f>IF(ISNA(VLOOKUP(B698&amp;"|"&amp;C698&amp;"|"&amp;D698&amp;"|"&amp;E698,QuestionTriggers!A:F,6,FALSE)),"","---&gt;")</f>
        <v/>
      </c>
      <c r="H698" s="2" t="s">
        <v>391</v>
      </c>
      <c r="I698" s="2" t="s">
        <v>392</v>
      </c>
      <c r="J698" s="2" t="s">
        <v>392</v>
      </c>
      <c r="K698" s="2"/>
    </row>
    <row r="699" spans="1:11" x14ac:dyDescent="0.3">
      <c r="A699" t="str">
        <f t="shared" si="10"/>
        <v>Lycaeum|Shylock the Meek|SICK</v>
      </c>
      <c r="B699" s="2" t="s">
        <v>9</v>
      </c>
      <c r="C699" s="2" t="s">
        <v>277</v>
      </c>
      <c r="D699" s="2" t="s">
        <v>390</v>
      </c>
      <c r="E699" s="2" t="s">
        <v>396</v>
      </c>
      <c r="F699" s="2" t="s">
        <v>397</v>
      </c>
      <c r="G699" s="8" t="str">
        <f>IF(ISNA(VLOOKUP(B699&amp;"|"&amp;C699&amp;"|"&amp;D699&amp;"|"&amp;E699,QuestionTriggers!A:F,6,FALSE)),"","---&gt;")</f>
        <v/>
      </c>
      <c r="H699" s="2" t="s">
        <v>391</v>
      </c>
      <c r="I699" s="2" t="s">
        <v>392</v>
      </c>
      <c r="J699" s="2" t="s">
        <v>392</v>
      </c>
      <c r="K699" s="2"/>
    </row>
    <row r="700" spans="1:11" hidden="1" x14ac:dyDescent="0.3">
      <c r="A700" t="str">
        <f t="shared" si="10"/>
        <v>Lycaeum|Truth Seeker|HEALTH</v>
      </c>
      <c r="B700" s="2" t="s">
        <v>9</v>
      </c>
      <c r="C700" s="2" t="s">
        <v>277</v>
      </c>
      <c r="D700" s="34" t="s">
        <v>408</v>
      </c>
      <c r="E700" s="34" t="s">
        <v>20</v>
      </c>
      <c r="F700" s="34" t="s">
        <v>412</v>
      </c>
      <c r="G700" s="8" t="str">
        <f>IF(ISNA(VLOOKUP(B700&amp;"|"&amp;C700&amp;"|"&amp;D700&amp;"|"&amp;E700,QuestionTriggers!A:F,6,FALSE)),"","---&gt;")</f>
        <v/>
      </c>
      <c r="H700" s="2"/>
      <c r="I700" s="2"/>
      <c r="J700" s="2"/>
      <c r="K700" s="2"/>
    </row>
    <row r="701" spans="1:11" hidden="1" x14ac:dyDescent="0.3">
      <c r="A701" t="str">
        <f t="shared" si="10"/>
        <v>Lycaeum|Truth Seeker|JOB</v>
      </c>
      <c r="B701" s="2" t="s">
        <v>9</v>
      </c>
      <c r="C701" s="2" t="s">
        <v>277</v>
      </c>
      <c r="D701" s="34" t="s">
        <v>408</v>
      </c>
      <c r="E701" s="34" t="s">
        <v>18</v>
      </c>
      <c r="F701" s="34" t="s">
        <v>411</v>
      </c>
      <c r="G701" s="8" t="str">
        <f>IF(ISNA(VLOOKUP(B701&amp;"|"&amp;C701&amp;"|"&amp;D701&amp;"|"&amp;E701,QuestionTriggers!A:F,6,FALSE)),"","---&gt;")</f>
        <v/>
      </c>
      <c r="H701" s="2"/>
      <c r="I701" s="2"/>
      <c r="J701" s="2"/>
      <c r="K701" s="2"/>
    </row>
    <row r="702" spans="1:11" hidden="1" x14ac:dyDescent="0.3">
      <c r="A702" t="str">
        <f t="shared" si="10"/>
        <v>Lycaeum|Truth Seeker|LOOK</v>
      </c>
      <c r="B702" s="2" t="s">
        <v>9</v>
      </c>
      <c r="C702" s="2" t="s">
        <v>277</v>
      </c>
      <c r="D702" s="34" t="s">
        <v>408</v>
      </c>
      <c r="E702" s="34" t="s">
        <v>16</v>
      </c>
      <c r="F702" s="34" t="s">
        <v>410</v>
      </c>
      <c r="G702" s="8" t="str">
        <f>IF(ISNA(VLOOKUP(B702&amp;"|"&amp;C702&amp;"|"&amp;D702&amp;"|"&amp;E702,QuestionTriggers!A:F,6,FALSE)),"","---&gt;")</f>
        <v/>
      </c>
      <c r="H702" s="2"/>
      <c r="I702" s="2"/>
      <c r="J702" s="2"/>
      <c r="K702" s="2"/>
    </row>
    <row r="703" spans="1:11" ht="26.4" hidden="1" x14ac:dyDescent="0.3">
      <c r="A703" t="str">
        <f t="shared" si="10"/>
        <v>Lycaeum|Truth Seeker|MEDI</v>
      </c>
      <c r="B703" s="2" t="s">
        <v>9</v>
      </c>
      <c r="C703" s="2" t="s">
        <v>277</v>
      </c>
      <c r="D703" s="34" t="s">
        <v>408</v>
      </c>
      <c r="E703" s="34" t="s">
        <v>414</v>
      </c>
      <c r="F703" s="34" t="s">
        <v>415</v>
      </c>
      <c r="G703" s="8" t="str">
        <f>IF(ISNA(VLOOKUP(B703&amp;"|"&amp;C703&amp;"|"&amp;D703&amp;"|"&amp;E703,QuestionTriggers!A:F,6,FALSE)),"","---&gt;")</f>
        <v/>
      </c>
      <c r="H703" s="2"/>
      <c r="I703" s="2"/>
      <c r="J703" s="2"/>
      <c r="K703" s="2"/>
    </row>
    <row r="704" spans="1:11" hidden="1" x14ac:dyDescent="0.3">
      <c r="A704" t="str">
        <f t="shared" si="10"/>
        <v>Lycaeum|Truth Seeker|NAME</v>
      </c>
      <c r="B704" s="2" t="s">
        <v>9</v>
      </c>
      <c r="C704" s="2" t="s">
        <v>277</v>
      </c>
      <c r="D704" s="34" t="s">
        <v>408</v>
      </c>
      <c r="E704" s="34" t="s">
        <v>12</v>
      </c>
      <c r="F704" s="34" t="s">
        <v>409</v>
      </c>
      <c r="G704" s="8" t="str">
        <f>IF(ISNA(VLOOKUP(B704&amp;"|"&amp;C704&amp;"|"&amp;D704&amp;"|"&amp;E704,QuestionTriggers!A:F,6,FALSE)),"","---&gt;")</f>
        <v/>
      </c>
      <c r="H704" s="2"/>
      <c r="I704" s="2"/>
      <c r="J704" s="2"/>
      <c r="K704" s="2"/>
    </row>
    <row r="705" spans="1:11" hidden="1" x14ac:dyDescent="0.3">
      <c r="A705" t="str">
        <f t="shared" si="10"/>
        <v>Lycaeum|Truth Seeker|TRUT</v>
      </c>
      <c r="B705" s="2" t="s">
        <v>9</v>
      </c>
      <c r="C705" s="2" t="s">
        <v>277</v>
      </c>
      <c r="D705" s="34" t="s">
        <v>408</v>
      </c>
      <c r="E705" s="34" t="s">
        <v>233</v>
      </c>
      <c r="F705" s="34" t="s">
        <v>413</v>
      </c>
      <c r="G705" s="8" t="str">
        <f>IF(ISNA(VLOOKUP(B705&amp;"|"&amp;C705&amp;"|"&amp;D705&amp;"|"&amp;E705,QuestionTriggers!A:F,6,FALSE)),"","---&gt;")</f>
        <v/>
      </c>
      <c r="H705" s="2"/>
      <c r="I705" s="2"/>
      <c r="J705" s="2"/>
      <c r="K705" s="2"/>
    </row>
    <row r="706" spans="1:11" ht="26.4" x14ac:dyDescent="0.3">
      <c r="A706" t="str">
        <f t="shared" si="10"/>
        <v>Lycaeum|Tymus|FOUR</v>
      </c>
      <c r="B706" s="2" t="s">
        <v>9</v>
      </c>
      <c r="C706" s="2" t="s">
        <v>277</v>
      </c>
      <c r="D706" s="2" t="s">
        <v>416</v>
      </c>
      <c r="E706" s="2" t="s">
        <v>425</v>
      </c>
      <c r="F706" s="2" t="s">
        <v>426</v>
      </c>
      <c r="G706" s="8" t="str">
        <f>IF(ISNA(VLOOKUP(B706&amp;"|"&amp;C706&amp;"|"&amp;D706&amp;"|"&amp;E706,QuestionTriggers!A:F,6,FALSE)),"","---&gt;")</f>
        <v>---&gt;</v>
      </c>
      <c r="H706" s="2" t="s">
        <v>417</v>
      </c>
      <c r="I706" s="2" t="s">
        <v>418</v>
      </c>
      <c r="J706" s="2" t="s">
        <v>419</v>
      </c>
      <c r="K706" s="2"/>
    </row>
    <row r="707" spans="1:11" ht="26.4" x14ac:dyDescent="0.3">
      <c r="A707" t="str">
        <f t="shared" ref="A707:A770" si="11">C707&amp;"|"&amp;D707&amp;"|"&amp;E707</f>
        <v>Lycaeum|Tymus|HEALTH</v>
      </c>
      <c r="B707" s="2" t="s">
        <v>9</v>
      </c>
      <c r="C707" s="2" t="s">
        <v>277</v>
      </c>
      <c r="D707" s="2" t="s">
        <v>416</v>
      </c>
      <c r="E707" s="2" t="s">
        <v>20</v>
      </c>
      <c r="F707" s="2" t="s">
        <v>422</v>
      </c>
      <c r="G707" s="8" t="str">
        <f>IF(ISNA(VLOOKUP(B707&amp;"|"&amp;C707&amp;"|"&amp;D707&amp;"|"&amp;E707,QuestionTriggers!A:F,6,FALSE)),"","---&gt;")</f>
        <v/>
      </c>
      <c r="H707" s="2" t="s">
        <v>417</v>
      </c>
      <c r="I707" s="2" t="s">
        <v>418</v>
      </c>
      <c r="J707" s="2" t="s">
        <v>419</v>
      </c>
      <c r="K707" s="2"/>
    </row>
    <row r="708" spans="1:11" ht="26.4" x14ac:dyDescent="0.3">
      <c r="A708" t="str">
        <f t="shared" si="11"/>
        <v>Lycaeum|Tymus|JOB</v>
      </c>
      <c r="B708" s="2" t="s">
        <v>9</v>
      </c>
      <c r="C708" s="2" t="s">
        <v>277</v>
      </c>
      <c r="D708" s="2" t="s">
        <v>416</v>
      </c>
      <c r="E708" s="2" t="s">
        <v>18</v>
      </c>
      <c r="F708" s="2" t="s">
        <v>421</v>
      </c>
      <c r="G708" s="8" t="str">
        <f>IF(ISNA(VLOOKUP(B708&amp;"|"&amp;C708&amp;"|"&amp;D708&amp;"|"&amp;E708,QuestionTriggers!A:F,6,FALSE)),"","---&gt;")</f>
        <v/>
      </c>
      <c r="H708" s="2" t="s">
        <v>417</v>
      </c>
      <c r="I708" s="2" t="s">
        <v>418</v>
      </c>
      <c r="J708" s="2" t="s">
        <v>419</v>
      </c>
      <c r="K708" s="2"/>
    </row>
    <row r="709" spans="1:11" ht="26.4" x14ac:dyDescent="0.3">
      <c r="A709" t="str">
        <f t="shared" si="11"/>
        <v>Lycaeum|Tymus|LOOK</v>
      </c>
      <c r="B709" s="2" t="s">
        <v>9</v>
      </c>
      <c r="C709" s="2" t="s">
        <v>277</v>
      </c>
      <c r="D709" s="2" t="s">
        <v>416</v>
      </c>
      <c r="E709" s="2" t="s">
        <v>16</v>
      </c>
      <c r="F709" s="2" t="s">
        <v>420</v>
      </c>
      <c r="G709" s="8" t="str">
        <f>IF(ISNA(VLOOKUP(B709&amp;"|"&amp;C709&amp;"|"&amp;D709&amp;"|"&amp;E709,QuestionTriggers!A:F,6,FALSE)),"","---&gt;")</f>
        <v/>
      </c>
      <c r="H709" s="2" t="s">
        <v>417</v>
      </c>
      <c r="I709" s="2" t="s">
        <v>418</v>
      </c>
      <c r="J709" s="2" t="s">
        <v>419</v>
      </c>
      <c r="K709" s="2"/>
    </row>
    <row r="710" spans="1:11" ht="26.4" x14ac:dyDescent="0.3">
      <c r="A710" t="str">
        <f t="shared" si="11"/>
        <v>Lycaeum|Tymus|NAME</v>
      </c>
      <c r="B710" s="2" t="s">
        <v>9</v>
      </c>
      <c r="C710" s="2" t="s">
        <v>277</v>
      </c>
      <c r="D710" s="2" t="s">
        <v>416</v>
      </c>
      <c r="E710" s="2" t="s">
        <v>12</v>
      </c>
      <c r="F710" s="2" t="s">
        <v>416</v>
      </c>
      <c r="G710" s="8" t="str">
        <f>IF(ISNA(VLOOKUP(B710&amp;"|"&amp;C710&amp;"|"&amp;D710&amp;"|"&amp;E710,QuestionTriggers!A:F,6,FALSE)),"","---&gt;")</f>
        <v/>
      </c>
      <c r="H710" s="2" t="s">
        <v>417</v>
      </c>
      <c r="I710" s="2" t="s">
        <v>418</v>
      </c>
      <c r="J710" s="2" t="s">
        <v>419</v>
      </c>
      <c r="K710" s="2"/>
    </row>
    <row r="711" spans="1:11" ht="26.4" x14ac:dyDescent="0.3">
      <c r="A711" t="str">
        <f t="shared" si="11"/>
        <v>Lycaeum|Tymus|WELC</v>
      </c>
      <c r="B711" s="2" t="s">
        <v>9</v>
      </c>
      <c r="C711" s="2" t="s">
        <v>277</v>
      </c>
      <c r="D711" s="2" t="s">
        <v>416</v>
      </c>
      <c r="E711" s="2" t="s">
        <v>423</v>
      </c>
      <c r="F711" s="2" t="s">
        <v>424</v>
      </c>
      <c r="G711" s="8" t="str">
        <f>IF(ISNA(VLOOKUP(B711&amp;"|"&amp;C711&amp;"|"&amp;D711&amp;"|"&amp;E711,QuestionTriggers!A:F,6,FALSE)),"","---&gt;")</f>
        <v/>
      </c>
      <c r="H711" s="2" t="s">
        <v>417</v>
      </c>
      <c r="I711" s="2" t="s">
        <v>418</v>
      </c>
      <c r="J711" s="2" t="s">
        <v>419</v>
      </c>
      <c r="K711" s="2"/>
    </row>
    <row r="712" spans="1:11" ht="26.4" hidden="1" x14ac:dyDescent="0.3">
      <c r="A712" t="str">
        <f t="shared" si="11"/>
        <v>Lycaeum|Zajac|ENTE</v>
      </c>
      <c r="B712" s="2" t="s">
        <v>9</v>
      </c>
      <c r="C712" s="2" t="s">
        <v>277</v>
      </c>
      <c r="D712" s="34" t="s">
        <v>427</v>
      </c>
      <c r="E712" s="34" t="s">
        <v>436</v>
      </c>
      <c r="F712" s="34" t="s">
        <v>437</v>
      </c>
      <c r="G712" s="8" t="str">
        <f>IF(ISNA(VLOOKUP(B712&amp;"|"&amp;C712&amp;"|"&amp;D712&amp;"|"&amp;E712,QuestionTriggers!A:F,6,FALSE)),"","---&gt;")</f>
        <v>---&gt;</v>
      </c>
      <c r="H712" s="2" t="s">
        <v>428</v>
      </c>
      <c r="I712" s="2" t="s">
        <v>429</v>
      </c>
      <c r="J712" s="2" t="s">
        <v>430</v>
      </c>
      <c r="K712" s="2"/>
    </row>
    <row r="713" spans="1:11" ht="26.4" hidden="1" x14ac:dyDescent="0.3">
      <c r="A713" t="str">
        <f t="shared" si="11"/>
        <v>Lycaeum|Zajac|HEALTH</v>
      </c>
      <c r="B713" s="2" t="s">
        <v>9</v>
      </c>
      <c r="C713" s="2" t="s">
        <v>277</v>
      </c>
      <c r="D713" s="34" t="s">
        <v>427</v>
      </c>
      <c r="E713" s="34" t="s">
        <v>20</v>
      </c>
      <c r="F713" s="34" t="s">
        <v>433</v>
      </c>
      <c r="G713" s="8" t="str">
        <f>IF(ISNA(VLOOKUP(B713&amp;"|"&amp;C713&amp;"|"&amp;D713&amp;"|"&amp;E713,QuestionTriggers!A:F,6,FALSE)),"","---&gt;")</f>
        <v/>
      </c>
      <c r="H713" s="2" t="s">
        <v>428</v>
      </c>
      <c r="I713" s="2" t="s">
        <v>429</v>
      </c>
      <c r="J713" s="2" t="s">
        <v>430</v>
      </c>
      <c r="K713" s="2"/>
    </row>
    <row r="714" spans="1:11" ht="26.4" hidden="1" x14ac:dyDescent="0.3">
      <c r="A714" t="str">
        <f t="shared" si="11"/>
        <v>Lycaeum|Zajac|JOB</v>
      </c>
      <c r="B714" s="2" t="s">
        <v>9</v>
      </c>
      <c r="C714" s="2" t="s">
        <v>277</v>
      </c>
      <c r="D714" s="34" t="s">
        <v>427</v>
      </c>
      <c r="E714" s="34" t="s">
        <v>18</v>
      </c>
      <c r="F714" s="34" t="s">
        <v>432</v>
      </c>
      <c r="G714" s="8" t="str">
        <f>IF(ISNA(VLOOKUP(B714&amp;"|"&amp;C714&amp;"|"&amp;D714&amp;"|"&amp;E714,QuestionTriggers!A:F,6,FALSE)),"","---&gt;")</f>
        <v/>
      </c>
      <c r="H714" s="2" t="s">
        <v>428</v>
      </c>
      <c r="I714" s="2" t="s">
        <v>429</v>
      </c>
      <c r="J714" s="2" t="s">
        <v>430</v>
      </c>
      <c r="K714" s="2"/>
    </row>
    <row r="715" spans="1:11" ht="26.4" hidden="1" x14ac:dyDescent="0.3">
      <c r="A715" t="str">
        <f t="shared" si="11"/>
        <v>Lycaeum|Zajac|LOOK</v>
      </c>
      <c r="B715" s="2" t="s">
        <v>9</v>
      </c>
      <c r="C715" s="2" t="s">
        <v>277</v>
      </c>
      <c r="D715" s="34" t="s">
        <v>427</v>
      </c>
      <c r="E715" s="34" t="s">
        <v>16</v>
      </c>
      <c r="F715" s="34" t="s">
        <v>431</v>
      </c>
      <c r="G715" s="8" t="str">
        <f>IF(ISNA(VLOOKUP(B715&amp;"|"&amp;C715&amp;"|"&amp;D715&amp;"|"&amp;E715,QuestionTriggers!A:F,6,FALSE)),"","---&gt;")</f>
        <v/>
      </c>
      <c r="H715" s="2" t="s">
        <v>428</v>
      </c>
      <c r="I715" s="2" t="s">
        <v>429</v>
      </c>
      <c r="J715" s="2" t="s">
        <v>430</v>
      </c>
      <c r="K715" s="2"/>
    </row>
    <row r="716" spans="1:11" ht="26.4" hidden="1" x14ac:dyDescent="0.3">
      <c r="A716" t="str">
        <f t="shared" si="11"/>
        <v>Lycaeum|Zajac|NAME</v>
      </c>
      <c r="B716" s="2" t="s">
        <v>9</v>
      </c>
      <c r="C716" s="2" t="s">
        <v>277</v>
      </c>
      <c r="D716" s="34" t="s">
        <v>427</v>
      </c>
      <c r="E716" s="34" t="s">
        <v>12</v>
      </c>
      <c r="F716" s="34" t="s">
        <v>427</v>
      </c>
      <c r="G716" s="8" t="str">
        <f>IF(ISNA(VLOOKUP(B716&amp;"|"&amp;C716&amp;"|"&amp;D716&amp;"|"&amp;E716,QuestionTriggers!A:F,6,FALSE)),"","---&gt;")</f>
        <v/>
      </c>
      <c r="H716" s="2" t="s">
        <v>428</v>
      </c>
      <c r="I716" s="2" t="s">
        <v>429</v>
      </c>
      <c r="J716" s="2" t="s">
        <v>430</v>
      </c>
      <c r="K716" s="2"/>
    </row>
    <row r="717" spans="1:11" ht="26.4" hidden="1" x14ac:dyDescent="0.3">
      <c r="A717" t="str">
        <f t="shared" si="11"/>
        <v>Lycaeum|Zajac|UNHA</v>
      </c>
      <c r="B717" s="2" t="s">
        <v>9</v>
      </c>
      <c r="C717" s="2" t="s">
        <v>277</v>
      </c>
      <c r="D717" s="34" t="s">
        <v>427</v>
      </c>
      <c r="E717" s="34" t="s">
        <v>434</v>
      </c>
      <c r="F717" s="34" t="s">
        <v>435</v>
      </c>
      <c r="G717" s="8" t="str">
        <f>IF(ISNA(VLOOKUP(B717&amp;"|"&amp;C717&amp;"|"&amp;D717&amp;"|"&amp;E717,QuestionTriggers!A:F,6,FALSE)),"","---&gt;")</f>
        <v/>
      </c>
      <c r="H717" s="2" t="s">
        <v>428</v>
      </c>
      <c r="I717" s="2" t="s">
        <v>429</v>
      </c>
      <c r="J717" s="2" t="s">
        <v>430</v>
      </c>
      <c r="K717" s="2"/>
    </row>
    <row r="718" spans="1:11" x14ac:dyDescent="0.3">
      <c r="A718" t="str">
        <f t="shared" si="11"/>
        <v>Magincia|Banter|HEALTH</v>
      </c>
      <c r="B718" s="2" t="s">
        <v>713</v>
      </c>
      <c r="C718" s="2" t="s">
        <v>1641</v>
      </c>
      <c r="D718" s="2" t="s">
        <v>1696</v>
      </c>
      <c r="E718" s="2" t="s">
        <v>20</v>
      </c>
      <c r="F718" s="2" t="s">
        <v>1701</v>
      </c>
      <c r="G718" s="8" t="str">
        <f>IF(ISNA(VLOOKUP(B718&amp;"|"&amp;C718&amp;"|"&amp;D718&amp;"|"&amp;E718,QuestionTriggers!A:F,6,FALSE)),"","---&gt;")</f>
        <v/>
      </c>
      <c r="H718" s="2" t="s">
        <v>1697</v>
      </c>
      <c r="I718" s="2" t="s">
        <v>1698</v>
      </c>
      <c r="J718" s="2" t="s">
        <v>90</v>
      </c>
      <c r="K718" s="2"/>
    </row>
    <row r="719" spans="1:11" x14ac:dyDescent="0.3">
      <c r="A719" t="str">
        <f t="shared" si="11"/>
        <v>Magincia|Banter|HORN</v>
      </c>
      <c r="B719" s="2" t="s">
        <v>713</v>
      </c>
      <c r="C719" s="2" t="s">
        <v>1641</v>
      </c>
      <c r="D719" s="2" t="s">
        <v>1696</v>
      </c>
      <c r="E719" s="2" t="s">
        <v>554</v>
      </c>
      <c r="F719" s="2" t="s">
        <v>1702</v>
      </c>
      <c r="G719" s="8" t="str">
        <f>IF(ISNA(VLOOKUP(B719&amp;"|"&amp;C719&amp;"|"&amp;D719&amp;"|"&amp;E719,QuestionTriggers!A:F,6,FALSE)),"","---&gt;")</f>
        <v/>
      </c>
      <c r="H719" s="2" t="s">
        <v>1697</v>
      </c>
      <c r="I719" s="2" t="s">
        <v>1698</v>
      </c>
      <c r="J719" s="2" t="s">
        <v>90</v>
      </c>
      <c r="K719" s="2"/>
    </row>
    <row r="720" spans="1:11" x14ac:dyDescent="0.3">
      <c r="A720" t="str">
        <f t="shared" si="11"/>
        <v>Magincia|Banter|JOB</v>
      </c>
      <c r="B720" s="2" t="s">
        <v>713</v>
      </c>
      <c r="C720" s="2" t="s">
        <v>1641</v>
      </c>
      <c r="D720" s="2" t="s">
        <v>1696</v>
      </c>
      <c r="E720" s="2" t="s">
        <v>18</v>
      </c>
      <c r="F720" s="2" t="s">
        <v>1700</v>
      </c>
      <c r="G720" s="8" t="str">
        <f>IF(ISNA(VLOOKUP(B720&amp;"|"&amp;C720&amp;"|"&amp;D720&amp;"|"&amp;E720,QuestionTriggers!A:F,6,FALSE)),"","---&gt;")</f>
        <v/>
      </c>
      <c r="H720" s="2" t="s">
        <v>1697</v>
      </c>
      <c r="I720" s="2" t="s">
        <v>1698</v>
      </c>
      <c r="J720" s="2" t="s">
        <v>90</v>
      </c>
      <c r="K720" s="2"/>
    </row>
    <row r="721" spans="1:11" x14ac:dyDescent="0.3">
      <c r="A721" t="str">
        <f t="shared" si="11"/>
        <v>Magincia|Banter|LOOK</v>
      </c>
      <c r="B721" s="2" t="s">
        <v>713</v>
      </c>
      <c r="C721" s="2" t="s">
        <v>1641</v>
      </c>
      <c r="D721" s="2" t="s">
        <v>1696</v>
      </c>
      <c r="E721" s="2" t="s">
        <v>16</v>
      </c>
      <c r="F721" s="2" t="s">
        <v>1699</v>
      </c>
      <c r="G721" s="8" t="str">
        <f>IF(ISNA(VLOOKUP(B721&amp;"|"&amp;C721&amp;"|"&amp;D721&amp;"|"&amp;E721,QuestionTriggers!A:F,6,FALSE)),"","---&gt;")</f>
        <v/>
      </c>
      <c r="H721" s="2" t="s">
        <v>1697</v>
      </c>
      <c r="I721" s="2" t="s">
        <v>1698</v>
      </c>
      <c r="J721" s="2" t="s">
        <v>90</v>
      </c>
      <c r="K721" s="2"/>
    </row>
    <row r="722" spans="1:11" x14ac:dyDescent="0.3">
      <c r="A722" t="str">
        <f t="shared" si="11"/>
        <v>Magincia|Banter|NAME</v>
      </c>
      <c r="B722" s="2" t="s">
        <v>713</v>
      </c>
      <c r="C722" s="2" t="s">
        <v>1641</v>
      </c>
      <c r="D722" s="2" t="s">
        <v>1696</v>
      </c>
      <c r="E722" s="2" t="s">
        <v>12</v>
      </c>
      <c r="F722" s="2" t="s">
        <v>1696</v>
      </c>
      <c r="G722" s="8" t="str">
        <f>IF(ISNA(VLOOKUP(B722&amp;"|"&amp;C722&amp;"|"&amp;D722&amp;"|"&amp;E722,QuestionTriggers!A:F,6,FALSE)),"","---&gt;")</f>
        <v/>
      </c>
      <c r="H722" s="2" t="s">
        <v>1697</v>
      </c>
      <c r="I722" s="2" t="s">
        <v>1698</v>
      </c>
      <c r="J722" s="2" t="s">
        <v>90</v>
      </c>
      <c r="K722" s="2"/>
    </row>
    <row r="723" spans="1:11" x14ac:dyDescent="0.3">
      <c r="A723" t="str">
        <f t="shared" si="11"/>
        <v>Magincia|Banter|SHRI</v>
      </c>
      <c r="B723" s="2" t="s">
        <v>713</v>
      </c>
      <c r="C723" s="2" t="s">
        <v>1641</v>
      </c>
      <c r="D723" s="2" t="s">
        <v>1696</v>
      </c>
      <c r="E723" s="2" t="s">
        <v>184</v>
      </c>
      <c r="F723" s="2" t="s">
        <v>1703</v>
      </c>
      <c r="G723" s="8" t="str">
        <f>IF(ISNA(VLOOKUP(B723&amp;"|"&amp;C723&amp;"|"&amp;D723&amp;"|"&amp;E723,QuestionTriggers!A:F,6,FALSE)),"","---&gt;")</f>
        <v>---&gt;</v>
      </c>
      <c r="H723" s="2" t="s">
        <v>1697</v>
      </c>
      <c r="I723" s="2" t="s">
        <v>1698</v>
      </c>
      <c r="J723" s="2" t="s">
        <v>90</v>
      </c>
      <c r="K723" s="2"/>
    </row>
    <row r="724" spans="1:11" x14ac:dyDescent="0.3">
      <c r="A724" t="str">
        <f t="shared" si="11"/>
        <v>Magincia|Boozer|HEALTH</v>
      </c>
      <c r="B724" s="2" t="s">
        <v>713</v>
      </c>
      <c r="C724" s="2" t="s">
        <v>1641</v>
      </c>
      <c r="D724" s="2" t="s">
        <v>1718</v>
      </c>
      <c r="E724" s="2" t="s">
        <v>20</v>
      </c>
      <c r="F724" s="2" t="s">
        <v>1723</v>
      </c>
      <c r="G724" s="8" t="str">
        <f>IF(ISNA(VLOOKUP(B724&amp;"|"&amp;C724&amp;"|"&amp;D724&amp;"|"&amp;E724,QuestionTriggers!A:F,6,FALSE)),"","---&gt;")</f>
        <v/>
      </c>
      <c r="H724" s="2" t="s">
        <v>1719</v>
      </c>
      <c r="I724" s="2" t="s">
        <v>1720</v>
      </c>
      <c r="J724" s="2" t="s">
        <v>1720</v>
      </c>
      <c r="K724" s="2"/>
    </row>
    <row r="725" spans="1:11" x14ac:dyDescent="0.3">
      <c r="A725" t="str">
        <f t="shared" si="11"/>
        <v>Magincia|Boozer|JOB</v>
      </c>
      <c r="B725" s="2" t="s">
        <v>713</v>
      </c>
      <c r="C725" s="2" t="s">
        <v>1641</v>
      </c>
      <c r="D725" s="2" t="s">
        <v>1718</v>
      </c>
      <c r="E725" s="2" t="s">
        <v>18</v>
      </c>
      <c r="F725" s="2" t="s">
        <v>1722</v>
      </c>
      <c r="G725" s="8" t="str">
        <f>IF(ISNA(VLOOKUP(B725&amp;"|"&amp;C725&amp;"|"&amp;D725&amp;"|"&amp;E725,QuestionTriggers!A:F,6,FALSE)),"","---&gt;")</f>
        <v/>
      </c>
      <c r="H725" s="2" t="s">
        <v>1719</v>
      </c>
      <c r="I725" s="2" t="s">
        <v>1720</v>
      </c>
      <c r="J725" s="2" t="s">
        <v>1720</v>
      </c>
      <c r="K725" s="2"/>
    </row>
    <row r="726" spans="1:11" x14ac:dyDescent="0.3">
      <c r="A726" t="str">
        <f t="shared" si="11"/>
        <v>Magincia|Boozer|LOOK</v>
      </c>
      <c r="B726" s="2" t="s">
        <v>713</v>
      </c>
      <c r="C726" s="2" t="s">
        <v>1641</v>
      </c>
      <c r="D726" s="2" t="s">
        <v>1718</v>
      </c>
      <c r="E726" s="2" t="s">
        <v>16</v>
      </c>
      <c r="F726" s="2" t="s">
        <v>1721</v>
      </c>
      <c r="G726" s="8" t="str">
        <f>IF(ISNA(VLOOKUP(B726&amp;"|"&amp;C726&amp;"|"&amp;D726&amp;"|"&amp;E726,QuestionTriggers!A:F,6,FALSE)),"","---&gt;")</f>
        <v/>
      </c>
      <c r="H726" s="2" t="s">
        <v>1719</v>
      </c>
      <c r="I726" s="2" t="s">
        <v>1720</v>
      </c>
      <c r="J726" s="2" t="s">
        <v>1720</v>
      </c>
      <c r="K726" s="2"/>
    </row>
    <row r="727" spans="1:11" x14ac:dyDescent="0.3">
      <c r="A727" t="str">
        <f t="shared" si="11"/>
        <v>Magincia|Boozer|MERC</v>
      </c>
      <c r="B727" s="2" t="s">
        <v>713</v>
      </c>
      <c r="C727" s="2" t="s">
        <v>1641</v>
      </c>
      <c r="D727" s="2" t="s">
        <v>1718</v>
      </c>
      <c r="E727" s="2" t="s">
        <v>1724</v>
      </c>
      <c r="F727" s="2" t="s">
        <v>1725</v>
      </c>
      <c r="G727" s="8" t="str">
        <f>IF(ISNA(VLOOKUP(B727&amp;"|"&amp;C727&amp;"|"&amp;D727&amp;"|"&amp;E727,QuestionTriggers!A:F,6,FALSE)),"","---&gt;")</f>
        <v/>
      </c>
      <c r="H727" s="2" t="s">
        <v>1719</v>
      </c>
      <c r="I727" s="2" t="s">
        <v>1720</v>
      </c>
      <c r="J727" s="2" t="s">
        <v>1720</v>
      </c>
      <c r="K727" s="2"/>
    </row>
    <row r="728" spans="1:11" x14ac:dyDescent="0.3">
      <c r="A728" t="str">
        <f t="shared" si="11"/>
        <v>Magincia|Boozer|NAME</v>
      </c>
      <c r="B728" s="2" t="s">
        <v>713</v>
      </c>
      <c r="C728" s="2" t="s">
        <v>1641</v>
      </c>
      <c r="D728" s="2" t="s">
        <v>1718</v>
      </c>
      <c r="E728" s="2" t="s">
        <v>12</v>
      </c>
      <c r="F728" s="2" t="s">
        <v>1718</v>
      </c>
      <c r="G728" s="8" t="str">
        <f>IF(ISNA(VLOOKUP(B728&amp;"|"&amp;C728&amp;"|"&amp;D728&amp;"|"&amp;E728,QuestionTriggers!A:F,6,FALSE)),"","---&gt;")</f>
        <v/>
      </c>
      <c r="H728" s="2" t="s">
        <v>1719</v>
      </c>
      <c r="I728" s="2" t="s">
        <v>1720</v>
      </c>
      <c r="J728" s="2" t="s">
        <v>1720</v>
      </c>
      <c r="K728" s="2"/>
    </row>
    <row r="729" spans="1:11" x14ac:dyDescent="0.3">
      <c r="A729" t="str">
        <f t="shared" si="11"/>
        <v>Magincia|Boozer|POWE</v>
      </c>
      <c r="B729" s="2" t="s">
        <v>713</v>
      </c>
      <c r="C729" s="2" t="s">
        <v>1641</v>
      </c>
      <c r="D729" s="2" t="s">
        <v>1718</v>
      </c>
      <c r="E729" s="2" t="s">
        <v>1726</v>
      </c>
      <c r="F729" s="2" t="s">
        <v>1727</v>
      </c>
      <c r="G729" s="8" t="str">
        <f>IF(ISNA(VLOOKUP(B729&amp;"|"&amp;C729&amp;"|"&amp;D729&amp;"|"&amp;E729,QuestionTriggers!A:F,6,FALSE)),"","---&gt;")</f>
        <v>---&gt;</v>
      </c>
      <c r="H729" s="2" t="s">
        <v>1719</v>
      </c>
      <c r="I729" s="2" t="s">
        <v>1720</v>
      </c>
      <c r="J729" s="2" t="s">
        <v>1720</v>
      </c>
      <c r="K729" s="2"/>
    </row>
    <row r="730" spans="1:11" x14ac:dyDescent="0.3">
      <c r="A730" t="str">
        <f t="shared" si="11"/>
        <v>Magincia|Bulbous|HEALTH</v>
      </c>
      <c r="B730" s="2" t="s">
        <v>713</v>
      </c>
      <c r="C730" s="2" t="s">
        <v>1641</v>
      </c>
      <c r="D730" s="2" t="s">
        <v>1728</v>
      </c>
      <c r="E730" s="2" t="s">
        <v>20</v>
      </c>
      <c r="F730" s="2" t="s">
        <v>1734</v>
      </c>
      <c r="G730" s="8" t="str">
        <f>IF(ISNA(VLOOKUP(B730&amp;"|"&amp;C730&amp;"|"&amp;D730&amp;"|"&amp;E730,QuestionTriggers!A:F,6,FALSE)),"","---&gt;")</f>
        <v/>
      </c>
      <c r="H730" s="2" t="s">
        <v>1729</v>
      </c>
      <c r="I730" s="2" t="s">
        <v>1730</v>
      </c>
      <c r="J730" s="2" t="s">
        <v>1731</v>
      </c>
      <c r="K730" s="2"/>
    </row>
    <row r="731" spans="1:11" x14ac:dyDescent="0.3">
      <c r="A731" t="str">
        <f t="shared" si="11"/>
        <v>Magincia|Bulbous|JOB</v>
      </c>
      <c r="B731" s="2" t="s">
        <v>713</v>
      </c>
      <c r="C731" s="2" t="s">
        <v>1641</v>
      </c>
      <c r="D731" s="2" t="s">
        <v>1728</v>
      </c>
      <c r="E731" s="2" t="s">
        <v>18</v>
      </c>
      <c r="F731" s="2" t="s">
        <v>1733</v>
      </c>
      <c r="G731" s="8" t="str">
        <f>IF(ISNA(VLOOKUP(B731&amp;"|"&amp;C731&amp;"|"&amp;D731&amp;"|"&amp;E731,QuestionTriggers!A:F,6,FALSE)),"","---&gt;")</f>
        <v/>
      </c>
      <c r="H731" s="2" t="s">
        <v>1729</v>
      </c>
      <c r="I731" s="2" t="s">
        <v>1730</v>
      </c>
      <c r="J731" s="2" t="s">
        <v>1731</v>
      </c>
      <c r="K731" s="2"/>
    </row>
    <row r="732" spans="1:11" x14ac:dyDescent="0.3">
      <c r="A732" t="str">
        <f t="shared" si="11"/>
        <v>Magincia|Bulbous|LOOK</v>
      </c>
      <c r="B732" s="2" t="s">
        <v>713</v>
      </c>
      <c r="C732" s="2" t="s">
        <v>1641</v>
      </c>
      <c r="D732" s="2" t="s">
        <v>1728</v>
      </c>
      <c r="E732" s="2" t="s">
        <v>16</v>
      </c>
      <c r="F732" s="2" t="s">
        <v>1732</v>
      </c>
      <c r="G732" s="8" t="str">
        <f>IF(ISNA(VLOOKUP(B732&amp;"|"&amp;C732&amp;"|"&amp;D732&amp;"|"&amp;E732,QuestionTriggers!A:F,6,FALSE)),"","---&gt;")</f>
        <v/>
      </c>
      <c r="H732" s="2" t="s">
        <v>1729</v>
      </c>
      <c r="I732" s="2" t="s">
        <v>1730</v>
      </c>
      <c r="J732" s="2" t="s">
        <v>1731</v>
      </c>
      <c r="K732" s="2"/>
    </row>
    <row r="733" spans="1:11" x14ac:dyDescent="0.3">
      <c r="A733" t="str">
        <f t="shared" si="11"/>
        <v>Magincia|Bulbous|NAME</v>
      </c>
      <c r="B733" s="2" t="s">
        <v>713</v>
      </c>
      <c r="C733" s="2" t="s">
        <v>1641</v>
      </c>
      <c r="D733" s="2" t="s">
        <v>1728</v>
      </c>
      <c r="E733" s="2" t="s">
        <v>12</v>
      </c>
      <c r="F733" s="2" t="s">
        <v>1728</v>
      </c>
      <c r="G733" s="8" t="str">
        <f>IF(ISNA(VLOOKUP(B733&amp;"|"&amp;C733&amp;"|"&amp;D733&amp;"|"&amp;E733,QuestionTriggers!A:F,6,FALSE)),"","---&gt;")</f>
        <v/>
      </c>
      <c r="H733" s="2" t="s">
        <v>1729</v>
      </c>
      <c r="I733" s="2" t="s">
        <v>1730</v>
      </c>
      <c r="J733" s="2" t="s">
        <v>1731</v>
      </c>
      <c r="K733" s="2"/>
    </row>
    <row r="734" spans="1:11" x14ac:dyDescent="0.3">
      <c r="A734" t="str">
        <f t="shared" si="11"/>
        <v>Magincia|Bulbous|SHOP</v>
      </c>
      <c r="B734" s="2" t="s">
        <v>713</v>
      </c>
      <c r="C734" s="2" t="s">
        <v>1641</v>
      </c>
      <c r="D734" s="2" t="s">
        <v>1728</v>
      </c>
      <c r="E734" s="2" t="s">
        <v>1735</v>
      </c>
      <c r="F734" s="2" t="s">
        <v>1736</v>
      </c>
      <c r="G734" s="8" t="str">
        <f>IF(ISNA(VLOOKUP(B734&amp;"|"&amp;C734&amp;"|"&amp;D734&amp;"|"&amp;E734,QuestionTriggers!A:F,6,FALSE)),"","---&gt;")</f>
        <v/>
      </c>
      <c r="H734" s="2" t="s">
        <v>1729</v>
      </c>
      <c r="I734" s="2" t="s">
        <v>1730</v>
      </c>
      <c r="J734" s="2" t="s">
        <v>1731</v>
      </c>
      <c r="K734" s="2"/>
    </row>
    <row r="735" spans="1:11" x14ac:dyDescent="0.3">
      <c r="A735" t="str">
        <f t="shared" si="11"/>
        <v>Magincia|Bulbous|SPOI</v>
      </c>
      <c r="B735" s="2" t="s">
        <v>713</v>
      </c>
      <c r="C735" s="2" t="s">
        <v>1641</v>
      </c>
      <c r="D735" s="2" t="s">
        <v>1728</v>
      </c>
      <c r="E735" s="2" t="s">
        <v>1737</v>
      </c>
      <c r="F735" s="2" t="s">
        <v>1738</v>
      </c>
      <c r="G735" s="8" t="str">
        <f>IF(ISNA(VLOOKUP(B735&amp;"|"&amp;C735&amp;"|"&amp;D735&amp;"|"&amp;E735,QuestionTriggers!A:F,6,FALSE)),"","---&gt;")</f>
        <v>---&gt;</v>
      </c>
      <c r="H735" s="2" t="s">
        <v>1729</v>
      </c>
      <c r="I735" s="2" t="s">
        <v>1730</v>
      </c>
      <c r="J735" s="2" t="s">
        <v>1731</v>
      </c>
      <c r="K735" s="2"/>
    </row>
    <row r="736" spans="1:11" ht="26.4" x14ac:dyDescent="0.3">
      <c r="A736" t="str">
        <f t="shared" si="11"/>
        <v>Magincia|Casperin|HAUN</v>
      </c>
      <c r="B736" s="2" t="s">
        <v>713</v>
      </c>
      <c r="C736" s="2" t="s">
        <v>1641</v>
      </c>
      <c r="D736" s="2" t="s">
        <v>1663</v>
      </c>
      <c r="E736" s="2" t="s">
        <v>1638</v>
      </c>
      <c r="F736" s="2" t="s">
        <v>1670</v>
      </c>
      <c r="G736" s="8" t="str">
        <f>IF(ISNA(VLOOKUP(B736&amp;"|"&amp;C736&amp;"|"&amp;D736&amp;"|"&amp;E736,QuestionTriggers!A:F,6,FALSE)),"","---&gt;")</f>
        <v/>
      </c>
      <c r="H736" s="2" t="s">
        <v>1664</v>
      </c>
      <c r="I736" s="2" t="s">
        <v>1665</v>
      </c>
      <c r="J736" s="2" t="s">
        <v>1666</v>
      </c>
      <c r="K736" s="2"/>
    </row>
    <row r="737" spans="1:11" ht="26.4" x14ac:dyDescent="0.3">
      <c r="A737" t="str">
        <f t="shared" si="11"/>
        <v>Magincia|Casperin|HEALTH</v>
      </c>
      <c r="B737" s="2" t="s">
        <v>713</v>
      </c>
      <c r="C737" s="2" t="s">
        <v>1641</v>
      </c>
      <c r="D737" s="2" t="s">
        <v>1663</v>
      </c>
      <c r="E737" s="2" t="s">
        <v>20</v>
      </c>
      <c r="F737" s="2" t="s">
        <v>1669</v>
      </c>
      <c r="G737" s="8" t="str">
        <f>IF(ISNA(VLOOKUP(B737&amp;"|"&amp;C737&amp;"|"&amp;D737&amp;"|"&amp;E737,QuestionTriggers!A:F,6,FALSE)),"","---&gt;")</f>
        <v/>
      </c>
      <c r="H737" s="2" t="s">
        <v>1664</v>
      </c>
      <c r="I737" s="2" t="s">
        <v>1665</v>
      </c>
      <c r="J737" s="2" t="s">
        <v>1666</v>
      </c>
      <c r="K737" s="2"/>
    </row>
    <row r="738" spans="1:11" ht="26.4" x14ac:dyDescent="0.3">
      <c r="A738" t="str">
        <f t="shared" si="11"/>
        <v>Magincia|Casperin|JOB</v>
      </c>
      <c r="B738" s="2" t="s">
        <v>713</v>
      </c>
      <c r="C738" s="2" t="s">
        <v>1641</v>
      </c>
      <c r="D738" s="2" t="s">
        <v>1663</v>
      </c>
      <c r="E738" s="2" t="s">
        <v>18</v>
      </c>
      <c r="F738" s="2" t="s">
        <v>1668</v>
      </c>
      <c r="G738" s="8" t="str">
        <f>IF(ISNA(VLOOKUP(B738&amp;"|"&amp;C738&amp;"|"&amp;D738&amp;"|"&amp;E738,QuestionTriggers!A:F,6,FALSE)),"","---&gt;")</f>
        <v/>
      </c>
      <c r="H738" s="2" t="s">
        <v>1664</v>
      </c>
      <c r="I738" s="2" t="s">
        <v>1665</v>
      </c>
      <c r="J738" s="2" t="s">
        <v>1666</v>
      </c>
      <c r="K738" s="2"/>
    </row>
    <row r="739" spans="1:11" ht="26.4" x14ac:dyDescent="0.3">
      <c r="A739" t="str">
        <f t="shared" si="11"/>
        <v>Magincia|Casperin|LOOK</v>
      </c>
      <c r="B739" s="2" t="s">
        <v>713</v>
      </c>
      <c r="C739" s="2" t="s">
        <v>1641</v>
      </c>
      <c r="D739" s="2" t="s">
        <v>1663</v>
      </c>
      <c r="E739" s="2" t="s">
        <v>16</v>
      </c>
      <c r="F739" s="2" t="s">
        <v>1667</v>
      </c>
      <c r="G739" s="8" t="str">
        <f>IF(ISNA(VLOOKUP(B739&amp;"|"&amp;C739&amp;"|"&amp;D739&amp;"|"&amp;E739,QuestionTriggers!A:F,6,FALSE)),"","---&gt;")</f>
        <v/>
      </c>
      <c r="H739" s="2" t="s">
        <v>1664</v>
      </c>
      <c r="I739" s="2" t="s">
        <v>1665</v>
      </c>
      <c r="J739" s="2" t="s">
        <v>1666</v>
      </c>
      <c r="K739" s="2"/>
    </row>
    <row r="740" spans="1:11" ht="26.4" x14ac:dyDescent="0.3">
      <c r="A740" t="str">
        <f t="shared" si="11"/>
        <v>Magincia|Casperin|NAME</v>
      </c>
      <c r="B740" s="2" t="s">
        <v>713</v>
      </c>
      <c r="C740" s="2" t="s">
        <v>1641</v>
      </c>
      <c r="D740" s="2" t="s">
        <v>1663</v>
      </c>
      <c r="E740" s="2" t="s">
        <v>12</v>
      </c>
      <c r="F740" s="2" t="s">
        <v>1663</v>
      </c>
      <c r="G740" s="8" t="str">
        <f>IF(ISNA(VLOOKUP(B740&amp;"|"&amp;C740&amp;"|"&amp;D740&amp;"|"&amp;E740,QuestionTriggers!A:F,6,FALSE)),"","---&gt;")</f>
        <v/>
      </c>
      <c r="H740" s="2" t="s">
        <v>1664</v>
      </c>
      <c r="I740" s="2" t="s">
        <v>1665</v>
      </c>
      <c r="J740" s="2" t="s">
        <v>1666</v>
      </c>
      <c r="K740" s="2"/>
    </row>
    <row r="741" spans="1:11" ht="26.4" x14ac:dyDescent="0.3">
      <c r="A741" t="str">
        <f t="shared" si="11"/>
        <v>Magincia|Casperin|PRID</v>
      </c>
      <c r="B741" s="2" t="s">
        <v>713</v>
      </c>
      <c r="C741" s="2" t="s">
        <v>1641</v>
      </c>
      <c r="D741" s="2" t="s">
        <v>1663</v>
      </c>
      <c r="E741" s="2" t="s">
        <v>255</v>
      </c>
      <c r="F741" s="2" t="s">
        <v>1671</v>
      </c>
      <c r="G741" s="8" t="str">
        <f>IF(ISNA(VLOOKUP(B741&amp;"|"&amp;C741&amp;"|"&amp;D741&amp;"|"&amp;E741,QuestionTriggers!A:F,6,FALSE)),"","---&gt;")</f>
        <v>---&gt;</v>
      </c>
      <c r="H741" s="2" t="s">
        <v>1664</v>
      </c>
      <c r="I741" s="2" t="s">
        <v>1665</v>
      </c>
      <c r="J741" s="2" t="s">
        <v>1666</v>
      </c>
      <c r="K741" s="2"/>
    </row>
    <row r="742" spans="1:11" x14ac:dyDescent="0.3">
      <c r="A742" t="str">
        <f t="shared" si="11"/>
        <v>Magincia|Demitry|BONE</v>
      </c>
      <c r="B742" s="2" t="s">
        <v>713</v>
      </c>
      <c r="C742" s="2" t="s">
        <v>1641</v>
      </c>
      <c r="D742" s="2" t="s">
        <v>1704</v>
      </c>
      <c r="E742" s="2" t="s">
        <v>1693</v>
      </c>
      <c r="F742" s="2" t="s">
        <v>1710</v>
      </c>
      <c r="G742" s="8" t="str">
        <f>IF(ISNA(VLOOKUP(B742&amp;"|"&amp;C742&amp;"|"&amp;D742&amp;"|"&amp;E742,QuestionTriggers!A:F,6,FALSE)),"","---&gt;")</f>
        <v/>
      </c>
      <c r="H742" s="2" t="s">
        <v>1705</v>
      </c>
      <c r="I742" s="2" t="s">
        <v>1706</v>
      </c>
      <c r="J742" s="2" t="s">
        <v>1707</v>
      </c>
      <c r="K742" s="2"/>
    </row>
    <row r="743" spans="1:11" x14ac:dyDescent="0.3">
      <c r="A743" t="str">
        <f t="shared" si="11"/>
        <v>Magincia|Demitry|HEALTH</v>
      </c>
      <c r="B743" s="2" t="s">
        <v>713</v>
      </c>
      <c r="C743" s="2" t="s">
        <v>1641</v>
      </c>
      <c r="D743" s="2" t="s">
        <v>1704</v>
      </c>
      <c r="E743" s="2" t="s">
        <v>20</v>
      </c>
      <c r="F743" s="2" t="s">
        <v>1709</v>
      </c>
      <c r="G743" s="8" t="str">
        <f>IF(ISNA(VLOOKUP(B743&amp;"|"&amp;C743&amp;"|"&amp;D743&amp;"|"&amp;E743,QuestionTriggers!A:F,6,FALSE)),"","---&gt;")</f>
        <v/>
      </c>
      <c r="H743" s="2" t="s">
        <v>1705</v>
      </c>
      <c r="I743" s="2" t="s">
        <v>1706</v>
      </c>
      <c r="J743" s="2" t="s">
        <v>1707</v>
      </c>
      <c r="K743" s="2"/>
    </row>
    <row r="744" spans="1:11" x14ac:dyDescent="0.3">
      <c r="A744" t="str">
        <f t="shared" si="11"/>
        <v>Magincia|Demitry|HORN</v>
      </c>
      <c r="B744" s="2" t="s">
        <v>713</v>
      </c>
      <c r="C744" s="2" t="s">
        <v>1641</v>
      </c>
      <c r="D744" s="2" t="s">
        <v>1704</v>
      </c>
      <c r="E744" s="2" t="s">
        <v>554</v>
      </c>
      <c r="F744" s="2" t="s">
        <v>1711</v>
      </c>
      <c r="G744" s="8" t="str">
        <f>IF(ISNA(VLOOKUP(B744&amp;"|"&amp;C744&amp;"|"&amp;D744&amp;"|"&amp;E744,QuestionTriggers!A:F,6,FALSE)),"","---&gt;")</f>
        <v>---&gt;</v>
      </c>
      <c r="H744" s="2" t="s">
        <v>1705</v>
      </c>
      <c r="I744" s="2" t="s">
        <v>1706</v>
      </c>
      <c r="J744" s="2" t="s">
        <v>1707</v>
      </c>
      <c r="K744" s="2"/>
    </row>
    <row r="745" spans="1:11" x14ac:dyDescent="0.3">
      <c r="A745" t="str">
        <f t="shared" si="11"/>
        <v>Magincia|Demitry|JOB</v>
      </c>
      <c r="B745" s="2" t="s">
        <v>713</v>
      </c>
      <c r="C745" s="2" t="s">
        <v>1641</v>
      </c>
      <c r="D745" s="2" t="s">
        <v>1704</v>
      </c>
      <c r="E745" s="2" t="s">
        <v>18</v>
      </c>
      <c r="F745" s="2" t="s">
        <v>1691</v>
      </c>
      <c r="G745" s="8" t="str">
        <f>IF(ISNA(VLOOKUP(B745&amp;"|"&amp;C745&amp;"|"&amp;D745&amp;"|"&amp;E745,QuestionTriggers!A:F,6,FALSE)),"","---&gt;")</f>
        <v/>
      </c>
      <c r="H745" s="2" t="s">
        <v>1705</v>
      </c>
      <c r="I745" s="2" t="s">
        <v>1706</v>
      </c>
      <c r="J745" s="2" t="s">
        <v>1707</v>
      </c>
      <c r="K745" s="2"/>
    </row>
    <row r="746" spans="1:11" x14ac:dyDescent="0.3">
      <c r="A746" t="str">
        <f t="shared" si="11"/>
        <v>Magincia|Demitry|LOOK</v>
      </c>
      <c r="B746" s="2" t="s">
        <v>713</v>
      </c>
      <c r="C746" s="2" t="s">
        <v>1641</v>
      </c>
      <c r="D746" s="2" t="s">
        <v>1704</v>
      </c>
      <c r="E746" s="2" t="s">
        <v>16</v>
      </c>
      <c r="F746" s="2" t="s">
        <v>1708</v>
      </c>
      <c r="G746" s="8" t="str">
        <f>IF(ISNA(VLOOKUP(B746&amp;"|"&amp;C746&amp;"|"&amp;D746&amp;"|"&amp;E746,QuestionTriggers!A:F,6,FALSE)),"","---&gt;")</f>
        <v/>
      </c>
      <c r="H746" s="2" t="s">
        <v>1705</v>
      </c>
      <c r="I746" s="2" t="s">
        <v>1706</v>
      </c>
      <c r="J746" s="2" t="s">
        <v>1707</v>
      </c>
      <c r="K746" s="2"/>
    </row>
    <row r="747" spans="1:11" x14ac:dyDescent="0.3">
      <c r="A747" t="str">
        <f t="shared" si="11"/>
        <v>Magincia|Demitry|NAME</v>
      </c>
      <c r="B747" s="2" t="s">
        <v>713</v>
      </c>
      <c r="C747" s="2" t="s">
        <v>1641</v>
      </c>
      <c r="D747" s="2" t="s">
        <v>1704</v>
      </c>
      <c r="E747" s="2" t="s">
        <v>12</v>
      </c>
      <c r="F747" s="2" t="s">
        <v>1704</v>
      </c>
      <c r="G747" s="8" t="str">
        <f>IF(ISNA(VLOOKUP(B747&amp;"|"&amp;C747&amp;"|"&amp;D747&amp;"|"&amp;E747,QuestionTriggers!A:F,6,FALSE)),"","---&gt;")</f>
        <v/>
      </c>
      <c r="H747" s="2" t="s">
        <v>1705</v>
      </c>
      <c r="I747" s="2" t="s">
        <v>1706</v>
      </c>
      <c r="J747" s="2" t="s">
        <v>1707</v>
      </c>
      <c r="K747" s="2"/>
    </row>
    <row r="748" spans="1:11" x14ac:dyDescent="0.3">
      <c r="A748" t="str">
        <f t="shared" si="11"/>
        <v>Magincia|Faultless|HANG</v>
      </c>
      <c r="B748" s="2" t="s">
        <v>713</v>
      </c>
      <c r="C748" s="3" t="s">
        <v>1641</v>
      </c>
      <c r="D748" s="3" t="s">
        <v>1672</v>
      </c>
      <c r="E748" s="3" t="s">
        <v>1677</v>
      </c>
      <c r="F748" s="3" t="s">
        <v>1678</v>
      </c>
      <c r="G748" s="8" t="str">
        <f>IF(ISNA(VLOOKUP(B748&amp;"|"&amp;C748&amp;"|"&amp;D748&amp;"|"&amp;E748,QuestionTriggers!A:F,6,FALSE)),"","---&gt;")</f>
        <v/>
      </c>
      <c r="H748" s="2" t="s">
        <v>166</v>
      </c>
      <c r="I748" s="2" t="s">
        <v>1673</v>
      </c>
      <c r="J748" s="2" t="s">
        <v>1674</v>
      </c>
      <c r="K748" s="2" t="s">
        <v>51</v>
      </c>
    </row>
    <row r="749" spans="1:11" x14ac:dyDescent="0.3">
      <c r="A749" t="str">
        <f t="shared" si="11"/>
        <v>Magincia|Faultless|HEALTH</v>
      </c>
      <c r="B749" s="2" t="s">
        <v>713</v>
      </c>
      <c r="C749" s="2" t="s">
        <v>1641</v>
      </c>
      <c r="D749" s="3" t="s">
        <v>1672</v>
      </c>
      <c r="E749" s="3" t="s">
        <v>20</v>
      </c>
      <c r="F749" s="3" t="s">
        <v>790</v>
      </c>
      <c r="G749" s="8" t="str">
        <f>IF(ISNA(VLOOKUP(B749&amp;"|"&amp;C749&amp;"|"&amp;D749&amp;"|"&amp;E749,QuestionTriggers!A:F,6,FALSE)),"","---&gt;")</f>
        <v/>
      </c>
      <c r="H749" s="2" t="s">
        <v>166</v>
      </c>
      <c r="I749" s="2" t="s">
        <v>1673</v>
      </c>
      <c r="J749" s="2" t="s">
        <v>1674</v>
      </c>
      <c r="K749" s="2" t="s">
        <v>51</v>
      </c>
    </row>
    <row r="750" spans="1:11" x14ac:dyDescent="0.3">
      <c r="A750" t="str">
        <f t="shared" si="11"/>
        <v>Magincia|Faultless|JOB</v>
      </c>
      <c r="B750" s="2" t="s">
        <v>713</v>
      </c>
      <c r="C750" s="2" t="s">
        <v>1641</v>
      </c>
      <c r="D750" s="3" t="s">
        <v>1672</v>
      </c>
      <c r="E750" s="3" t="s">
        <v>18</v>
      </c>
      <c r="F750" s="3" t="s">
        <v>1676</v>
      </c>
      <c r="G750" s="8" t="str">
        <f>IF(ISNA(VLOOKUP(B750&amp;"|"&amp;C750&amp;"|"&amp;D750&amp;"|"&amp;E750,QuestionTriggers!A:F,6,FALSE)),"","---&gt;")</f>
        <v/>
      </c>
      <c r="H750" s="2" t="s">
        <v>166</v>
      </c>
      <c r="I750" s="2" t="s">
        <v>1673</v>
      </c>
      <c r="J750" s="2" t="s">
        <v>1674</v>
      </c>
      <c r="K750" s="2" t="s">
        <v>51</v>
      </c>
    </row>
    <row r="751" spans="1:11" x14ac:dyDescent="0.3">
      <c r="A751" t="str">
        <f t="shared" si="11"/>
        <v>Magincia|Faultless|LOOK</v>
      </c>
      <c r="B751" s="2" t="s">
        <v>713</v>
      </c>
      <c r="C751" s="2" t="s">
        <v>1641</v>
      </c>
      <c r="D751" s="3" t="s">
        <v>1672</v>
      </c>
      <c r="E751" s="3" t="s">
        <v>16</v>
      </c>
      <c r="F751" s="3" t="s">
        <v>1675</v>
      </c>
      <c r="G751" s="8" t="str">
        <f>IF(ISNA(VLOOKUP(B751&amp;"|"&amp;C751&amp;"|"&amp;D751&amp;"|"&amp;E751,QuestionTriggers!A:F,6,FALSE)),"","---&gt;")</f>
        <v/>
      </c>
      <c r="H751" s="2" t="s">
        <v>166</v>
      </c>
      <c r="I751" s="2" t="s">
        <v>1673</v>
      </c>
      <c r="J751" s="2" t="s">
        <v>1674</v>
      </c>
      <c r="K751" s="2" t="s">
        <v>51</v>
      </c>
    </row>
    <row r="752" spans="1:11" x14ac:dyDescent="0.3">
      <c r="A752" t="str">
        <f t="shared" si="11"/>
        <v>Magincia|Faultless|MANT</v>
      </c>
      <c r="B752" s="2" t="s">
        <v>713</v>
      </c>
      <c r="C752" s="3" t="s">
        <v>1641</v>
      </c>
      <c r="D752" s="3" t="s">
        <v>1672</v>
      </c>
      <c r="E752" s="3" t="s">
        <v>742</v>
      </c>
      <c r="F752" s="3" t="s">
        <v>1679</v>
      </c>
      <c r="G752" s="8" t="str">
        <f>IF(ISNA(VLOOKUP(B752&amp;"|"&amp;C752&amp;"|"&amp;D752&amp;"|"&amp;E752,QuestionTriggers!A:F,6,FALSE)),"","---&gt;")</f>
        <v>---&gt;</v>
      </c>
      <c r="H752" s="2" t="s">
        <v>166</v>
      </c>
      <c r="I752" s="2" t="s">
        <v>1673</v>
      </c>
      <c r="J752" s="2" t="s">
        <v>1674</v>
      </c>
      <c r="K752" s="2" t="s">
        <v>51</v>
      </c>
    </row>
    <row r="753" spans="1:11" x14ac:dyDescent="0.3">
      <c r="A753" t="str">
        <f t="shared" si="11"/>
        <v>Magincia|Faultless|NAME</v>
      </c>
      <c r="B753" s="2" t="s">
        <v>713</v>
      </c>
      <c r="C753" s="2" t="s">
        <v>1641</v>
      </c>
      <c r="D753" s="3" t="s">
        <v>1672</v>
      </c>
      <c r="E753" s="3" t="s">
        <v>12</v>
      </c>
      <c r="F753" s="3" t="s">
        <v>1672</v>
      </c>
      <c r="G753" s="8" t="str">
        <f>IF(ISNA(VLOOKUP(B753&amp;"|"&amp;C753&amp;"|"&amp;D753&amp;"|"&amp;E753,QuestionTriggers!A:F,6,FALSE)),"","---&gt;")</f>
        <v/>
      </c>
      <c r="H753" s="2" t="s">
        <v>166</v>
      </c>
      <c r="I753" s="2" t="s">
        <v>1673</v>
      </c>
      <c r="J753" s="2" t="s">
        <v>1674</v>
      </c>
      <c r="K753" s="2" t="s">
        <v>51</v>
      </c>
    </row>
    <row r="754" spans="1:11" x14ac:dyDescent="0.3">
      <c r="A754" t="str">
        <f t="shared" si="11"/>
        <v>Magincia|Ghostly|HEALTH</v>
      </c>
      <c r="B754" s="2" t="s">
        <v>713</v>
      </c>
      <c r="C754" s="2" t="s">
        <v>1641</v>
      </c>
      <c r="D754" s="2" t="s">
        <v>1650</v>
      </c>
      <c r="E754" s="2" t="s">
        <v>20</v>
      </c>
      <c r="F754" s="2" t="s">
        <v>1653</v>
      </c>
      <c r="G754" s="8" t="str">
        <f>IF(ISNA(VLOOKUP(B754&amp;"|"&amp;C754&amp;"|"&amp;D754&amp;"|"&amp;E754,QuestionTriggers!A:F,6,FALSE)),"","---&gt;")</f>
        <v/>
      </c>
      <c r="H754" s="2"/>
      <c r="I754" s="2"/>
      <c r="J754" s="2"/>
      <c r="K754" s="2"/>
    </row>
    <row r="755" spans="1:11" x14ac:dyDescent="0.3">
      <c r="A755" t="str">
        <f t="shared" si="11"/>
        <v>Magincia|Ghostly|JOB</v>
      </c>
      <c r="B755" s="2" t="s">
        <v>713</v>
      </c>
      <c r="C755" s="2" t="s">
        <v>1641</v>
      </c>
      <c r="D755" s="2" t="s">
        <v>1650</v>
      </c>
      <c r="E755" s="2" t="s">
        <v>18</v>
      </c>
      <c r="F755" s="2" t="s">
        <v>1652</v>
      </c>
      <c r="G755" s="8" t="str">
        <f>IF(ISNA(VLOOKUP(B755&amp;"|"&amp;C755&amp;"|"&amp;D755&amp;"|"&amp;E755,QuestionTriggers!A:F,6,FALSE)),"","---&gt;")</f>
        <v/>
      </c>
      <c r="H755" s="2"/>
      <c r="I755" s="2"/>
      <c r="J755" s="2"/>
      <c r="K755" s="2"/>
    </row>
    <row r="756" spans="1:11" x14ac:dyDescent="0.3">
      <c r="A756" t="str">
        <f t="shared" si="11"/>
        <v>Magincia|Ghostly|LOOK</v>
      </c>
      <c r="B756" s="2" t="s">
        <v>713</v>
      </c>
      <c r="C756" s="2" t="s">
        <v>1641</v>
      </c>
      <c r="D756" s="2" t="s">
        <v>1650</v>
      </c>
      <c r="E756" s="2" t="s">
        <v>16</v>
      </c>
      <c r="F756" s="2" t="s">
        <v>1651</v>
      </c>
      <c r="G756" s="8" t="str">
        <f>IF(ISNA(VLOOKUP(B756&amp;"|"&amp;C756&amp;"|"&amp;D756&amp;"|"&amp;E756,QuestionTriggers!A:F,6,FALSE)),"","---&gt;")</f>
        <v/>
      </c>
      <c r="H756" s="2"/>
      <c r="I756" s="2"/>
      <c r="J756" s="2"/>
      <c r="K756" s="2"/>
    </row>
    <row r="757" spans="1:11" x14ac:dyDescent="0.3">
      <c r="A757" t="str">
        <f t="shared" si="11"/>
        <v>Magincia|Ghostly|NAME</v>
      </c>
      <c r="B757" s="2" t="s">
        <v>713</v>
      </c>
      <c r="C757" s="2" t="s">
        <v>1641</v>
      </c>
      <c r="D757" s="2" t="s">
        <v>1650</v>
      </c>
      <c r="E757" s="2" t="s">
        <v>12</v>
      </c>
      <c r="F757" s="2" t="s">
        <v>1650</v>
      </c>
      <c r="G757" s="8" t="str">
        <f>IF(ISNA(VLOOKUP(B757&amp;"|"&amp;C757&amp;"|"&amp;D757&amp;"|"&amp;E757,QuestionTriggers!A:F,6,FALSE)),"","---&gt;")</f>
        <v/>
      </c>
      <c r="H757" s="2"/>
      <c r="I757" s="2"/>
      <c r="J757" s="2"/>
      <c r="K757" s="2"/>
    </row>
    <row r="758" spans="1:11" ht="26.4" x14ac:dyDescent="0.3">
      <c r="A758" t="str">
        <f t="shared" si="11"/>
        <v>Magincia|Ghostly|PEAC</v>
      </c>
      <c r="B758" s="2" t="s">
        <v>713</v>
      </c>
      <c r="C758" s="2" t="s">
        <v>1641</v>
      </c>
      <c r="D758" s="2" t="s">
        <v>1650</v>
      </c>
      <c r="E758" s="2" t="s">
        <v>173</v>
      </c>
      <c r="F758" s="2" t="s">
        <v>1654</v>
      </c>
      <c r="G758" s="8" t="str">
        <f>IF(ISNA(VLOOKUP(B758&amp;"|"&amp;C758&amp;"|"&amp;D758&amp;"|"&amp;E758,QuestionTriggers!A:F,6,FALSE)),"","---&gt;")</f>
        <v/>
      </c>
      <c r="H758" s="2"/>
      <c r="I758" s="2"/>
      <c r="J758" s="2"/>
      <c r="K758" s="2"/>
    </row>
    <row r="759" spans="1:11" x14ac:dyDescent="0.3">
      <c r="A759" t="str">
        <f t="shared" si="11"/>
        <v>Magincia|Ghostly|SPIR</v>
      </c>
      <c r="B759" s="2" t="s">
        <v>713</v>
      </c>
      <c r="C759" s="2" t="s">
        <v>1641</v>
      </c>
      <c r="D759" s="2" t="s">
        <v>1650</v>
      </c>
      <c r="E759" s="2" t="s">
        <v>251</v>
      </c>
      <c r="F759" s="2" t="s">
        <v>1655</v>
      </c>
      <c r="G759" s="8" t="str">
        <f>IF(ISNA(VLOOKUP(B759&amp;"|"&amp;C759&amp;"|"&amp;D759&amp;"|"&amp;E759,QuestionTriggers!A:F,6,FALSE)),"","---&gt;")</f>
        <v/>
      </c>
      <c r="H759" s="2"/>
      <c r="I759" s="2"/>
      <c r="J759" s="2"/>
      <c r="K759" s="2"/>
    </row>
    <row r="760" spans="1:11" ht="26.4" x14ac:dyDescent="0.3">
      <c r="A760" t="str">
        <f t="shared" si="11"/>
        <v>Magincia|Heywood|HAUN</v>
      </c>
      <c r="B760" s="2" t="s">
        <v>713</v>
      </c>
      <c r="C760" s="3" t="s">
        <v>1641</v>
      </c>
      <c r="D760" s="3" t="s">
        <v>1680</v>
      </c>
      <c r="E760" s="3" t="s">
        <v>1638</v>
      </c>
      <c r="F760" s="3" t="s">
        <v>1685</v>
      </c>
      <c r="G760" s="8" t="str">
        <f>IF(ISNA(VLOOKUP(B760&amp;"|"&amp;C760&amp;"|"&amp;D760&amp;"|"&amp;E760,QuestionTriggers!A:F,6,FALSE)),"","---&gt;")</f>
        <v/>
      </c>
      <c r="H760" s="2" t="s">
        <v>166</v>
      </c>
      <c r="I760" s="2" t="s">
        <v>1681</v>
      </c>
      <c r="J760" s="2" t="s">
        <v>1682</v>
      </c>
      <c r="K760" s="2" t="s">
        <v>51</v>
      </c>
    </row>
    <row r="761" spans="1:11" ht="26.4" x14ac:dyDescent="0.3">
      <c r="A761" t="str">
        <f t="shared" si="11"/>
        <v>Magincia|Heywood|HEALTH</v>
      </c>
      <c r="B761" s="2" t="s">
        <v>713</v>
      </c>
      <c r="C761" s="2" t="s">
        <v>1641</v>
      </c>
      <c r="D761" s="3" t="s">
        <v>1680</v>
      </c>
      <c r="E761" s="3" t="s">
        <v>20</v>
      </c>
      <c r="F761" s="3" t="s">
        <v>1684</v>
      </c>
      <c r="G761" s="8" t="str">
        <f>IF(ISNA(VLOOKUP(B761&amp;"|"&amp;C761&amp;"|"&amp;D761&amp;"|"&amp;E761,QuestionTriggers!A:F,6,FALSE)),"","---&gt;")</f>
        <v/>
      </c>
      <c r="H761" s="2" t="s">
        <v>166</v>
      </c>
      <c r="I761" s="2" t="s">
        <v>1681</v>
      </c>
      <c r="J761" s="2" t="s">
        <v>1682</v>
      </c>
      <c r="K761" s="2" t="s">
        <v>51</v>
      </c>
    </row>
    <row r="762" spans="1:11" ht="26.4" x14ac:dyDescent="0.3">
      <c r="A762" t="str">
        <f t="shared" si="11"/>
        <v>Magincia|Heywood|JOB</v>
      </c>
      <c r="B762" s="2" t="s">
        <v>713</v>
      </c>
      <c r="C762" s="2" t="s">
        <v>1641</v>
      </c>
      <c r="D762" s="3" t="s">
        <v>1680</v>
      </c>
      <c r="E762" s="3" t="s">
        <v>18</v>
      </c>
      <c r="F762" s="3" t="s">
        <v>1683</v>
      </c>
      <c r="G762" s="8" t="str">
        <f>IF(ISNA(VLOOKUP(B762&amp;"|"&amp;C762&amp;"|"&amp;D762&amp;"|"&amp;E762,QuestionTriggers!A:F,6,FALSE)),"","---&gt;")</f>
        <v/>
      </c>
      <c r="H762" s="2" t="s">
        <v>166</v>
      </c>
      <c r="I762" s="2" t="s">
        <v>1681</v>
      </c>
      <c r="J762" s="2" t="s">
        <v>1682</v>
      </c>
      <c r="K762" s="2" t="s">
        <v>51</v>
      </c>
    </row>
    <row r="763" spans="1:11" ht="26.4" x14ac:dyDescent="0.3">
      <c r="A763" t="str">
        <f t="shared" si="11"/>
        <v>Magincia|Heywood|LOOK</v>
      </c>
      <c r="B763" s="2" t="s">
        <v>713</v>
      </c>
      <c r="C763" s="2" t="s">
        <v>1641</v>
      </c>
      <c r="D763" s="3" t="s">
        <v>1680</v>
      </c>
      <c r="E763" s="3" t="s">
        <v>16</v>
      </c>
      <c r="F763" s="3" t="s">
        <v>1675</v>
      </c>
      <c r="G763" s="8" t="str">
        <f>IF(ISNA(VLOOKUP(B763&amp;"|"&amp;C763&amp;"|"&amp;D763&amp;"|"&amp;E763,QuestionTriggers!A:F,6,FALSE)),"","---&gt;")</f>
        <v/>
      </c>
      <c r="H763" s="2" t="s">
        <v>166</v>
      </c>
      <c r="I763" s="2" t="s">
        <v>1681</v>
      </c>
      <c r="J763" s="2" t="s">
        <v>1682</v>
      </c>
      <c r="K763" s="2" t="s">
        <v>51</v>
      </c>
    </row>
    <row r="764" spans="1:11" ht="26.4" x14ac:dyDescent="0.3">
      <c r="A764" t="str">
        <f t="shared" si="11"/>
        <v>Magincia|Heywood|MANT</v>
      </c>
      <c r="B764" s="2" t="s">
        <v>713</v>
      </c>
      <c r="C764" s="3" t="s">
        <v>1641</v>
      </c>
      <c r="D764" s="3" t="s">
        <v>1680</v>
      </c>
      <c r="E764" s="3" t="s">
        <v>742</v>
      </c>
      <c r="F764" s="3" t="s">
        <v>1686</v>
      </c>
      <c r="G764" s="8" t="str">
        <f>IF(ISNA(VLOOKUP(B764&amp;"|"&amp;C764&amp;"|"&amp;D764&amp;"|"&amp;E764,QuestionTriggers!A:F,6,FALSE)),"","---&gt;")</f>
        <v>---&gt;</v>
      </c>
      <c r="H764" s="2" t="s">
        <v>166</v>
      </c>
      <c r="I764" s="2" t="s">
        <v>1681</v>
      </c>
      <c r="J764" s="2" t="s">
        <v>1682</v>
      </c>
      <c r="K764" s="2" t="s">
        <v>51</v>
      </c>
    </row>
    <row r="765" spans="1:11" ht="26.4" x14ac:dyDescent="0.3">
      <c r="A765" t="str">
        <f t="shared" si="11"/>
        <v>Magincia|Heywood|NAME</v>
      </c>
      <c r="B765" s="2" t="s">
        <v>713</v>
      </c>
      <c r="C765" s="2" t="s">
        <v>1641</v>
      </c>
      <c r="D765" s="3" t="s">
        <v>1680</v>
      </c>
      <c r="E765" s="3" t="s">
        <v>12</v>
      </c>
      <c r="F765" s="3" t="s">
        <v>1680</v>
      </c>
      <c r="G765" s="8" t="str">
        <f>IF(ISNA(VLOOKUP(B765&amp;"|"&amp;C765&amp;"|"&amp;D765&amp;"|"&amp;E765,QuestionTriggers!A:F,6,FALSE)),"","---&gt;")</f>
        <v/>
      </c>
      <c r="H765" s="2" t="s">
        <v>166</v>
      </c>
      <c r="I765" s="2" t="s">
        <v>1681</v>
      </c>
      <c r="J765" s="2" t="s">
        <v>1682</v>
      </c>
      <c r="K765" s="2" t="s">
        <v>51</v>
      </c>
    </row>
    <row r="766" spans="1:11" ht="26.4" x14ac:dyDescent="0.3">
      <c r="A766" t="str">
        <f t="shared" si="11"/>
        <v>Magincia|Katrina|HEALTH</v>
      </c>
      <c r="B766" s="2" t="s">
        <v>713</v>
      </c>
      <c r="C766" s="2" t="s">
        <v>1641</v>
      </c>
      <c r="D766" s="3" t="s">
        <v>1642</v>
      </c>
      <c r="E766" s="3" t="s">
        <v>20</v>
      </c>
      <c r="F766" s="3" t="s">
        <v>93</v>
      </c>
      <c r="G766" s="8" t="str">
        <f>IF(ISNA(VLOOKUP(B766&amp;"|"&amp;C766&amp;"|"&amp;D766&amp;"|"&amp;E766,QuestionTriggers!A:F,6,FALSE)),"","---&gt;")</f>
        <v/>
      </c>
      <c r="H766" s="2" t="s">
        <v>166</v>
      </c>
      <c r="I766" s="2" t="s">
        <v>1643</v>
      </c>
      <c r="J766" s="2" t="s">
        <v>1644</v>
      </c>
      <c r="K766" s="2" t="s">
        <v>51</v>
      </c>
    </row>
    <row r="767" spans="1:11" ht="26.4" x14ac:dyDescent="0.3">
      <c r="A767" t="str">
        <f t="shared" si="11"/>
        <v>Magincia|Katrina|JOB</v>
      </c>
      <c r="B767" s="2" t="s">
        <v>713</v>
      </c>
      <c r="C767" s="2" t="s">
        <v>1641</v>
      </c>
      <c r="D767" s="3" t="s">
        <v>1642</v>
      </c>
      <c r="E767" s="3" t="s">
        <v>18</v>
      </c>
      <c r="F767" s="3" t="s">
        <v>1646</v>
      </c>
      <c r="G767" s="8" t="str">
        <f>IF(ISNA(VLOOKUP(B767&amp;"|"&amp;C767&amp;"|"&amp;D767&amp;"|"&amp;E767,QuestionTriggers!A:F,6,FALSE)),"","---&gt;")</f>
        <v/>
      </c>
      <c r="H767" s="2" t="s">
        <v>166</v>
      </c>
      <c r="I767" s="2" t="s">
        <v>1643</v>
      </c>
      <c r="J767" s="2" t="s">
        <v>1644</v>
      </c>
      <c r="K767" s="2" t="s">
        <v>51</v>
      </c>
    </row>
    <row r="768" spans="1:11" ht="26.4" x14ac:dyDescent="0.3">
      <c r="A768" t="str">
        <f t="shared" si="11"/>
        <v>Magincia|Katrina|LOOK</v>
      </c>
      <c r="B768" s="2" t="s">
        <v>713</v>
      </c>
      <c r="C768" s="2" t="s">
        <v>1641</v>
      </c>
      <c r="D768" s="3" t="s">
        <v>1642</v>
      </c>
      <c r="E768" s="3" t="s">
        <v>16</v>
      </c>
      <c r="F768" s="3" t="s">
        <v>1645</v>
      </c>
      <c r="G768" s="8" t="str">
        <f>IF(ISNA(VLOOKUP(B768&amp;"|"&amp;C768&amp;"|"&amp;D768&amp;"|"&amp;E768,QuestionTriggers!A:F,6,FALSE)),"","---&gt;")</f>
        <v/>
      </c>
      <c r="H768" s="2" t="s">
        <v>166</v>
      </c>
      <c r="I768" s="2" t="s">
        <v>1643</v>
      </c>
      <c r="J768" s="2" t="s">
        <v>1644</v>
      </c>
      <c r="K768" s="2" t="s">
        <v>51</v>
      </c>
    </row>
    <row r="769" spans="1:11" ht="26.4" x14ac:dyDescent="0.3">
      <c r="A769" t="str">
        <f t="shared" si="11"/>
        <v>Magincia|Katrina|NAME</v>
      </c>
      <c r="B769" s="2" t="s">
        <v>713</v>
      </c>
      <c r="C769" s="2" t="s">
        <v>1641</v>
      </c>
      <c r="D769" s="3" t="s">
        <v>1642</v>
      </c>
      <c r="E769" s="3" t="s">
        <v>12</v>
      </c>
      <c r="F769" s="3" t="s">
        <v>1642</v>
      </c>
      <c r="G769" s="8" t="str">
        <f>IF(ISNA(VLOOKUP(B769&amp;"|"&amp;C769&amp;"|"&amp;D769&amp;"|"&amp;E769,QuestionTriggers!A:F,6,FALSE)),"","---&gt;")</f>
        <v/>
      </c>
      <c r="H769" s="2" t="s">
        <v>166</v>
      </c>
      <c r="I769" s="2" t="s">
        <v>1643</v>
      </c>
      <c r="J769" s="2" t="s">
        <v>1644</v>
      </c>
      <c r="K769" s="2" t="s">
        <v>51</v>
      </c>
    </row>
    <row r="770" spans="1:11" ht="26.4" x14ac:dyDescent="0.3">
      <c r="A770" t="str">
        <f t="shared" si="11"/>
        <v>Magincia|Katrina|PRID</v>
      </c>
      <c r="B770" s="2" t="s">
        <v>713</v>
      </c>
      <c r="C770" s="3" t="s">
        <v>1641</v>
      </c>
      <c r="D770" s="3" t="s">
        <v>1642</v>
      </c>
      <c r="E770" s="3" t="s">
        <v>255</v>
      </c>
      <c r="F770" s="3" t="s">
        <v>1649</v>
      </c>
      <c r="G770" s="8" t="str">
        <f>IF(ISNA(VLOOKUP(B770&amp;"|"&amp;C770&amp;"|"&amp;D770&amp;"|"&amp;E770,QuestionTriggers!A:F,6,FALSE)),"","---&gt;")</f>
        <v>---&gt;</v>
      </c>
      <c r="H770" s="2" t="s">
        <v>166</v>
      </c>
      <c r="I770" s="2" t="s">
        <v>1643</v>
      </c>
      <c r="J770" s="2" t="s">
        <v>1644</v>
      </c>
      <c r="K770" s="2" t="s">
        <v>51</v>
      </c>
    </row>
    <row r="771" spans="1:11" ht="26.4" x14ac:dyDescent="0.3">
      <c r="A771" t="str">
        <f t="shared" ref="A771:A834" si="12">C771&amp;"|"&amp;D771&amp;"|"&amp;E771</f>
        <v>Magincia|Katrina|SURV</v>
      </c>
      <c r="B771" s="2" t="s">
        <v>713</v>
      </c>
      <c r="C771" s="3" t="s">
        <v>1641</v>
      </c>
      <c r="D771" s="3" t="s">
        <v>1642</v>
      </c>
      <c r="E771" s="3" t="s">
        <v>1647</v>
      </c>
      <c r="F771" s="3" t="s">
        <v>1648</v>
      </c>
      <c r="G771" s="8" t="str">
        <f>IF(ISNA(VLOOKUP(B771&amp;"|"&amp;C771&amp;"|"&amp;D771&amp;"|"&amp;E771,QuestionTriggers!A:F,6,FALSE)),"","---&gt;")</f>
        <v/>
      </c>
      <c r="H771" s="2" t="s">
        <v>166</v>
      </c>
      <c r="I771" s="2" t="s">
        <v>1643</v>
      </c>
      <c r="J771" s="2" t="s">
        <v>1644</v>
      </c>
      <c r="K771" s="2" t="s">
        <v>51</v>
      </c>
    </row>
    <row r="772" spans="1:11" x14ac:dyDescent="0.3">
      <c r="A772" t="str">
        <f t="shared" si="12"/>
        <v>Magincia|Nate the Snake|HEALTH</v>
      </c>
      <c r="B772" s="2" t="s">
        <v>713</v>
      </c>
      <c r="C772" s="2" t="s">
        <v>1641</v>
      </c>
      <c r="D772" s="3" t="s">
        <v>1755</v>
      </c>
      <c r="E772" s="3" t="s">
        <v>20</v>
      </c>
      <c r="F772" s="3" t="s">
        <v>1759</v>
      </c>
      <c r="G772" s="8" t="str">
        <f>IF(ISNA(VLOOKUP(B772&amp;"|"&amp;C772&amp;"|"&amp;D772&amp;"|"&amp;E772,QuestionTriggers!A:F,6,FALSE)),"","---&gt;")</f>
        <v/>
      </c>
      <c r="H772" s="2"/>
      <c r="I772" s="2"/>
      <c r="J772" s="2"/>
      <c r="K772" s="2"/>
    </row>
    <row r="773" spans="1:11" x14ac:dyDescent="0.3">
      <c r="A773" t="str">
        <f t="shared" si="12"/>
        <v>Magincia|Nate the Snake|JOB</v>
      </c>
      <c r="B773" s="2" t="s">
        <v>713</v>
      </c>
      <c r="C773" s="2" t="s">
        <v>1641</v>
      </c>
      <c r="D773" s="3" t="s">
        <v>1755</v>
      </c>
      <c r="E773" s="3" t="s">
        <v>18</v>
      </c>
      <c r="F773" s="3" t="s">
        <v>1758</v>
      </c>
      <c r="G773" s="8" t="str">
        <f>IF(ISNA(VLOOKUP(B773&amp;"|"&amp;C773&amp;"|"&amp;D773&amp;"|"&amp;E773,QuestionTriggers!A:F,6,FALSE)),"","---&gt;")</f>
        <v/>
      </c>
      <c r="H773" s="2"/>
      <c r="I773" s="2"/>
      <c r="J773" s="2"/>
      <c r="K773" s="2"/>
    </row>
    <row r="774" spans="1:11" x14ac:dyDescent="0.3">
      <c r="A774" t="str">
        <f t="shared" si="12"/>
        <v>Magincia|Nate the Snake|LOOK</v>
      </c>
      <c r="B774" s="2" t="s">
        <v>713</v>
      </c>
      <c r="C774" s="2" t="s">
        <v>1641</v>
      </c>
      <c r="D774" s="3" t="s">
        <v>1755</v>
      </c>
      <c r="E774" s="3" t="s">
        <v>16</v>
      </c>
      <c r="F774" s="3" t="s">
        <v>1757</v>
      </c>
      <c r="G774" s="8" t="str">
        <f>IF(ISNA(VLOOKUP(B774&amp;"|"&amp;C774&amp;"|"&amp;D774&amp;"|"&amp;E774,QuestionTriggers!A:F,6,FALSE)),"","---&gt;")</f>
        <v/>
      </c>
      <c r="H774" s="2"/>
      <c r="I774" s="2"/>
      <c r="J774" s="2"/>
      <c r="K774" s="2"/>
    </row>
    <row r="775" spans="1:11" x14ac:dyDescent="0.3">
      <c r="A775" t="str">
        <f t="shared" si="12"/>
        <v>Magincia|Nate the Snake|NAME</v>
      </c>
      <c r="B775" s="2" t="s">
        <v>713</v>
      </c>
      <c r="C775" s="2" t="s">
        <v>1641</v>
      </c>
      <c r="D775" s="3" t="s">
        <v>1755</v>
      </c>
      <c r="E775" s="3" t="s">
        <v>12</v>
      </c>
      <c r="F775" s="3" t="s">
        <v>1756</v>
      </c>
      <c r="G775" s="8" t="str">
        <f>IF(ISNA(VLOOKUP(B775&amp;"|"&amp;C775&amp;"|"&amp;D775&amp;"|"&amp;E775,QuestionTriggers!A:F,6,FALSE)),"","---&gt;")</f>
        <v/>
      </c>
      <c r="H775" s="2"/>
      <c r="I775" s="2"/>
      <c r="J775" s="2"/>
      <c r="K775" s="2"/>
    </row>
    <row r="776" spans="1:11" ht="26.4" x14ac:dyDescent="0.3">
      <c r="A776" t="str">
        <f t="shared" si="12"/>
        <v>Magincia|Nate the Snake|RUNE</v>
      </c>
      <c r="B776" s="2" t="s">
        <v>713</v>
      </c>
      <c r="C776" s="2" t="s">
        <v>1641</v>
      </c>
      <c r="D776" s="3" t="s">
        <v>1755</v>
      </c>
      <c r="E776" s="3" t="s">
        <v>847</v>
      </c>
      <c r="F776" s="3" t="s">
        <v>1761</v>
      </c>
      <c r="G776" s="8" t="str">
        <f>IF(ISNA(VLOOKUP(B776&amp;"|"&amp;C776&amp;"|"&amp;D776&amp;"|"&amp;E776,QuestionTriggers!A:F,6,FALSE)),"","---&gt;")</f>
        <v/>
      </c>
      <c r="H776" s="2"/>
      <c r="I776" s="2"/>
      <c r="J776" s="2"/>
      <c r="K776" s="2"/>
    </row>
    <row r="777" spans="1:11" x14ac:dyDescent="0.3">
      <c r="A777" t="str">
        <f t="shared" si="12"/>
        <v>Magincia|Nate the Snake|STON</v>
      </c>
      <c r="B777" s="2" t="s">
        <v>713</v>
      </c>
      <c r="C777" s="2" t="s">
        <v>1641</v>
      </c>
      <c r="D777" s="3" t="s">
        <v>1755</v>
      </c>
      <c r="E777" s="3" t="s">
        <v>854</v>
      </c>
      <c r="F777" s="3" t="s">
        <v>1760</v>
      </c>
      <c r="G777" s="8" t="str">
        <f>IF(ISNA(VLOOKUP(B777&amp;"|"&amp;C777&amp;"|"&amp;D777&amp;"|"&amp;E777,QuestionTriggers!A:F,6,FALSE)),"","---&gt;")</f>
        <v/>
      </c>
      <c r="H777" s="2"/>
      <c r="I777" s="2"/>
      <c r="J777" s="2"/>
      <c r="K777" s="2"/>
    </row>
    <row r="778" spans="1:11" x14ac:dyDescent="0.3">
      <c r="A778" t="str">
        <f t="shared" si="12"/>
        <v>Magincia|Ruskin|HEALTH</v>
      </c>
      <c r="B778" s="2" t="s">
        <v>713</v>
      </c>
      <c r="C778" s="2" t="s">
        <v>1641</v>
      </c>
      <c r="D778" s="2" t="s">
        <v>1747</v>
      </c>
      <c r="E778" s="2" t="s">
        <v>20</v>
      </c>
      <c r="F778" s="2" t="s">
        <v>1752</v>
      </c>
      <c r="G778" s="8" t="str">
        <f>IF(ISNA(VLOOKUP(B778&amp;"|"&amp;C778&amp;"|"&amp;D778&amp;"|"&amp;E778,QuestionTriggers!A:F,6,FALSE)),"","---&gt;")</f>
        <v/>
      </c>
      <c r="H778" s="2" t="s">
        <v>1748</v>
      </c>
      <c r="I778" s="2" t="s">
        <v>1749</v>
      </c>
      <c r="J778" s="2" t="s">
        <v>862</v>
      </c>
      <c r="K778" s="2"/>
    </row>
    <row r="779" spans="1:11" x14ac:dyDescent="0.3">
      <c r="A779" t="str">
        <f t="shared" si="12"/>
        <v>Magincia|Ruskin|HUMI</v>
      </c>
      <c r="B779" s="2" t="s">
        <v>713</v>
      </c>
      <c r="C779" s="2" t="s">
        <v>1641</v>
      </c>
      <c r="D779" s="2" t="s">
        <v>1747</v>
      </c>
      <c r="E779" s="2" t="s">
        <v>253</v>
      </c>
      <c r="F779" s="2" t="s">
        <v>1753</v>
      </c>
      <c r="G779" s="8" t="str">
        <f>IF(ISNA(VLOOKUP(B779&amp;"|"&amp;C779&amp;"|"&amp;D779&amp;"|"&amp;E779,QuestionTriggers!A:F,6,FALSE)),"","---&gt;")</f>
        <v/>
      </c>
      <c r="H779" s="2" t="s">
        <v>1748</v>
      </c>
      <c r="I779" s="2" t="s">
        <v>1749</v>
      </c>
      <c r="J779" s="2" t="s">
        <v>862</v>
      </c>
      <c r="K779" s="2"/>
    </row>
    <row r="780" spans="1:11" x14ac:dyDescent="0.3">
      <c r="A780" t="str">
        <f t="shared" si="12"/>
        <v>Magincia|Ruskin|JOB</v>
      </c>
      <c r="B780" s="2" t="s">
        <v>713</v>
      </c>
      <c r="C780" s="2" t="s">
        <v>1641</v>
      </c>
      <c r="D780" s="2" t="s">
        <v>1747</v>
      </c>
      <c r="E780" s="2" t="s">
        <v>18</v>
      </c>
      <c r="F780" s="2" t="s">
        <v>1751</v>
      </c>
      <c r="G780" s="8" t="str">
        <f>IF(ISNA(VLOOKUP(B780&amp;"|"&amp;C780&amp;"|"&amp;D780&amp;"|"&amp;E780,QuestionTriggers!A:F,6,FALSE)),"","---&gt;")</f>
        <v/>
      </c>
      <c r="H780" s="2" t="s">
        <v>1748</v>
      </c>
      <c r="I780" s="2" t="s">
        <v>1749</v>
      </c>
      <c r="J780" s="2" t="s">
        <v>862</v>
      </c>
      <c r="K780" s="2"/>
    </row>
    <row r="781" spans="1:11" x14ac:dyDescent="0.3">
      <c r="A781" t="str">
        <f t="shared" si="12"/>
        <v>Magincia|Ruskin|LOOK</v>
      </c>
      <c r="B781" s="2" t="s">
        <v>713</v>
      </c>
      <c r="C781" s="2" t="s">
        <v>1641</v>
      </c>
      <c r="D781" s="2" t="s">
        <v>1747</v>
      </c>
      <c r="E781" s="2" t="s">
        <v>16</v>
      </c>
      <c r="F781" s="2" t="s">
        <v>1750</v>
      </c>
      <c r="G781" s="8" t="str">
        <f>IF(ISNA(VLOOKUP(B781&amp;"|"&amp;C781&amp;"|"&amp;D781&amp;"|"&amp;E781,QuestionTriggers!A:F,6,FALSE)),"","---&gt;")</f>
        <v/>
      </c>
      <c r="H781" s="2" t="s">
        <v>1748</v>
      </c>
      <c r="I781" s="2" t="s">
        <v>1749</v>
      </c>
      <c r="J781" s="2" t="s">
        <v>862</v>
      </c>
      <c r="K781" s="2"/>
    </row>
    <row r="782" spans="1:11" x14ac:dyDescent="0.3">
      <c r="A782" t="str">
        <f t="shared" si="12"/>
        <v>Magincia|Ruskin|NAME</v>
      </c>
      <c r="B782" s="2" t="s">
        <v>713</v>
      </c>
      <c r="C782" s="2" t="s">
        <v>1641</v>
      </c>
      <c r="D782" s="2" t="s">
        <v>1747</v>
      </c>
      <c r="E782" s="2" t="s">
        <v>12</v>
      </c>
      <c r="F782" s="2" t="s">
        <v>1747</v>
      </c>
      <c r="G782" s="8" t="str">
        <f>IF(ISNA(VLOOKUP(B782&amp;"|"&amp;C782&amp;"|"&amp;D782&amp;"|"&amp;E782,QuestionTriggers!A:F,6,FALSE)),"","---&gt;")</f>
        <v/>
      </c>
      <c r="H782" s="2" t="s">
        <v>1748</v>
      </c>
      <c r="I782" s="2" t="s">
        <v>1749</v>
      </c>
      <c r="J782" s="2" t="s">
        <v>862</v>
      </c>
      <c r="K782" s="2"/>
    </row>
    <row r="783" spans="1:11" x14ac:dyDescent="0.3">
      <c r="A783" t="str">
        <f t="shared" si="12"/>
        <v>Magincia|Ruskin|RUNE</v>
      </c>
      <c r="B783" s="2" t="s">
        <v>713</v>
      </c>
      <c r="C783" s="2" t="s">
        <v>1641</v>
      </c>
      <c r="D783" s="2" t="s">
        <v>1747</v>
      </c>
      <c r="E783" s="2" t="s">
        <v>847</v>
      </c>
      <c r="F783" s="2" t="s">
        <v>1754</v>
      </c>
      <c r="G783" s="8" t="str">
        <f>IF(ISNA(VLOOKUP(B783&amp;"|"&amp;C783&amp;"|"&amp;D783&amp;"|"&amp;E783,QuestionTriggers!A:F,6,FALSE)),"","---&gt;")</f>
        <v>---&gt;</v>
      </c>
      <c r="H783" s="2" t="s">
        <v>1748</v>
      </c>
      <c r="I783" s="2" t="s">
        <v>1749</v>
      </c>
      <c r="J783" s="2" t="s">
        <v>862</v>
      </c>
      <c r="K783" s="2"/>
    </row>
    <row r="784" spans="1:11" ht="26.4" x14ac:dyDescent="0.3">
      <c r="A784" t="str">
        <f t="shared" si="12"/>
        <v>Magincia|Skullface|HEALTH</v>
      </c>
      <c r="B784" s="2" t="s">
        <v>713</v>
      </c>
      <c r="C784" s="2" t="s">
        <v>1641</v>
      </c>
      <c r="D784" s="2" t="s">
        <v>1656</v>
      </c>
      <c r="E784" s="2" t="s">
        <v>20</v>
      </c>
      <c r="F784" s="2" t="s">
        <v>1662</v>
      </c>
      <c r="G784" s="8" t="str">
        <f>IF(ISNA(VLOOKUP(B784&amp;"|"&amp;C784&amp;"|"&amp;D784&amp;"|"&amp;E784,QuestionTriggers!A:F,6,FALSE)),"","---&gt;")</f>
        <v/>
      </c>
      <c r="H784" s="2" t="s">
        <v>1657</v>
      </c>
      <c r="I784" s="2" t="s">
        <v>1658</v>
      </c>
      <c r="J784" s="2" t="s">
        <v>1659</v>
      </c>
      <c r="K784" s="2"/>
    </row>
    <row r="785" spans="1:11" ht="26.4" x14ac:dyDescent="0.3">
      <c r="A785" t="str">
        <f t="shared" si="12"/>
        <v>Magincia|Skullface|JOB</v>
      </c>
      <c r="B785" s="2" t="s">
        <v>713</v>
      </c>
      <c r="C785" s="2" t="s">
        <v>1641</v>
      </c>
      <c r="D785" s="2" t="s">
        <v>1656</v>
      </c>
      <c r="E785" s="2" t="s">
        <v>18</v>
      </c>
      <c r="F785" s="2" t="s">
        <v>1661</v>
      </c>
      <c r="G785" s="8" t="str">
        <f>IF(ISNA(VLOOKUP(B785&amp;"|"&amp;C785&amp;"|"&amp;D785&amp;"|"&amp;E785,QuestionTriggers!A:F,6,FALSE)),"","---&gt;")</f>
        <v/>
      </c>
      <c r="H785" s="2" t="s">
        <v>1657</v>
      </c>
      <c r="I785" s="2" t="s">
        <v>1658</v>
      </c>
      <c r="J785" s="2" t="s">
        <v>1659</v>
      </c>
      <c r="K785" s="2"/>
    </row>
    <row r="786" spans="1:11" ht="26.4" x14ac:dyDescent="0.3">
      <c r="A786" t="str">
        <f t="shared" si="12"/>
        <v>Magincia|Skullface|LOOK</v>
      </c>
      <c r="B786" s="2" t="s">
        <v>713</v>
      </c>
      <c r="C786" s="2" t="s">
        <v>1641</v>
      </c>
      <c r="D786" s="2" t="s">
        <v>1656</v>
      </c>
      <c r="E786" s="2" t="s">
        <v>16</v>
      </c>
      <c r="F786" s="2" t="s">
        <v>1660</v>
      </c>
      <c r="G786" s="8" t="str">
        <f>IF(ISNA(VLOOKUP(B786&amp;"|"&amp;C786&amp;"|"&amp;D786&amp;"|"&amp;E786,QuestionTriggers!A:F,6,FALSE)),"","---&gt;")</f>
        <v/>
      </c>
      <c r="H786" s="2" t="s">
        <v>1657</v>
      </c>
      <c r="I786" s="2" t="s">
        <v>1658</v>
      </c>
      <c r="J786" s="2" t="s">
        <v>1659</v>
      </c>
      <c r="K786" s="2"/>
    </row>
    <row r="787" spans="1:11" ht="26.4" x14ac:dyDescent="0.3">
      <c r="A787" t="str">
        <f t="shared" si="12"/>
        <v>Magincia|Skullface|NAME</v>
      </c>
      <c r="B787" s="2" t="s">
        <v>713</v>
      </c>
      <c r="C787" s="2" t="s">
        <v>1641</v>
      </c>
      <c r="D787" s="2" t="s">
        <v>1656</v>
      </c>
      <c r="E787" s="2" t="s">
        <v>12</v>
      </c>
      <c r="F787" s="2" t="s">
        <v>1656</v>
      </c>
      <c r="G787" s="8" t="str">
        <f>IF(ISNA(VLOOKUP(B787&amp;"|"&amp;C787&amp;"|"&amp;D787&amp;"|"&amp;E787,QuestionTriggers!A:F,6,FALSE)),"","---&gt;")</f>
        <v/>
      </c>
      <c r="H787" s="2" t="s">
        <v>1657</v>
      </c>
      <c r="I787" s="2" t="s">
        <v>1658</v>
      </c>
      <c r="J787" s="2" t="s">
        <v>1659</v>
      </c>
      <c r="K787" s="2"/>
    </row>
    <row r="788" spans="1:11" ht="26.4" x14ac:dyDescent="0.3">
      <c r="A788" t="str">
        <f t="shared" si="12"/>
        <v>Magincia|Slim|BONE</v>
      </c>
      <c r="B788" s="2" t="s">
        <v>713</v>
      </c>
      <c r="C788" s="2" t="s">
        <v>1641</v>
      </c>
      <c r="D788" s="2" t="s">
        <v>1687</v>
      </c>
      <c r="E788" s="2" t="s">
        <v>1693</v>
      </c>
      <c r="F788" s="2" t="s">
        <v>1694</v>
      </c>
      <c r="G788" s="8" t="str">
        <f>IF(ISNA(VLOOKUP(B788&amp;"|"&amp;C788&amp;"|"&amp;D788&amp;"|"&amp;E788,QuestionTriggers!A:F,6,FALSE)),"","---&gt;")</f>
        <v/>
      </c>
      <c r="H788" s="2" t="s">
        <v>1688</v>
      </c>
      <c r="I788" s="2" t="s">
        <v>1313</v>
      </c>
      <c r="J788" s="2" t="s">
        <v>1689</v>
      </c>
      <c r="K788" s="2" t="s">
        <v>51</v>
      </c>
    </row>
    <row r="789" spans="1:11" ht="26.4" x14ac:dyDescent="0.3">
      <c r="A789" t="str">
        <f t="shared" si="12"/>
        <v>Magincia|Slim|HEALTH</v>
      </c>
      <c r="B789" s="2" t="s">
        <v>713</v>
      </c>
      <c r="C789" s="2" t="s">
        <v>1641</v>
      </c>
      <c r="D789" s="2" t="s">
        <v>1687</v>
      </c>
      <c r="E789" s="2" t="s">
        <v>20</v>
      </c>
      <c r="F789" s="2" t="s">
        <v>1692</v>
      </c>
      <c r="G789" s="8" t="str">
        <f>IF(ISNA(VLOOKUP(B789&amp;"|"&amp;C789&amp;"|"&amp;D789&amp;"|"&amp;E789,QuestionTriggers!A:F,6,FALSE)),"","---&gt;")</f>
        <v/>
      </c>
      <c r="H789" s="2" t="s">
        <v>1688</v>
      </c>
      <c r="I789" s="2" t="s">
        <v>1313</v>
      </c>
      <c r="J789" s="2" t="s">
        <v>1689</v>
      </c>
      <c r="K789" s="2" t="s">
        <v>51</v>
      </c>
    </row>
    <row r="790" spans="1:11" ht="26.4" x14ac:dyDescent="0.3">
      <c r="A790" t="str">
        <f t="shared" si="12"/>
        <v>Magincia|Slim|JOB</v>
      </c>
      <c r="B790" s="2" t="s">
        <v>713</v>
      </c>
      <c r="C790" s="2" t="s">
        <v>1641</v>
      </c>
      <c r="D790" s="2" t="s">
        <v>1687</v>
      </c>
      <c r="E790" s="2" t="s">
        <v>18</v>
      </c>
      <c r="F790" s="2" t="s">
        <v>1691</v>
      </c>
      <c r="G790" s="8" t="str">
        <f>IF(ISNA(VLOOKUP(B790&amp;"|"&amp;C790&amp;"|"&amp;D790&amp;"|"&amp;E790,QuestionTriggers!A:F,6,FALSE)),"","---&gt;")</f>
        <v/>
      </c>
      <c r="H790" s="2" t="s">
        <v>1688</v>
      </c>
      <c r="I790" s="2" t="s">
        <v>1313</v>
      </c>
      <c r="J790" s="2" t="s">
        <v>1689</v>
      </c>
      <c r="K790" s="2" t="s">
        <v>51</v>
      </c>
    </row>
    <row r="791" spans="1:11" ht="26.4" x14ac:dyDescent="0.3">
      <c r="A791" t="str">
        <f t="shared" si="12"/>
        <v>Magincia|Slim|LOOK</v>
      </c>
      <c r="B791" s="2" t="s">
        <v>713</v>
      </c>
      <c r="C791" s="2" t="s">
        <v>1641</v>
      </c>
      <c r="D791" s="2" t="s">
        <v>1687</v>
      </c>
      <c r="E791" s="2" t="s">
        <v>16</v>
      </c>
      <c r="F791" s="2" t="s">
        <v>1690</v>
      </c>
      <c r="G791" s="8" t="str">
        <f>IF(ISNA(VLOOKUP(B791&amp;"|"&amp;C791&amp;"|"&amp;D791&amp;"|"&amp;E791,QuestionTriggers!A:F,6,FALSE)),"","---&gt;")</f>
        <v/>
      </c>
      <c r="H791" s="2" t="s">
        <v>1688</v>
      </c>
      <c r="I791" s="2" t="s">
        <v>1313</v>
      </c>
      <c r="J791" s="2" t="s">
        <v>1689</v>
      </c>
      <c r="K791" s="2" t="s">
        <v>51</v>
      </c>
    </row>
    <row r="792" spans="1:11" ht="26.4" x14ac:dyDescent="0.3">
      <c r="A792" t="str">
        <f t="shared" si="12"/>
        <v>Magincia|Slim|NAME</v>
      </c>
      <c r="B792" s="2" t="s">
        <v>713</v>
      </c>
      <c r="C792" s="2" t="s">
        <v>1641</v>
      </c>
      <c r="D792" s="2" t="s">
        <v>1687</v>
      </c>
      <c r="E792" s="2" t="s">
        <v>12</v>
      </c>
      <c r="F792" s="2" t="s">
        <v>1687</v>
      </c>
      <c r="G792" s="8" t="str">
        <f>IF(ISNA(VLOOKUP(B792&amp;"|"&amp;C792&amp;"|"&amp;D792&amp;"|"&amp;E792,QuestionTriggers!A:F,6,FALSE)),"","---&gt;")</f>
        <v/>
      </c>
      <c r="H792" s="2" t="s">
        <v>1688</v>
      </c>
      <c r="I792" s="2" t="s">
        <v>1313</v>
      </c>
      <c r="J792" s="2" t="s">
        <v>1689</v>
      </c>
      <c r="K792" s="2" t="s">
        <v>51</v>
      </c>
    </row>
    <row r="793" spans="1:11" ht="26.4" x14ac:dyDescent="0.3">
      <c r="A793" t="str">
        <f t="shared" si="12"/>
        <v>Magincia|Slim|PRID</v>
      </c>
      <c r="B793" s="2" t="s">
        <v>713</v>
      </c>
      <c r="C793" s="2" t="s">
        <v>1641</v>
      </c>
      <c r="D793" s="2" t="s">
        <v>1687</v>
      </c>
      <c r="E793" s="2" t="s">
        <v>255</v>
      </c>
      <c r="F793" s="2" t="s">
        <v>1695</v>
      </c>
      <c r="G793" s="8" t="str">
        <f>IF(ISNA(VLOOKUP(B793&amp;"|"&amp;C793&amp;"|"&amp;D793&amp;"|"&amp;E793,QuestionTriggers!A:F,6,FALSE)),"","---&gt;")</f>
        <v>---&gt;</v>
      </c>
      <c r="H793" s="2" t="s">
        <v>1688</v>
      </c>
      <c r="I793" s="2" t="s">
        <v>1313</v>
      </c>
      <c r="J793" s="2" t="s">
        <v>1689</v>
      </c>
      <c r="K793" s="2" t="s">
        <v>51</v>
      </c>
    </row>
    <row r="794" spans="1:11" x14ac:dyDescent="0.3">
      <c r="A794" t="str">
        <f t="shared" si="12"/>
        <v>Magincia|Splot|HEALTH</v>
      </c>
      <c r="B794" s="2" t="s">
        <v>713</v>
      </c>
      <c r="C794" s="2" t="s">
        <v>1641</v>
      </c>
      <c r="D794" s="2" t="s">
        <v>1739</v>
      </c>
      <c r="E794" s="2" t="s">
        <v>20</v>
      </c>
      <c r="F794" s="2" t="s">
        <v>790</v>
      </c>
      <c r="G794" s="8" t="str">
        <f>IF(ISNA(VLOOKUP(B794&amp;"|"&amp;C794&amp;"|"&amp;D794&amp;"|"&amp;E794,QuestionTriggers!A:F,6,FALSE)),"","---&gt;")</f>
        <v/>
      </c>
      <c r="H794" s="2" t="s">
        <v>1740</v>
      </c>
      <c r="I794" s="2" t="s">
        <v>1741</v>
      </c>
      <c r="J794" s="2" t="s">
        <v>643</v>
      </c>
      <c r="K794" s="2"/>
    </row>
    <row r="795" spans="1:11" x14ac:dyDescent="0.3">
      <c r="A795" t="str">
        <f t="shared" si="12"/>
        <v>Magincia|Splot|HUMB</v>
      </c>
      <c r="B795" s="2" t="s">
        <v>713</v>
      </c>
      <c r="C795" s="2" t="s">
        <v>1641</v>
      </c>
      <c r="D795" s="2" t="s">
        <v>1739</v>
      </c>
      <c r="E795" s="2" t="s">
        <v>763</v>
      </c>
      <c r="F795" s="2" t="s">
        <v>1746</v>
      </c>
      <c r="G795" s="8" t="str">
        <f>IF(ISNA(VLOOKUP(B795&amp;"|"&amp;C795&amp;"|"&amp;D795&amp;"|"&amp;E795,QuestionTriggers!A:F,6,FALSE)),"","---&gt;")</f>
        <v>---&gt;</v>
      </c>
      <c r="H795" s="2" t="s">
        <v>1740</v>
      </c>
      <c r="I795" s="2" t="s">
        <v>1741</v>
      </c>
      <c r="J795" s="2" t="s">
        <v>643</v>
      </c>
      <c r="K795" s="2"/>
    </row>
    <row r="796" spans="1:11" x14ac:dyDescent="0.3">
      <c r="A796" t="str">
        <f t="shared" si="12"/>
        <v>Magincia|Splot|JOB</v>
      </c>
      <c r="B796" s="2" t="s">
        <v>713</v>
      </c>
      <c r="C796" s="2" t="s">
        <v>1641</v>
      </c>
      <c r="D796" s="2" t="s">
        <v>1739</v>
      </c>
      <c r="E796" s="2" t="s">
        <v>18</v>
      </c>
      <c r="F796" s="2" t="s">
        <v>1743</v>
      </c>
      <c r="G796" s="8" t="str">
        <f>IF(ISNA(VLOOKUP(B796&amp;"|"&amp;C796&amp;"|"&amp;D796&amp;"|"&amp;E796,QuestionTriggers!A:F,6,FALSE)),"","---&gt;")</f>
        <v/>
      </c>
      <c r="H796" s="2" t="s">
        <v>1740</v>
      </c>
      <c r="I796" s="2" t="s">
        <v>1741</v>
      </c>
      <c r="J796" s="2" t="s">
        <v>643</v>
      </c>
      <c r="K796" s="2"/>
    </row>
    <row r="797" spans="1:11" x14ac:dyDescent="0.3">
      <c r="A797" t="str">
        <f t="shared" si="12"/>
        <v>Magincia|Splot|LOOK</v>
      </c>
      <c r="B797" s="2" t="s">
        <v>713</v>
      </c>
      <c r="C797" s="2" t="s">
        <v>1641</v>
      </c>
      <c r="D797" s="2" t="s">
        <v>1739</v>
      </c>
      <c r="E797" s="2" t="s">
        <v>16</v>
      </c>
      <c r="F797" s="2" t="s">
        <v>1742</v>
      </c>
      <c r="G797" s="8" t="str">
        <f>IF(ISNA(VLOOKUP(B797&amp;"|"&amp;C797&amp;"|"&amp;D797&amp;"|"&amp;E797,QuestionTriggers!A:F,6,FALSE)),"","---&gt;")</f>
        <v/>
      </c>
      <c r="H797" s="2" t="s">
        <v>1740</v>
      </c>
      <c r="I797" s="2" t="s">
        <v>1741</v>
      </c>
      <c r="J797" s="2" t="s">
        <v>643</v>
      </c>
      <c r="K797" s="2"/>
    </row>
    <row r="798" spans="1:11" x14ac:dyDescent="0.3">
      <c r="A798" t="str">
        <f t="shared" si="12"/>
        <v>Magincia|Splot|NAME</v>
      </c>
      <c r="B798" s="2" t="s">
        <v>713</v>
      </c>
      <c r="C798" s="2" t="s">
        <v>1641</v>
      </c>
      <c r="D798" s="2" t="s">
        <v>1739</v>
      </c>
      <c r="E798" s="2" t="s">
        <v>12</v>
      </c>
      <c r="F798" s="2" t="s">
        <v>1739</v>
      </c>
      <c r="G798" s="8" t="str">
        <f>IF(ISNA(VLOOKUP(B798&amp;"|"&amp;C798&amp;"|"&amp;D798&amp;"|"&amp;E798,QuestionTriggers!A:F,6,FALSE)),"","---&gt;")</f>
        <v/>
      </c>
      <c r="H798" s="2" t="s">
        <v>1740</v>
      </c>
      <c r="I798" s="2" t="s">
        <v>1741</v>
      </c>
      <c r="J798" s="2" t="s">
        <v>643</v>
      </c>
      <c r="K798" s="2"/>
    </row>
    <row r="799" spans="1:11" x14ac:dyDescent="0.3">
      <c r="A799" t="str">
        <f t="shared" si="12"/>
        <v>Magincia|Splot|REGR</v>
      </c>
      <c r="B799" s="2" t="s">
        <v>713</v>
      </c>
      <c r="C799" s="2" t="s">
        <v>1641</v>
      </c>
      <c r="D799" s="2" t="s">
        <v>1739</v>
      </c>
      <c r="E799" s="2" t="s">
        <v>1744</v>
      </c>
      <c r="F799" s="2" t="s">
        <v>1745</v>
      </c>
      <c r="G799" s="8" t="str">
        <f>IF(ISNA(VLOOKUP(B799&amp;"|"&amp;C799&amp;"|"&amp;D799&amp;"|"&amp;E799,QuestionTriggers!A:F,6,FALSE)),"","---&gt;")</f>
        <v/>
      </c>
      <c r="H799" s="2" t="s">
        <v>1740</v>
      </c>
      <c r="I799" s="2" t="s">
        <v>1741</v>
      </c>
      <c r="J799" s="2" t="s">
        <v>643</v>
      </c>
      <c r="K799" s="2"/>
    </row>
    <row r="800" spans="1:11" x14ac:dyDescent="0.3">
      <c r="A800" t="str">
        <f t="shared" si="12"/>
        <v>Magincia|Virtuebane|HEALTH</v>
      </c>
      <c r="B800" s="2" t="s">
        <v>713</v>
      </c>
      <c r="C800" s="2" t="s">
        <v>1641</v>
      </c>
      <c r="D800" s="3" t="s">
        <v>1762</v>
      </c>
      <c r="E800" s="3" t="s">
        <v>20</v>
      </c>
      <c r="F800" s="3" t="s">
        <v>1766</v>
      </c>
      <c r="G800" s="8" t="str">
        <f>IF(ISNA(VLOOKUP(B800&amp;"|"&amp;C800&amp;"|"&amp;D800&amp;"|"&amp;E800,QuestionTriggers!A:F,6,FALSE)),"","---&gt;")</f>
        <v/>
      </c>
      <c r="H800" s="2" t="s">
        <v>166</v>
      </c>
      <c r="I800" s="2" t="s">
        <v>349</v>
      </c>
      <c r="J800" s="2" t="s">
        <v>1763</v>
      </c>
      <c r="K800" s="2" t="s">
        <v>51</v>
      </c>
    </row>
    <row r="801" spans="1:11" x14ac:dyDescent="0.3">
      <c r="A801" t="str">
        <f t="shared" si="12"/>
        <v>Magincia|Virtuebane|JOB</v>
      </c>
      <c r="B801" s="2" t="s">
        <v>713</v>
      </c>
      <c r="C801" s="2" t="s">
        <v>1641</v>
      </c>
      <c r="D801" s="3" t="s">
        <v>1762</v>
      </c>
      <c r="E801" s="3" t="s">
        <v>18</v>
      </c>
      <c r="F801" s="3" t="s">
        <v>1765</v>
      </c>
      <c r="G801" s="8" t="str">
        <f>IF(ISNA(VLOOKUP(B801&amp;"|"&amp;C801&amp;"|"&amp;D801&amp;"|"&amp;E801,QuestionTriggers!A:F,6,FALSE)),"","---&gt;")</f>
        <v/>
      </c>
      <c r="H801" s="2" t="s">
        <v>166</v>
      </c>
      <c r="I801" s="2" t="s">
        <v>349</v>
      </c>
      <c r="J801" s="2" t="s">
        <v>1763</v>
      </c>
      <c r="K801" s="2" t="s">
        <v>51</v>
      </c>
    </row>
    <row r="802" spans="1:11" x14ac:dyDescent="0.3">
      <c r="A802" t="str">
        <f t="shared" si="12"/>
        <v>Magincia|Virtuebane|LOOK</v>
      </c>
      <c r="B802" s="2" t="s">
        <v>713</v>
      </c>
      <c r="C802" s="2" t="s">
        <v>1641</v>
      </c>
      <c r="D802" s="3" t="s">
        <v>1762</v>
      </c>
      <c r="E802" s="3" t="s">
        <v>16</v>
      </c>
      <c r="F802" s="3" t="s">
        <v>1764</v>
      </c>
      <c r="G802" s="8" t="str">
        <f>IF(ISNA(VLOOKUP(B802&amp;"|"&amp;C802&amp;"|"&amp;D802&amp;"|"&amp;E802,QuestionTriggers!A:F,6,FALSE)),"","---&gt;")</f>
        <v/>
      </c>
      <c r="H802" s="2" t="s">
        <v>166</v>
      </c>
      <c r="I802" s="2" t="s">
        <v>349</v>
      </c>
      <c r="J802" s="2" t="s">
        <v>1763</v>
      </c>
      <c r="K802" s="2" t="s">
        <v>51</v>
      </c>
    </row>
    <row r="803" spans="1:11" ht="26.4" x14ac:dyDescent="0.3">
      <c r="A803" t="str">
        <f t="shared" si="12"/>
        <v>Magincia|Virtuebane|MAGI</v>
      </c>
      <c r="B803" s="2" t="s">
        <v>713</v>
      </c>
      <c r="C803" s="3" t="s">
        <v>1641</v>
      </c>
      <c r="D803" s="3" t="s">
        <v>1762</v>
      </c>
      <c r="E803" s="3" t="s">
        <v>912</v>
      </c>
      <c r="F803" s="3" t="s">
        <v>1767</v>
      </c>
      <c r="G803" s="8" t="str">
        <f>IF(ISNA(VLOOKUP(B803&amp;"|"&amp;C803&amp;"|"&amp;D803&amp;"|"&amp;E803,QuestionTriggers!A:F,6,FALSE)),"","---&gt;")</f>
        <v>---&gt;</v>
      </c>
      <c r="H803" s="2" t="s">
        <v>166</v>
      </c>
      <c r="I803" s="2" t="s">
        <v>349</v>
      </c>
      <c r="J803" s="2" t="s">
        <v>1763</v>
      </c>
      <c r="K803" s="2" t="s">
        <v>51</v>
      </c>
    </row>
    <row r="804" spans="1:11" x14ac:dyDescent="0.3">
      <c r="A804" t="str">
        <f t="shared" si="12"/>
        <v>Magincia|Virtuebane|NAME</v>
      </c>
      <c r="B804" s="2" t="s">
        <v>713</v>
      </c>
      <c r="C804" s="2" t="s">
        <v>1641</v>
      </c>
      <c r="D804" s="3" t="s">
        <v>1762</v>
      </c>
      <c r="E804" s="3" t="s">
        <v>12</v>
      </c>
      <c r="F804" s="3" t="s">
        <v>1762</v>
      </c>
      <c r="G804" s="8" t="str">
        <f>IF(ISNA(VLOOKUP(B804&amp;"|"&amp;C804&amp;"|"&amp;D804&amp;"|"&amp;E804,QuestionTriggers!A:F,6,FALSE)),"","---&gt;")</f>
        <v/>
      </c>
      <c r="H804" s="2" t="s">
        <v>166</v>
      </c>
      <c r="I804" s="2" t="s">
        <v>349</v>
      </c>
      <c r="J804" s="2" t="s">
        <v>1763</v>
      </c>
      <c r="K804" s="2" t="s">
        <v>51</v>
      </c>
    </row>
    <row r="805" spans="1:11" x14ac:dyDescent="0.3">
      <c r="A805" t="str">
        <f t="shared" si="12"/>
        <v>Magincia|Wierdrum|HAUN</v>
      </c>
      <c r="B805" s="2" t="s">
        <v>713</v>
      </c>
      <c r="C805" s="2" t="s">
        <v>1641</v>
      </c>
      <c r="D805" s="2" t="s">
        <v>1712</v>
      </c>
      <c r="E805" s="2" t="s">
        <v>1638</v>
      </c>
      <c r="F805" s="2" t="s">
        <v>1716</v>
      </c>
      <c r="G805" s="8" t="str">
        <f>IF(ISNA(VLOOKUP(B805&amp;"|"&amp;C805&amp;"|"&amp;D805&amp;"|"&amp;E805,QuestionTriggers!A:F,6,FALSE)),"","---&gt;")</f>
        <v/>
      </c>
      <c r="H805" s="2"/>
      <c r="I805" s="2"/>
      <c r="J805" s="2"/>
      <c r="K805" s="2"/>
    </row>
    <row r="806" spans="1:11" x14ac:dyDescent="0.3">
      <c r="A806" t="str">
        <f t="shared" si="12"/>
        <v>Magincia|Wierdrum|HEALTH</v>
      </c>
      <c r="B806" s="2" t="s">
        <v>713</v>
      </c>
      <c r="C806" s="2" t="s">
        <v>1641</v>
      </c>
      <c r="D806" s="2" t="s">
        <v>1712</v>
      </c>
      <c r="E806" s="2" t="s">
        <v>20</v>
      </c>
      <c r="F806" s="2" t="s">
        <v>1715</v>
      </c>
      <c r="G806" s="8" t="str">
        <f>IF(ISNA(VLOOKUP(B806&amp;"|"&amp;C806&amp;"|"&amp;D806&amp;"|"&amp;E806,QuestionTriggers!A:F,6,FALSE)),"","---&gt;")</f>
        <v/>
      </c>
      <c r="H806" s="2"/>
      <c r="I806" s="2"/>
      <c r="J806" s="2"/>
      <c r="K806" s="2"/>
    </row>
    <row r="807" spans="1:11" x14ac:dyDescent="0.3">
      <c r="A807" t="str">
        <f t="shared" si="12"/>
        <v>Magincia|Wierdrum|JOB</v>
      </c>
      <c r="B807" s="2" t="s">
        <v>713</v>
      </c>
      <c r="C807" s="2" t="s">
        <v>1641</v>
      </c>
      <c r="D807" s="2" t="s">
        <v>1712</v>
      </c>
      <c r="E807" s="2" t="s">
        <v>18</v>
      </c>
      <c r="F807" s="2" t="s">
        <v>1714</v>
      </c>
      <c r="G807" s="8" t="str">
        <f>IF(ISNA(VLOOKUP(B807&amp;"|"&amp;C807&amp;"|"&amp;D807&amp;"|"&amp;E807,QuestionTriggers!A:F,6,FALSE)),"","---&gt;")</f>
        <v/>
      </c>
      <c r="H807" s="2"/>
      <c r="I807" s="2"/>
      <c r="J807" s="2"/>
      <c r="K807" s="2"/>
    </row>
    <row r="808" spans="1:11" x14ac:dyDescent="0.3">
      <c r="A808" t="str">
        <f t="shared" si="12"/>
        <v>Magincia|Wierdrum|LOOK</v>
      </c>
      <c r="B808" s="2" t="s">
        <v>713</v>
      </c>
      <c r="C808" s="2" t="s">
        <v>1641</v>
      </c>
      <c r="D808" s="2" t="s">
        <v>1712</v>
      </c>
      <c r="E808" s="2" t="s">
        <v>16</v>
      </c>
      <c r="F808" s="2" t="s">
        <v>1713</v>
      </c>
      <c r="G808" s="8" t="str">
        <f>IF(ISNA(VLOOKUP(B808&amp;"|"&amp;C808&amp;"|"&amp;D808&amp;"|"&amp;E808,QuestionTriggers!A:F,6,FALSE)),"","---&gt;")</f>
        <v/>
      </c>
      <c r="H808" s="2"/>
      <c r="I808" s="2"/>
      <c r="J808" s="2"/>
      <c r="K808" s="2"/>
    </row>
    <row r="809" spans="1:11" x14ac:dyDescent="0.3">
      <c r="A809" t="str">
        <f t="shared" si="12"/>
        <v>Magincia|Wierdrum|NAME</v>
      </c>
      <c r="B809" s="2" t="s">
        <v>713</v>
      </c>
      <c r="C809" s="2" t="s">
        <v>1641</v>
      </c>
      <c r="D809" s="2" t="s">
        <v>1712</v>
      </c>
      <c r="E809" s="2" t="s">
        <v>12</v>
      </c>
      <c r="F809" s="2" t="s">
        <v>1712</v>
      </c>
      <c r="G809" s="8" t="str">
        <f>IF(ISNA(VLOOKUP(B809&amp;"|"&amp;C809&amp;"|"&amp;D809&amp;"|"&amp;E809,QuestionTriggers!A:F,6,FALSE)),"","---&gt;")</f>
        <v/>
      </c>
      <c r="H809" s="2"/>
      <c r="I809" s="2"/>
      <c r="J809" s="2"/>
      <c r="K809" s="2"/>
    </row>
    <row r="810" spans="1:11" ht="26.4" x14ac:dyDescent="0.3">
      <c r="A810" t="str">
        <f t="shared" si="12"/>
        <v>Magincia|Wierdrum|SHRI</v>
      </c>
      <c r="B810" s="2" t="s">
        <v>713</v>
      </c>
      <c r="C810" s="2" t="s">
        <v>1641</v>
      </c>
      <c r="D810" s="2" t="s">
        <v>1712</v>
      </c>
      <c r="E810" s="2" t="s">
        <v>184</v>
      </c>
      <c r="F810" s="2" t="s">
        <v>1717</v>
      </c>
      <c r="G810" s="8" t="str">
        <f>IF(ISNA(VLOOKUP(B810&amp;"|"&amp;C810&amp;"|"&amp;D810&amp;"|"&amp;E810,QuestionTriggers!A:F,6,FALSE)),"","---&gt;")</f>
        <v/>
      </c>
      <c r="H810" s="2"/>
      <c r="I810" s="2"/>
      <c r="J810" s="2"/>
      <c r="K810" s="2"/>
    </row>
    <row r="811" spans="1:11" ht="26.4" x14ac:dyDescent="0.3">
      <c r="A811" t="str">
        <f t="shared" si="12"/>
        <v>Minoc|Alex|FLOW</v>
      </c>
      <c r="B811" s="2" t="s">
        <v>713</v>
      </c>
      <c r="C811" s="2" t="s">
        <v>1130</v>
      </c>
      <c r="D811" s="2" t="s">
        <v>1150</v>
      </c>
      <c r="E811" s="2" t="s">
        <v>1154</v>
      </c>
      <c r="F811" s="2" t="s">
        <v>1155</v>
      </c>
      <c r="G811" s="8" t="str">
        <f>IF(ISNA(VLOOKUP(B811&amp;"|"&amp;C811&amp;"|"&amp;D811&amp;"|"&amp;E811,QuestionTriggers!A:F,6,FALSE)),"","---&gt;")</f>
        <v/>
      </c>
      <c r="H811" s="2" t="s">
        <v>1151</v>
      </c>
      <c r="I811" s="2" t="s">
        <v>177</v>
      </c>
      <c r="J811" s="2" t="s">
        <v>197</v>
      </c>
      <c r="K811" s="2"/>
    </row>
    <row r="812" spans="1:11" x14ac:dyDescent="0.3">
      <c r="A812" t="str">
        <f t="shared" si="12"/>
        <v>Minoc|Alex|HEALTH</v>
      </c>
      <c r="B812" s="2" t="s">
        <v>713</v>
      </c>
      <c r="C812" s="2" t="s">
        <v>1130</v>
      </c>
      <c r="D812" s="2" t="s">
        <v>1150</v>
      </c>
      <c r="E812" s="2" t="s">
        <v>20</v>
      </c>
      <c r="F812" s="2" t="s">
        <v>1153</v>
      </c>
      <c r="G812" s="8" t="str">
        <f>IF(ISNA(VLOOKUP(B812&amp;"|"&amp;C812&amp;"|"&amp;D812&amp;"|"&amp;E812,QuestionTriggers!A:F,6,FALSE)),"","---&gt;")</f>
        <v/>
      </c>
      <c r="H812" s="2" t="s">
        <v>1151</v>
      </c>
      <c r="I812" s="2" t="s">
        <v>177</v>
      </c>
      <c r="J812" s="2" t="s">
        <v>197</v>
      </c>
      <c r="K812" s="2"/>
    </row>
    <row r="813" spans="1:11" x14ac:dyDescent="0.3">
      <c r="A813" t="str">
        <f t="shared" si="12"/>
        <v>Minoc|Alex|JOB</v>
      </c>
      <c r="B813" s="2" t="s">
        <v>713</v>
      </c>
      <c r="C813" s="2" t="s">
        <v>1130</v>
      </c>
      <c r="D813" s="2" t="s">
        <v>1150</v>
      </c>
      <c r="E813" s="2" t="s">
        <v>18</v>
      </c>
      <c r="F813" s="2" t="s">
        <v>1152</v>
      </c>
      <c r="G813" s="8" t="str">
        <f>IF(ISNA(VLOOKUP(B813&amp;"|"&amp;C813&amp;"|"&amp;D813&amp;"|"&amp;E813,QuestionTriggers!A:F,6,FALSE)),"","---&gt;")</f>
        <v/>
      </c>
      <c r="H813" s="2" t="s">
        <v>1151</v>
      </c>
      <c r="I813" s="2" t="s">
        <v>177</v>
      </c>
      <c r="J813" s="2" t="s">
        <v>197</v>
      </c>
      <c r="K813" s="2"/>
    </row>
    <row r="814" spans="1:11" x14ac:dyDescent="0.3">
      <c r="A814" t="str">
        <f t="shared" si="12"/>
        <v>Minoc|Alex|KIND</v>
      </c>
      <c r="B814" s="2" t="s">
        <v>713</v>
      </c>
      <c r="C814" s="2" t="s">
        <v>1130</v>
      </c>
      <c r="D814" s="2" t="s">
        <v>1150</v>
      </c>
      <c r="E814" s="2" t="s">
        <v>1156</v>
      </c>
      <c r="F814" s="2" t="s">
        <v>1157</v>
      </c>
      <c r="G814" s="8" t="str">
        <f>IF(ISNA(VLOOKUP(B814&amp;"|"&amp;C814&amp;"|"&amp;D814&amp;"|"&amp;E814,QuestionTriggers!A:F,6,FALSE)),"","---&gt;")</f>
        <v>---&gt;</v>
      </c>
      <c r="H814" s="2" t="s">
        <v>1151</v>
      </c>
      <c r="I814" s="2" t="s">
        <v>177</v>
      </c>
      <c r="J814" s="2" t="s">
        <v>197</v>
      </c>
      <c r="K814" s="2"/>
    </row>
    <row r="815" spans="1:11" x14ac:dyDescent="0.3">
      <c r="A815" t="str">
        <f t="shared" si="12"/>
        <v>Minoc|Alex|LOOK</v>
      </c>
      <c r="B815" s="2" t="s">
        <v>713</v>
      </c>
      <c r="C815" s="2" t="s">
        <v>1130</v>
      </c>
      <c r="D815" s="2" t="s">
        <v>1150</v>
      </c>
      <c r="E815" s="2" t="s">
        <v>16</v>
      </c>
      <c r="F815" s="2" t="s">
        <v>2605</v>
      </c>
      <c r="G815" s="8" t="str">
        <f>IF(ISNA(VLOOKUP(B815&amp;"|"&amp;C815&amp;"|"&amp;D815&amp;"|"&amp;E815,QuestionTriggers!A:F,6,FALSE)),"","---&gt;")</f>
        <v/>
      </c>
      <c r="H815" s="2" t="s">
        <v>1151</v>
      </c>
      <c r="I815" s="2" t="s">
        <v>177</v>
      </c>
      <c r="J815" s="2" t="s">
        <v>197</v>
      </c>
      <c r="K815" s="2"/>
    </row>
    <row r="816" spans="1:11" x14ac:dyDescent="0.3">
      <c r="A816" t="str">
        <f t="shared" si="12"/>
        <v>Minoc|Alex|NAME</v>
      </c>
      <c r="B816" s="2" t="s">
        <v>713</v>
      </c>
      <c r="C816" s="2" t="s">
        <v>1130</v>
      </c>
      <c r="D816" s="2" t="s">
        <v>1150</v>
      </c>
      <c r="E816" s="2" t="s">
        <v>12</v>
      </c>
      <c r="F816" s="2" t="s">
        <v>1150</v>
      </c>
      <c r="G816" s="8" t="str">
        <f>IF(ISNA(VLOOKUP(B816&amp;"|"&amp;C816&amp;"|"&amp;D816&amp;"|"&amp;E816,QuestionTriggers!A:F,6,FALSE)),"","---&gt;")</f>
        <v/>
      </c>
      <c r="H816" s="2" t="s">
        <v>1151</v>
      </c>
      <c r="I816" s="2" t="s">
        <v>177</v>
      </c>
      <c r="J816" s="2" t="s">
        <v>197</v>
      </c>
      <c r="K816" s="2"/>
    </row>
    <row r="817" spans="1:11" hidden="1" x14ac:dyDescent="0.3">
      <c r="A817" t="str">
        <f t="shared" si="12"/>
        <v>Minoc|Alkerion|HEALTH</v>
      </c>
      <c r="B817" s="2" t="s">
        <v>713</v>
      </c>
      <c r="C817" s="2" t="s">
        <v>1130</v>
      </c>
      <c r="D817" s="34" t="s">
        <v>1200</v>
      </c>
      <c r="E817" s="34" t="s">
        <v>20</v>
      </c>
      <c r="F817" s="34" t="s">
        <v>1205</v>
      </c>
      <c r="G817" s="8" t="str">
        <f>IF(ISNA(VLOOKUP(B817&amp;"|"&amp;C817&amp;"|"&amp;D817&amp;"|"&amp;E817,QuestionTriggers!A:F,6,FALSE)),"","---&gt;")</f>
        <v/>
      </c>
      <c r="H817" s="2" t="s">
        <v>1201</v>
      </c>
      <c r="I817" s="2" t="s">
        <v>1202</v>
      </c>
      <c r="J817" s="2" t="s">
        <v>90</v>
      </c>
      <c r="K817" s="2"/>
    </row>
    <row r="818" spans="1:11" hidden="1" x14ac:dyDescent="0.3">
      <c r="A818" t="str">
        <f t="shared" si="12"/>
        <v>Minoc|Alkerion|HEAR</v>
      </c>
      <c r="B818" s="2" t="s">
        <v>713</v>
      </c>
      <c r="C818" s="2" t="s">
        <v>1130</v>
      </c>
      <c r="D818" s="34" t="s">
        <v>1200</v>
      </c>
      <c r="E818" s="34" t="s">
        <v>1206</v>
      </c>
      <c r="F818" s="34" t="s">
        <v>1207</v>
      </c>
      <c r="G818" s="8" t="str">
        <f>IF(ISNA(VLOOKUP(B818&amp;"|"&amp;C818&amp;"|"&amp;D818&amp;"|"&amp;E818,QuestionTriggers!A:F,6,FALSE)),"","---&gt;")</f>
        <v/>
      </c>
      <c r="H818" s="2" t="s">
        <v>1201</v>
      </c>
      <c r="I818" s="2" t="s">
        <v>1202</v>
      </c>
      <c r="J818" s="2" t="s">
        <v>90</v>
      </c>
      <c r="K818" s="2"/>
    </row>
    <row r="819" spans="1:11" hidden="1" x14ac:dyDescent="0.3">
      <c r="A819" t="str">
        <f t="shared" si="12"/>
        <v>Minoc|Alkerion|JOB</v>
      </c>
      <c r="B819" s="2" t="s">
        <v>713</v>
      </c>
      <c r="C819" s="2" t="s">
        <v>1130</v>
      </c>
      <c r="D819" s="34" t="s">
        <v>1200</v>
      </c>
      <c r="E819" s="34" t="s">
        <v>18</v>
      </c>
      <c r="F819" s="34" t="s">
        <v>1204</v>
      </c>
      <c r="G819" s="8" t="str">
        <f>IF(ISNA(VLOOKUP(B819&amp;"|"&amp;C819&amp;"|"&amp;D819&amp;"|"&amp;E819,QuestionTriggers!A:F,6,FALSE)),"","---&gt;")</f>
        <v/>
      </c>
      <c r="H819" s="2" t="s">
        <v>1201</v>
      </c>
      <c r="I819" s="2" t="s">
        <v>1202</v>
      </c>
      <c r="J819" s="2" t="s">
        <v>90</v>
      </c>
      <c r="K819" s="2"/>
    </row>
    <row r="820" spans="1:11" hidden="1" x14ac:dyDescent="0.3">
      <c r="A820" t="str">
        <f t="shared" si="12"/>
        <v>Minoc|Alkerion|LOOK</v>
      </c>
      <c r="B820" s="2" t="s">
        <v>713</v>
      </c>
      <c r="C820" s="2" t="s">
        <v>1130</v>
      </c>
      <c r="D820" s="34" t="s">
        <v>1200</v>
      </c>
      <c r="E820" s="34" t="s">
        <v>16</v>
      </c>
      <c r="F820" s="34" t="s">
        <v>1203</v>
      </c>
      <c r="G820" s="8" t="str">
        <f>IF(ISNA(VLOOKUP(B820&amp;"|"&amp;C820&amp;"|"&amp;D820&amp;"|"&amp;E820,QuestionTriggers!A:F,6,FALSE)),"","---&gt;")</f>
        <v/>
      </c>
      <c r="H820" s="2" t="s">
        <v>1201</v>
      </c>
      <c r="I820" s="2" t="s">
        <v>1202</v>
      </c>
      <c r="J820" s="2" t="s">
        <v>90</v>
      </c>
      <c r="K820" s="2"/>
    </row>
    <row r="821" spans="1:11" hidden="1" x14ac:dyDescent="0.3">
      <c r="A821" t="str">
        <f t="shared" si="12"/>
        <v>Minoc|Alkerion|NAME</v>
      </c>
      <c r="B821" s="2" t="s">
        <v>713</v>
      </c>
      <c r="C821" s="2" t="s">
        <v>1130</v>
      </c>
      <c r="D821" s="34" t="s">
        <v>1200</v>
      </c>
      <c r="E821" s="34" t="s">
        <v>12</v>
      </c>
      <c r="F821" s="34" t="s">
        <v>1200</v>
      </c>
      <c r="G821" s="8" t="str">
        <f>IF(ISNA(VLOOKUP(B821&amp;"|"&amp;C821&amp;"|"&amp;D821&amp;"|"&amp;E821,QuestionTriggers!A:F,6,FALSE)),"","---&gt;")</f>
        <v/>
      </c>
      <c r="H821" s="2" t="s">
        <v>1201</v>
      </c>
      <c r="I821" s="2" t="s">
        <v>1202</v>
      </c>
      <c r="J821" s="2" t="s">
        <v>90</v>
      </c>
      <c r="K821" s="2"/>
    </row>
    <row r="822" spans="1:11" ht="26.4" hidden="1" x14ac:dyDescent="0.3">
      <c r="A822" t="str">
        <f t="shared" si="12"/>
        <v>Minoc|Alkerion|STON</v>
      </c>
      <c r="B822" s="2" t="s">
        <v>713</v>
      </c>
      <c r="C822" s="2" t="s">
        <v>1130</v>
      </c>
      <c r="D822" s="34" t="s">
        <v>1200</v>
      </c>
      <c r="E822" s="34" t="s">
        <v>854</v>
      </c>
      <c r="F822" s="34" t="s">
        <v>1208</v>
      </c>
      <c r="G822" s="8" t="str">
        <f>IF(ISNA(VLOOKUP(B822&amp;"|"&amp;C822&amp;"|"&amp;D822&amp;"|"&amp;E822,QuestionTriggers!A:F,6,FALSE)),"","---&gt;")</f>
        <v>---&gt;</v>
      </c>
      <c r="H822" s="2" t="s">
        <v>1201</v>
      </c>
      <c r="I822" s="2" t="s">
        <v>1202</v>
      </c>
      <c r="J822" s="2" t="s">
        <v>90</v>
      </c>
      <c r="K822" s="2"/>
    </row>
    <row r="823" spans="1:11" x14ac:dyDescent="0.3">
      <c r="A823" t="str">
        <f t="shared" si="12"/>
        <v>Minoc|Azure|HEALTH</v>
      </c>
      <c r="B823" s="2" t="s">
        <v>713</v>
      </c>
      <c r="C823" s="2" t="s">
        <v>1130</v>
      </c>
      <c r="D823" s="2" t="s">
        <v>1187</v>
      </c>
      <c r="E823" s="2" t="s">
        <v>20</v>
      </c>
      <c r="F823" s="2" t="s">
        <v>946</v>
      </c>
      <c r="G823" s="8" t="str">
        <f>IF(ISNA(VLOOKUP(B823&amp;"|"&amp;C823&amp;"|"&amp;D823&amp;"|"&amp;E823,QuestionTriggers!A:F,6,FALSE)),"","---&gt;")</f>
        <v/>
      </c>
      <c r="H823" s="2" t="s">
        <v>1188</v>
      </c>
      <c r="I823" s="2" t="s">
        <v>827</v>
      </c>
      <c r="J823" s="2" t="s">
        <v>475</v>
      </c>
      <c r="K823" s="2"/>
    </row>
    <row r="824" spans="1:11" x14ac:dyDescent="0.3">
      <c r="A824" t="str">
        <f t="shared" si="12"/>
        <v>Minoc|Azure|JOB</v>
      </c>
      <c r="B824" s="2" t="s">
        <v>713</v>
      </c>
      <c r="C824" s="2" t="s">
        <v>1130</v>
      </c>
      <c r="D824" s="2" t="s">
        <v>1187</v>
      </c>
      <c r="E824" s="2" t="s">
        <v>18</v>
      </c>
      <c r="F824" s="2" t="s">
        <v>1190</v>
      </c>
      <c r="G824" s="8" t="str">
        <f>IF(ISNA(VLOOKUP(B824&amp;"|"&amp;C824&amp;"|"&amp;D824&amp;"|"&amp;E824,QuestionTriggers!A:F,6,FALSE)),"","---&gt;")</f>
        <v/>
      </c>
      <c r="H824" s="2" t="s">
        <v>1188</v>
      </c>
      <c r="I824" s="2" t="s">
        <v>827</v>
      </c>
      <c r="J824" s="2" t="s">
        <v>475</v>
      </c>
      <c r="K824" s="2"/>
    </row>
    <row r="825" spans="1:11" x14ac:dyDescent="0.3">
      <c r="A825" t="str">
        <f t="shared" si="12"/>
        <v>Minoc|Azure|LOOK</v>
      </c>
      <c r="B825" s="2" t="s">
        <v>713</v>
      </c>
      <c r="C825" s="2" t="s">
        <v>1130</v>
      </c>
      <c r="D825" s="2" t="s">
        <v>1187</v>
      </c>
      <c r="E825" s="2" t="s">
        <v>16</v>
      </c>
      <c r="F825" s="2" t="s">
        <v>1189</v>
      </c>
      <c r="G825" s="8" t="str">
        <f>IF(ISNA(VLOOKUP(B825&amp;"|"&amp;C825&amp;"|"&amp;D825&amp;"|"&amp;E825,QuestionTriggers!A:F,6,FALSE)),"","---&gt;")</f>
        <v/>
      </c>
      <c r="H825" s="2" t="s">
        <v>1188</v>
      </c>
      <c r="I825" s="2" t="s">
        <v>827</v>
      </c>
      <c r="J825" s="2" t="s">
        <v>475</v>
      </c>
      <c r="K825" s="2"/>
    </row>
    <row r="826" spans="1:11" x14ac:dyDescent="0.3">
      <c r="A826" t="str">
        <f t="shared" si="12"/>
        <v>Minoc|Azure|NAME</v>
      </c>
      <c r="B826" s="2" t="s">
        <v>713</v>
      </c>
      <c r="C826" s="2" t="s">
        <v>1130</v>
      </c>
      <c r="D826" s="2" t="s">
        <v>1187</v>
      </c>
      <c r="E826" s="2" t="s">
        <v>12</v>
      </c>
      <c r="F826" s="2" t="s">
        <v>1187</v>
      </c>
      <c r="G826" s="8" t="str">
        <f>IF(ISNA(VLOOKUP(B826&amp;"|"&amp;C826&amp;"|"&amp;D826&amp;"|"&amp;E826,QuestionTriggers!A:F,6,FALSE)),"","---&gt;")</f>
        <v/>
      </c>
      <c r="H826" s="2" t="s">
        <v>1188</v>
      </c>
      <c r="I826" s="2" t="s">
        <v>827</v>
      </c>
      <c r="J826" s="2" t="s">
        <v>475</v>
      </c>
      <c r="K826" s="2"/>
    </row>
    <row r="827" spans="1:11" x14ac:dyDescent="0.3">
      <c r="A827" t="str">
        <f t="shared" si="12"/>
        <v>Minoc|Azure|RUNE</v>
      </c>
      <c r="B827" s="2" t="s">
        <v>713</v>
      </c>
      <c r="C827" s="2" t="s">
        <v>1130</v>
      </c>
      <c r="D827" s="2" t="s">
        <v>1187</v>
      </c>
      <c r="E827" s="2" t="s">
        <v>847</v>
      </c>
      <c r="F827" s="2" t="s">
        <v>1191</v>
      </c>
      <c r="G827" s="8" t="str">
        <f>IF(ISNA(VLOOKUP(B827&amp;"|"&amp;C827&amp;"|"&amp;D827&amp;"|"&amp;E827,QuestionTriggers!A:F,6,FALSE)),"","---&gt;")</f>
        <v/>
      </c>
      <c r="H827" s="2" t="s">
        <v>1188</v>
      </c>
      <c r="I827" s="2" t="s">
        <v>827</v>
      </c>
      <c r="J827" s="2" t="s">
        <v>475</v>
      </c>
      <c r="K827" s="2"/>
    </row>
    <row r="828" spans="1:11" x14ac:dyDescent="0.3">
      <c r="A828" t="str">
        <f t="shared" si="12"/>
        <v>Minoc|Azure|SACR</v>
      </c>
      <c r="B828" s="2" t="s">
        <v>713</v>
      </c>
      <c r="C828" s="2" t="s">
        <v>1130</v>
      </c>
      <c r="D828" s="2" t="s">
        <v>1187</v>
      </c>
      <c r="E828" s="2" t="s">
        <v>247</v>
      </c>
      <c r="F828" s="2" t="s">
        <v>1192</v>
      </c>
      <c r="G828" s="8" t="str">
        <f>IF(ISNA(VLOOKUP(B828&amp;"|"&amp;C828&amp;"|"&amp;D828&amp;"|"&amp;E828,QuestionTriggers!A:F,6,FALSE)),"","---&gt;")</f>
        <v>---&gt;</v>
      </c>
      <c r="H828" s="2" t="s">
        <v>1188</v>
      </c>
      <c r="I828" s="2" t="s">
        <v>827</v>
      </c>
      <c r="J828" s="2" t="s">
        <v>475</v>
      </c>
      <c r="K828" s="2"/>
    </row>
    <row r="829" spans="1:11" ht="26.4" x14ac:dyDescent="0.3">
      <c r="A829" t="str">
        <f t="shared" si="12"/>
        <v>Minoc|Bob the Beggar|HEALTH</v>
      </c>
      <c r="B829" s="2" t="s">
        <v>713</v>
      </c>
      <c r="C829" s="2" t="s">
        <v>1130</v>
      </c>
      <c r="D829" s="2" t="s">
        <v>1209</v>
      </c>
      <c r="E829" s="2" t="s">
        <v>20</v>
      </c>
      <c r="F829" s="2" t="s">
        <v>1215</v>
      </c>
      <c r="G829" s="8" t="str">
        <f>IF(ISNA(VLOOKUP(B829&amp;"|"&amp;C829&amp;"|"&amp;D829&amp;"|"&amp;E829,QuestionTriggers!A:F,6,FALSE)),"","---&gt;")</f>
        <v/>
      </c>
      <c r="H829" s="2" t="s">
        <v>1210</v>
      </c>
      <c r="I829" s="2" t="s">
        <v>1211</v>
      </c>
      <c r="J829" s="2" t="s">
        <v>1212</v>
      </c>
      <c r="K829" s="2"/>
    </row>
    <row r="830" spans="1:11" ht="26.4" x14ac:dyDescent="0.3">
      <c r="A830" t="str">
        <f t="shared" si="12"/>
        <v>Minoc|Bob the Beggar|HELP</v>
      </c>
      <c r="B830" s="2" t="s">
        <v>713</v>
      </c>
      <c r="C830" s="2" t="s">
        <v>1130</v>
      </c>
      <c r="D830" s="2" t="s">
        <v>1209</v>
      </c>
      <c r="E830" s="2" t="s">
        <v>94</v>
      </c>
      <c r="F830" s="2" t="s">
        <v>1216</v>
      </c>
      <c r="G830" s="8" t="str">
        <f>IF(ISNA(VLOOKUP(B830&amp;"|"&amp;C830&amp;"|"&amp;D830&amp;"|"&amp;E830,QuestionTriggers!A:F,6,FALSE)),"","---&gt;")</f>
        <v/>
      </c>
      <c r="H830" s="2" t="s">
        <v>1210</v>
      </c>
      <c r="I830" s="2" t="s">
        <v>1211</v>
      </c>
      <c r="J830" s="2" t="s">
        <v>1212</v>
      </c>
      <c r="K830" s="2"/>
    </row>
    <row r="831" spans="1:11" ht="26.4" x14ac:dyDescent="0.3">
      <c r="A831" t="str">
        <f t="shared" si="12"/>
        <v>Minoc|Bob the Beggar|JOB</v>
      </c>
      <c r="B831" s="2" t="s">
        <v>713</v>
      </c>
      <c r="C831" s="2" t="s">
        <v>1130</v>
      </c>
      <c r="D831" s="2" t="s">
        <v>1209</v>
      </c>
      <c r="E831" s="2" t="s">
        <v>18</v>
      </c>
      <c r="F831" s="2" t="s">
        <v>1214</v>
      </c>
      <c r="G831" s="8" t="str">
        <f>IF(ISNA(VLOOKUP(B831&amp;"|"&amp;C831&amp;"|"&amp;D831&amp;"|"&amp;E831,QuestionTriggers!A:F,6,FALSE)),"","---&gt;")</f>
        <v/>
      </c>
      <c r="H831" s="2" t="s">
        <v>1210</v>
      </c>
      <c r="I831" s="2" t="s">
        <v>1211</v>
      </c>
      <c r="J831" s="2" t="s">
        <v>1212</v>
      </c>
      <c r="K831" s="2"/>
    </row>
    <row r="832" spans="1:11" ht="26.4" x14ac:dyDescent="0.3">
      <c r="A832" t="str">
        <f t="shared" si="12"/>
        <v>Minoc|Bob the Beggar|LOOK</v>
      </c>
      <c r="B832" s="2" t="s">
        <v>713</v>
      </c>
      <c r="C832" s="2" t="s">
        <v>1130</v>
      </c>
      <c r="D832" s="2" t="s">
        <v>1209</v>
      </c>
      <c r="E832" s="2" t="s">
        <v>16</v>
      </c>
      <c r="F832" s="2" t="s">
        <v>1213</v>
      </c>
      <c r="G832" s="8" t="str">
        <f>IF(ISNA(VLOOKUP(B832&amp;"|"&amp;C832&amp;"|"&amp;D832&amp;"|"&amp;E832,QuestionTriggers!A:F,6,FALSE)),"","---&gt;")</f>
        <v/>
      </c>
      <c r="H832" s="2" t="s">
        <v>1210</v>
      </c>
      <c r="I832" s="2" t="s">
        <v>1211</v>
      </c>
      <c r="J832" s="2" t="s">
        <v>1212</v>
      </c>
      <c r="K832" s="2"/>
    </row>
    <row r="833" spans="1:11" ht="26.4" x14ac:dyDescent="0.3">
      <c r="A833" t="str">
        <f t="shared" si="12"/>
        <v>Minoc|Bob the Beggar|NAME</v>
      </c>
      <c r="B833" s="2" t="s">
        <v>713</v>
      </c>
      <c r="C833" s="2" t="s">
        <v>1130</v>
      </c>
      <c r="D833" s="2" t="s">
        <v>1209</v>
      </c>
      <c r="E833" s="2" t="s">
        <v>12</v>
      </c>
      <c r="F833" s="2" t="s">
        <v>1209</v>
      </c>
      <c r="G833" s="8" t="str">
        <f>IF(ISNA(VLOOKUP(B833&amp;"|"&amp;C833&amp;"|"&amp;D833&amp;"|"&amp;E833,QuestionTriggers!A:F,6,FALSE)),"","---&gt;")</f>
        <v/>
      </c>
      <c r="H833" s="2" t="s">
        <v>1210</v>
      </c>
      <c r="I833" s="2" t="s">
        <v>1211</v>
      </c>
      <c r="J833" s="2" t="s">
        <v>1212</v>
      </c>
      <c r="K833" s="2"/>
    </row>
    <row r="834" spans="1:11" ht="26.4" x14ac:dyDescent="0.3">
      <c r="A834" t="str">
        <f t="shared" si="12"/>
        <v>Minoc|Bob the Beggar|SICK</v>
      </c>
      <c r="B834" s="2" t="s">
        <v>713</v>
      </c>
      <c r="C834" s="2" t="s">
        <v>1130</v>
      </c>
      <c r="D834" s="2" t="s">
        <v>1209</v>
      </c>
      <c r="E834" s="2" t="s">
        <v>396</v>
      </c>
      <c r="F834" s="2" t="s">
        <v>1217</v>
      </c>
      <c r="G834" s="8" t="str">
        <f>IF(ISNA(VLOOKUP(B834&amp;"|"&amp;C834&amp;"|"&amp;D834&amp;"|"&amp;E834,QuestionTriggers!A:F,6,FALSE)),"","---&gt;")</f>
        <v>---&gt;</v>
      </c>
      <c r="H834" s="2" t="s">
        <v>1210</v>
      </c>
      <c r="I834" s="2" t="s">
        <v>1211</v>
      </c>
      <c r="J834" s="2" t="s">
        <v>1212</v>
      </c>
      <c r="K834" s="2"/>
    </row>
    <row r="835" spans="1:11" x14ac:dyDescent="0.3">
      <c r="A835" t="str">
        <f t="shared" ref="A835:A898" si="13">C835&amp;"|"&amp;D835&amp;"|"&amp;E835</f>
        <v>Minoc|Damon|HEALTH</v>
      </c>
      <c r="B835" s="2" t="s">
        <v>713</v>
      </c>
      <c r="C835" s="2" t="s">
        <v>1130</v>
      </c>
      <c r="D835" s="2" t="s">
        <v>1165</v>
      </c>
      <c r="E835" s="2" t="s">
        <v>20</v>
      </c>
      <c r="F835" s="2" t="s">
        <v>189</v>
      </c>
      <c r="G835" s="8" t="str">
        <f>IF(ISNA(VLOOKUP(B835&amp;"|"&amp;C835&amp;"|"&amp;D835&amp;"|"&amp;E835,QuestionTriggers!A:F,6,FALSE)),"","---&gt;")</f>
        <v/>
      </c>
      <c r="H835" s="2" t="s">
        <v>1166</v>
      </c>
      <c r="I835" s="2" t="s">
        <v>1167</v>
      </c>
      <c r="J835" s="2" t="s">
        <v>1168</v>
      </c>
      <c r="K835" s="2"/>
    </row>
    <row r="836" spans="1:11" x14ac:dyDescent="0.3">
      <c r="A836" t="str">
        <f t="shared" si="13"/>
        <v>Minoc|Damon|JOB</v>
      </c>
      <c r="B836" s="2" t="s">
        <v>713</v>
      </c>
      <c r="C836" s="2" t="s">
        <v>1130</v>
      </c>
      <c r="D836" s="2" t="s">
        <v>1165</v>
      </c>
      <c r="E836" s="2" t="s">
        <v>18</v>
      </c>
      <c r="F836" s="2" t="s">
        <v>1169</v>
      </c>
      <c r="G836" s="8" t="str">
        <f>IF(ISNA(VLOOKUP(B836&amp;"|"&amp;C836&amp;"|"&amp;D836&amp;"|"&amp;E836,QuestionTriggers!A:F,6,FALSE)),"","---&gt;")</f>
        <v/>
      </c>
      <c r="H836" s="2" t="s">
        <v>1166</v>
      </c>
      <c r="I836" s="2" t="s">
        <v>1167</v>
      </c>
      <c r="J836" s="2" t="s">
        <v>1168</v>
      </c>
      <c r="K836" s="2"/>
    </row>
    <row r="837" spans="1:11" x14ac:dyDescent="0.3">
      <c r="A837" t="str">
        <f t="shared" si="13"/>
        <v>Minoc|Damon|LOOK</v>
      </c>
      <c r="B837" s="2" t="s">
        <v>713</v>
      </c>
      <c r="C837" s="2" t="s">
        <v>1130</v>
      </c>
      <c r="D837" s="2" t="s">
        <v>1165</v>
      </c>
      <c r="E837" s="2" t="s">
        <v>16</v>
      </c>
      <c r="F837" s="2" t="s">
        <v>762</v>
      </c>
      <c r="G837" s="8" t="str">
        <f>IF(ISNA(VLOOKUP(B837&amp;"|"&amp;C837&amp;"|"&amp;D837&amp;"|"&amp;E837,QuestionTriggers!A:F,6,FALSE)),"","---&gt;")</f>
        <v/>
      </c>
      <c r="H837" s="2" t="s">
        <v>1166</v>
      </c>
      <c r="I837" s="2" t="s">
        <v>1167</v>
      </c>
      <c r="J837" s="2" t="s">
        <v>1168</v>
      </c>
      <c r="K837" s="2"/>
    </row>
    <row r="838" spans="1:11" x14ac:dyDescent="0.3">
      <c r="A838" t="str">
        <f t="shared" si="13"/>
        <v>Minoc|Damon|MANT</v>
      </c>
      <c r="B838" s="2" t="s">
        <v>713</v>
      </c>
      <c r="C838" s="2" t="s">
        <v>1130</v>
      </c>
      <c r="D838" s="2" t="s">
        <v>1165</v>
      </c>
      <c r="E838" s="2" t="s">
        <v>742</v>
      </c>
      <c r="F838" s="2" t="s">
        <v>1171</v>
      </c>
      <c r="G838" s="8" t="str">
        <f>IF(ISNA(VLOOKUP(B838&amp;"|"&amp;C838&amp;"|"&amp;D838&amp;"|"&amp;E838,QuestionTriggers!A:F,6,FALSE)),"","---&gt;")</f>
        <v>---&gt;</v>
      </c>
      <c r="H838" s="2" t="s">
        <v>1166</v>
      </c>
      <c r="I838" s="2" t="s">
        <v>1167</v>
      </c>
      <c r="J838" s="2" t="s">
        <v>1168</v>
      </c>
      <c r="K838" s="2"/>
    </row>
    <row r="839" spans="1:11" x14ac:dyDescent="0.3">
      <c r="A839" t="str">
        <f t="shared" si="13"/>
        <v>Minoc|Damon|NAME</v>
      </c>
      <c r="B839" s="2" t="s">
        <v>713</v>
      </c>
      <c r="C839" s="2" t="s">
        <v>1130</v>
      </c>
      <c r="D839" s="2" t="s">
        <v>1165</v>
      </c>
      <c r="E839" s="2" t="s">
        <v>12</v>
      </c>
      <c r="F839" s="2" t="s">
        <v>1165</v>
      </c>
      <c r="G839" s="8" t="str">
        <f>IF(ISNA(VLOOKUP(B839&amp;"|"&amp;C839&amp;"|"&amp;D839&amp;"|"&amp;E839,QuestionTriggers!A:F,6,FALSE)),"","---&gt;")</f>
        <v/>
      </c>
      <c r="H839" s="2" t="s">
        <v>1166</v>
      </c>
      <c r="I839" s="2" t="s">
        <v>1167</v>
      </c>
      <c r="J839" s="2" t="s">
        <v>1168</v>
      </c>
      <c r="K839" s="2"/>
    </row>
    <row r="840" spans="1:11" x14ac:dyDescent="0.3">
      <c r="A840" t="str">
        <f t="shared" si="13"/>
        <v>Minoc|Damon|THIN</v>
      </c>
      <c r="B840" s="2" t="s">
        <v>713</v>
      </c>
      <c r="C840" s="2" t="s">
        <v>1130</v>
      </c>
      <c r="D840" s="2" t="s">
        <v>1165</v>
      </c>
      <c r="E840" s="2" t="s">
        <v>152</v>
      </c>
      <c r="F840" s="2" t="s">
        <v>1170</v>
      </c>
      <c r="G840" s="8" t="str">
        <f>IF(ISNA(VLOOKUP(B840&amp;"|"&amp;C840&amp;"|"&amp;D840&amp;"|"&amp;E840,QuestionTriggers!A:F,6,FALSE)),"","---&gt;")</f>
        <v/>
      </c>
      <c r="H840" s="2" t="s">
        <v>1166</v>
      </c>
      <c r="I840" s="2" t="s">
        <v>1167</v>
      </c>
      <c r="J840" s="2" t="s">
        <v>1168</v>
      </c>
      <c r="K840" s="2"/>
    </row>
    <row r="841" spans="1:11" ht="26.4" hidden="1" x14ac:dyDescent="0.3">
      <c r="A841" t="str">
        <f t="shared" si="13"/>
        <v>Minoc|Gate Guard|GUAR</v>
      </c>
      <c r="B841" s="2" t="s">
        <v>713</v>
      </c>
      <c r="C841" s="2" t="s">
        <v>1130</v>
      </c>
      <c r="D841" s="34" t="s">
        <v>26</v>
      </c>
      <c r="E841" s="34" t="s">
        <v>34</v>
      </c>
      <c r="F841" s="34" t="s">
        <v>1260</v>
      </c>
      <c r="G841" s="8" t="str">
        <f>IF(ISNA(VLOOKUP(B841&amp;"|"&amp;C841&amp;"|"&amp;D841&amp;"|"&amp;E841,QuestionTriggers!A:F,6,FALSE)),"","---&gt;")</f>
        <v/>
      </c>
      <c r="H841" s="2" t="s">
        <v>1255</v>
      </c>
      <c r="I841" s="2" t="s">
        <v>1256</v>
      </c>
      <c r="J841" s="2" t="s">
        <v>881</v>
      </c>
      <c r="K841" s="2"/>
    </row>
    <row r="842" spans="1:11" ht="26.4" hidden="1" x14ac:dyDescent="0.3">
      <c r="A842" t="str">
        <f t="shared" si="13"/>
        <v>Minoc|Gate Guard|HEALTH</v>
      </c>
      <c r="B842" s="2" t="s">
        <v>713</v>
      </c>
      <c r="C842" s="2" t="s">
        <v>1130</v>
      </c>
      <c r="D842" s="34" t="s">
        <v>26</v>
      </c>
      <c r="E842" s="34" t="s">
        <v>20</v>
      </c>
      <c r="F842" s="34" t="s">
        <v>1259</v>
      </c>
      <c r="G842" s="8" t="str">
        <f>IF(ISNA(VLOOKUP(B842&amp;"|"&amp;C842&amp;"|"&amp;D842&amp;"|"&amp;E842,QuestionTriggers!A:F,6,FALSE)),"","---&gt;")</f>
        <v/>
      </c>
      <c r="H842" s="2" t="s">
        <v>1255</v>
      </c>
      <c r="I842" s="2" t="s">
        <v>1256</v>
      </c>
      <c r="J842" s="2" t="s">
        <v>881</v>
      </c>
      <c r="K842" s="2"/>
    </row>
    <row r="843" spans="1:11" ht="26.4" hidden="1" x14ac:dyDescent="0.3">
      <c r="A843" t="str">
        <f t="shared" si="13"/>
        <v>Minoc|Gate Guard|JOB</v>
      </c>
      <c r="B843" s="2" t="s">
        <v>713</v>
      </c>
      <c r="C843" s="2" t="s">
        <v>1130</v>
      </c>
      <c r="D843" s="34" t="s">
        <v>26</v>
      </c>
      <c r="E843" s="34" t="s">
        <v>18</v>
      </c>
      <c r="F843" s="34" t="s">
        <v>1258</v>
      </c>
      <c r="G843" s="8" t="str">
        <f>IF(ISNA(VLOOKUP(B843&amp;"|"&amp;C843&amp;"|"&amp;D843&amp;"|"&amp;E843,QuestionTriggers!A:F,6,FALSE)),"","---&gt;")</f>
        <v/>
      </c>
      <c r="H843" s="2" t="s">
        <v>1255</v>
      </c>
      <c r="I843" s="2" t="s">
        <v>1256</v>
      </c>
      <c r="J843" s="2" t="s">
        <v>881</v>
      </c>
      <c r="K843" s="2"/>
    </row>
    <row r="844" spans="1:11" ht="26.4" hidden="1" x14ac:dyDescent="0.3">
      <c r="A844" t="str">
        <f t="shared" si="13"/>
        <v>Minoc|Gate Guard|LIFE</v>
      </c>
      <c r="B844" s="2" t="s">
        <v>713</v>
      </c>
      <c r="C844" s="2" t="s">
        <v>1130</v>
      </c>
      <c r="D844" s="34" t="s">
        <v>26</v>
      </c>
      <c r="E844" s="34" t="s">
        <v>1261</v>
      </c>
      <c r="F844" s="34" t="s">
        <v>1262</v>
      </c>
      <c r="G844" s="8" t="str">
        <f>IF(ISNA(VLOOKUP(B844&amp;"|"&amp;C844&amp;"|"&amp;D844&amp;"|"&amp;E844,QuestionTriggers!A:F,6,FALSE)),"","---&gt;")</f>
        <v>---&gt;</v>
      </c>
      <c r="H844" s="2" t="s">
        <v>1255</v>
      </c>
      <c r="I844" s="2" t="s">
        <v>1256</v>
      </c>
      <c r="J844" s="2" t="s">
        <v>881</v>
      </c>
      <c r="K844" s="2"/>
    </row>
    <row r="845" spans="1:11" ht="26.4" hidden="1" x14ac:dyDescent="0.3">
      <c r="A845" t="str">
        <f t="shared" si="13"/>
        <v>Minoc|Gate Guard|LOOK</v>
      </c>
      <c r="B845" s="2" t="s">
        <v>713</v>
      </c>
      <c r="C845" s="2" t="s">
        <v>1130</v>
      </c>
      <c r="D845" s="34" t="s">
        <v>26</v>
      </c>
      <c r="E845" s="34" t="s">
        <v>16</v>
      </c>
      <c r="F845" s="34" t="s">
        <v>1257</v>
      </c>
      <c r="G845" s="8" t="str">
        <f>IF(ISNA(VLOOKUP(B845&amp;"|"&amp;C845&amp;"|"&amp;D845&amp;"|"&amp;E845,QuestionTriggers!A:F,6,FALSE)),"","---&gt;")</f>
        <v/>
      </c>
      <c r="H845" s="2" t="s">
        <v>1255</v>
      </c>
      <c r="I845" s="2" t="s">
        <v>1256</v>
      </c>
      <c r="J845" s="2" t="s">
        <v>881</v>
      </c>
      <c r="K845" s="2"/>
    </row>
    <row r="846" spans="1:11" ht="26.4" hidden="1" x14ac:dyDescent="0.3">
      <c r="A846" t="str">
        <f t="shared" si="13"/>
        <v>Minoc|Gate Guard|NAME</v>
      </c>
      <c r="B846" s="2" t="s">
        <v>713</v>
      </c>
      <c r="C846" s="2" t="s">
        <v>1130</v>
      </c>
      <c r="D846" s="34" t="s">
        <v>26</v>
      </c>
      <c r="E846" s="34" t="s">
        <v>12</v>
      </c>
      <c r="F846" s="34" t="s">
        <v>27</v>
      </c>
      <c r="G846" s="8" t="str">
        <f>IF(ISNA(VLOOKUP(B846&amp;"|"&amp;C846&amp;"|"&amp;D846&amp;"|"&amp;E846,QuestionTriggers!A:F,6,FALSE)),"","---&gt;")</f>
        <v/>
      </c>
      <c r="H846" s="2" t="s">
        <v>1255</v>
      </c>
      <c r="I846" s="2" t="s">
        <v>1256</v>
      </c>
      <c r="J846" s="2" t="s">
        <v>881</v>
      </c>
      <c r="K846" s="2"/>
    </row>
    <row r="847" spans="1:11" ht="26.4" x14ac:dyDescent="0.3">
      <c r="A847" t="str">
        <f t="shared" si="13"/>
        <v>Minoc|Gimble|CONS</v>
      </c>
      <c r="B847" s="2" t="s">
        <v>713</v>
      </c>
      <c r="C847" s="2" t="s">
        <v>1130</v>
      </c>
      <c r="D847" s="3" t="s">
        <v>1177</v>
      </c>
      <c r="E847" s="3" t="s">
        <v>1185</v>
      </c>
      <c r="F847" s="3" t="s">
        <v>1186</v>
      </c>
      <c r="G847" s="8" t="str">
        <f>IF(ISNA(VLOOKUP(B847&amp;"|"&amp;C847&amp;"|"&amp;D847&amp;"|"&amp;E847,QuestionTriggers!A:F,6,FALSE)),"","---&gt;")</f>
        <v>---&gt;</v>
      </c>
      <c r="H847" s="3" t="s">
        <v>1178</v>
      </c>
      <c r="I847" s="3" t="s">
        <v>1179</v>
      </c>
      <c r="J847" s="2" t="s">
        <v>1180</v>
      </c>
      <c r="K847" s="2"/>
    </row>
    <row r="848" spans="1:11" ht="26.4" x14ac:dyDescent="0.3">
      <c r="A848" t="str">
        <f t="shared" si="13"/>
        <v>Minoc|Gimble|DIE</v>
      </c>
      <c r="B848" s="2" t="s">
        <v>713</v>
      </c>
      <c r="C848" s="2" t="s">
        <v>1130</v>
      </c>
      <c r="D848" s="2" t="s">
        <v>1177</v>
      </c>
      <c r="E848" s="2" t="s">
        <v>775</v>
      </c>
      <c r="F848" s="2" t="s">
        <v>1184</v>
      </c>
      <c r="G848" s="8" t="str">
        <f>IF(ISNA(VLOOKUP(B848&amp;"|"&amp;C848&amp;"|"&amp;D848&amp;"|"&amp;E848,QuestionTriggers!A:F,6,FALSE)),"","---&gt;")</f>
        <v/>
      </c>
      <c r="H848" s="2" t="s">
        <v>1178</v>
      </c>
      <c r="I848" s="2" t="s">
        <v>1179</v>
      </c>
      <c r="J848" s="2" t="s">
        <v>1180</v>
      </c>
      <c r="K848" s="2"/>
    </row>
    <row r="849" spans="1:11" ht="26.4" x14ac:dyDescent="0.3">
      <c r="A849" t="str">
        <f t="shared" si="13"/>
        <v>Minoc|Gimble|HEALTH</v>
      </c>
      <c r="B849" s="2" t="s">
        <v>713</v>
      </c>
      <c r="C849" s="2" t="s">
        <v>1130</v>
      </c>
      <c r="D849" s="2" t="s">
        <v>1177</v>
      </c>
      <c r="E849" s="2" t="s">
        <v>20</v>
      </c>
      <c r="F849" s="2" t="s">
        <v>1183</v>
      </c>
      <c r="G849" s="8" t="str">
        <f>IF(ISNA(VLOOKUP(B849&amp;"|"&amp;C849&amp;"|"&amp;D849&amp;"|"&amp;E849,QuestionTriggers!A:F,6,FALSE)),"","---&gt;")</f>
        <v/>
      </c>
      <c r="H849" s="2" t="s">
        <v>1178</v>
      </c>
      <c r="I849" s="2" t="s">
        <v>1179</v>
      </c>
      <c r="J849" s="2" t="s">
        <v>1180</v>
      </c>
      <c r="K849" s="2"/>
    </row>
    <row r="850" spans="1:11" ht="26.4" x14ac:dyDescent="0.3">
      <c r="A850" t="str">
        <f t="shared" si="13"/>
        <v>Minoc|Gimble|JOB</v>
      </c>
      <c r="B850" s="2" t="s">
        <v>713</v>
      </c>
      <c r="C850" s="2" t="s">
        <v>1130</v>
      </c>
      <c r="D850" s="2" t="s">
        <v>1177</v>
      </c>
      <c r="E850" s="2" t="s">
        <v>18</v>
      </c>
      <c r="F850" s="2" t="s">
        <v>1182</v>
      </c>
      <c r="G850" s="8" t="str">
        <f>IF(ISNA(VLOOKUP(B850&amp;"|"&amp;C850&amp;"|"&amp;D850&amp;"|"&amp;E850,QuestionTriggers!A:F,6,FALSE)),"","---&gt;")</f>
        <v/>
      </c>
      <c r="H850" s="2" t="s">
        <v>1178</v>
      </c>
      <c r="I850" s="2" t="s">
        <v>1179</v>
      </c>
      <c r="J850" s="2" t="s">
        <v>1180</v>
      </c>
      <c r="K850" s="2"/>
    </row>
    <row r="851" spans="1:11" ht="26.4" x14ac:dyDescent="0.3">
      <c r="A851" t="str">
        <f t="shared" si="13"/>
        <v>Minoc|Gimble|LOOK</v>
      </c>
      <c r="B851" s="2" t="s">
        <v>713</v>
      </c>
      <c r="C851" s="2" t="s">
        <v>1130</v>
      </c>
      <c r="D851" s="2" t="s">
        <v>1177</v>
      </c>
      <c r="E851" s="2" t="s">
        <v>16</v>
      </c>
      <c r="F851" s="2" t="s">
        <v>1181</v>
      </c>
      <c r="G851" s="8" t="str">
        <f>IF(ISNA(VLOOKUP(B851&amp;"|"&amp;C851&amp;"|"&amp;D851&amp;"|"&amp;E851,QuestionTriggers!A:F,6,FALSE)),"","---&gt;")</f>
        <v/>
      </c>
      <c r="H851" s="2" t="s">
        <v>1178</v>
      </c>
      <c r="I851" s="2" t="s">
        <v>1179</v>
      </c>
      <c r="J851" s="2" t="s">
        <v>1180</v>
      </c>
      <c r="K851" s="2"/>
    </row>
    <row r="852" spans="1:11" ht="26.4" x14ac:dyDescent="0.3">
      <c r="A852" t="str">
        <f t="shared" si="13"/>
        <v>Minoc|Gimble|NAME</v>
      </c>
      <c r="B852" s="2" t="s">
        <v>713</v>
      </c>
      <c r="C852" s="2" t="s">
        <v>1130</v>
      </c>
      <c r="D852" s="2" t="s">
        <v>1177</v>
      </c>
      <c r="E852" s="2" t="s">
        <v>12</v>
      </c>
      <c r="F852" s="2" t="s">
        <v>1177</v>
      </c>
      <c r="G852" s="8" t="str">
        <f>IF(ISNA(VLOOKUP(B852&amp;"|"&amp;C852&amp;"|"&amp;D852&amp;"|"&amp;E852,QuestionTriggers!A:F,6,FALSE)),"","---&gt;")</f>
        <v/>
      </c>
      <c r="H852" s="2" t="s">
        <v>1178</v>
      </c>
      <c r="I852" s="2" t="s">
        <v>1179</v>
      </c>
      <c r="J852" s="2" t="s">
        <v>1180</v>
      </c>
      <c r="K852" s="2"/>
    </row>
    <row r="853" spans="1:11" ht="39.6" x14ac:dyDescent="0.3">
      <c r="A853" t="str">
        <f t="shared" si="13"/>
        <v>Minoc|Jude|HEALTH</v>
      </c>
      <c r="B853" s="2" t="s">
        <v>713</v>
      </c>
      <c r="C853" s="2" t="s">
        <v>1130</v>
      </c>
      <c r="D853" s="2" t="s">
        <v>1237</v>
      </c>
      <c r="E853" s="2" t="s">
        <v>20</v>
      </c>
      <c r="F853" s="2" t="s">
        <v>1241</v>
      </c>
      <c r="G853" s="8" t="str">
        <f>IF(ISNA(VLOOKUP(B853&amp;"|"&amp;C853&amp;"|"&amp;D853&amp;"|"&amp;E853,QuestionTriggers!A:F,6,FALSE)),"","---&gt;")</f>
        <v/>
      </c>
      <c r="H853" s="2" t="s">
        <v>1238</v>
      </c>
      <c r="I853" s="2" t="s">
        <v>1239</v>
      </c>
      <c r="J853" s="2" t="s">
        <v>90</v>
      </c>
      <c r="K853" s="2"/>
    </row>
    <row r="854" spans="1:11" ht="39.6" x14ac:dyDescent="0.3">
      <c r="A854" t="str">
        <f t="shared" si="13"/>
        <v>Minoc|Jude|JOB</v>
      </c>
      <c r="B854" s="2" t="s">
        <v>713</v>
      </c>
      <c r="C854" s="2" t="s">
        <v>1130</v>
      </c>
      <c r="D854" s="2" t="s">
        <v>1237</v>
      </c>
      <c r="E854" s="2" t="s">
        <v>18</v>
      </c>
      <c r="F854" s="2" t="s">
        <v>1240</v>
      </c>
      <c r="G854" s="8" t="str">
        <f>IF(ISNA(VLOOKUP(B854&amp;"|"&amp;C854&amp;"|"&amp;D854&amp;"|"&amp;E854,QuestionTriggers!A:F,6,FALSE)),"","---&gt;")</f>
        <v/>
      </c>
      <c r="H854" s="2" t="s">
        <v>1238</v>
      </c>
      <c r="I854" s="2" t="s">
        <v>1239</v>
      </c>
      <c r="J854" s="2" t="s">
        <v>90</v>
      </c>
      <c r="K854" s="2"/>
    </row>
    <row r="855" spans="1:11" ht="39.6" x14ac:dyDescent="0.3">
      <c r="A855" t="str">
        <f t="shared" si="13"/>
        <v>Minoc|Jude|LOOK</v>
      </c>
      <c r="B855" s="2" t="s">
        <v>713</v>
      </c>
      <c r="C855" s="2" t="s">
        <v>1130</v>
      </c>
      <c r="D855" s="2" t="s">
        <v>1237</v>
      </c>
      <c r="E855" s="2" t="s">
        <v>16</v>
      </c>
      <c r="F855" s="2" t="s">
        <v>135</v>
      </c>
      <c r="G855" s="8" t="str">
        <f>IF(ISNA(VLOOKUP(B855&amp;"|"&amp;C855&amp;"|"&amp;D855&amp;"|"&amp;E855,QuestionTriggers!A:F,6,FALSE)),"","---&gt;")</f>
        <v/>
      </c>
      <c r="H855" s="2" t="s">
        <v>1238</v>
      </c>
      <c r="I855" s="2" t="s">
        <v>1239</v>
      </c>
      <c r="J855" s="2" t="s">
        <v>90</v>
      </c>
      <c r="K855" s="2"/>
    </row>
    <row r="856" spans="1:11" ht="39.6" x14ac:dyDescent="0.3">
      <c r="A856" t="str">
        <f t="shared" si="13"/>
        <v>Minoc|Jude|NAME</v>
      </c>
      <c r="B856" s="2" t="s">
        <v>713</v>
      </c>
      <c r="C856" s="2" t="s">
        <v>1130</v>
      </c>
      <c r="D856" s="2" t="s">
        <v>1237</v>
      </c>
      <c r="E856" s="2" t="s">
        <v>12</v>
      </c>
      <c r="F856" s="2" t="s">
        <v>1237</v>
      </c>
      <c r="G856" s="8" t="str">
        <f>IF(ISNA(VLOOKUP(B856&amp;"|"&amp;C856&amp;"|"&amp;D856&amp;"|"&amp;E856,QuestionTriggers!A:F,6,FALSE)),"","---&gt;")</f>
        <v/>
      </c>
      <c r="H856" s="2" t="s">
        <v>1238</v>
      </c>
      <c r="I856" s="2" t="s">
        <v>1239</v>
      </c>
      <c r="J856" s="2" t="s">
        <v>90</v>
      </c>
      <c r="K856" s="2"/>
    </row>
    <row r="857" spans="1:11" ht="39.6" x14ac:dyDescent="0.3">
      <c r="A857" t="str">
        <f t="shared" si="13"/>
        <v>Minoc|Jude|REDE</v>
      </c>
      <c r="B857" s="2" t="s">
        <v>713</v>
      </c>
      <c r="C857" s="2" t="s">
        <v>1130</v>
      </c>
      <c r="D857" s="2" t="s">
        <v>1237</v>
      </c>
      <c r="E857" s="2" t="s">
        <v>1242</v>
      </c>
      <c r="F857" s="2" t="s">
        <v>1243</v>
      </c>
      <c r="G857" s="8" t="str">
        <f>IF(ISNA(VLOOKUP(B857&amp;"|"&amp;C857&amp;"|"&amp;D857&amp;"|"&amp;E857,QuestionTriggers!A:F,6,FALSE)),"","---&gt;")</f>
        <v/>
      </c>
      <c r="H857" s="2" t="s">
        <v>1238</v>
      </c>
      <c r="I857" s="2" t="s">
        <v>1239</v>
      </c>
      <c r="J857" s="2" t="s">
        <v>90</v>
      </c>
      <c r="K857" s="2"/>
    </row>
    <row r="858" spans="1:11" ht="39.6" x14ac:dyDescent="0.3">
      <c r="A858" t="str">
        <f t="shared" si="13"/>
        <v>Minoc|Jude|SKUL</v>
      </c>
      <c r="B858" s="2" t="s">
        <v>713</v>
      </c>
      <c r="C858" s="2" t="s">
        <v>1130</v>
      </c>
      <c r="D858" s="2" t="s">
        <v>1237</v>
      </c>
      <c r="E858" s="2" t="s">
        <v>1244</v>
      </c>
      <c r="F858" s="2" t="s">
        <v>1245</v>
      </c>
      <c r="G858" s="8" t="str">
        <f>IF(ISNA(VLOOKUP(B858&amp;"|"&amp;C858&amp;"|"&amp;D858&amp;"|"&amp;E858,QuestionTriggers!A:F,6,FALSE)),"","---&gt;")</f>
        <v>---&gt;</v>
      </c>
      <c r="H858" s="2" t="s">
        <v>1238</v>
      </c>
      <c r="I858" s="2" t="s">
        <v>1239</v>
      </c>
      <c r="J858" s="2" t="s">
        <v>90</v>
      </c>
      <c r="K858" s="2"/>
    </row>
    <row r="859" spans="1:11" ht="26.4" x14ac:dyDescent="0.3">
      <c r="A859" t="str">
        <f t="shared" si="13"/>
        <v>Minoc|Julia|CARE</v>
      </c>
      <c r="B859" s="2" t="s">
        <v>713</v>
      </c>
      <c r="C859" s="2" t="s">
        <v>1130</v>
      </c>
      <c r="D859" s="2" t="s">
        <v>1131</v>
      </c>
      <c r="E859" s="2" t="s">
        <v>1137</v>
      </c>
      <c r="F859" s="2" t="s">
        <v>1138</v>
      </c>
      <c r="G859" s="8" t="str">
        <f>IF(ISNA(VLOOKUP(B859&amp;"|"&amp;C859&amp;"|"&amp;D859&amp;"|"&amp;E859,QuestionTriggers!A:F,6,FALSE)),"","---&gt;")</f>
        <v/>
      </c>
      <c r="H859" s="2" t="s">
        <v>1132</v>
      </c>
      <c r="I859" s="2" t="s">
        <v>1133</v>
      </c>
      <c r="J859" s="2" t="s">
        <v>1134</v>
      </c>
      <c r="K859" s="2"/>
    </row>
    <row r="860" spans="1:11" x14ac:dyDescent="0.3">
      <c r="A860" t="str">
        <f t="shared" si="13"/>
        <v>Minoc|Julia|HEALTH</v>
      </c>
      <c r="B860" s="2" t="s">
        <v>713</v>
      </c>
      <c r="C860" s="2" t="s">
        <v>1130</v>
      </c>
      <c r="D860" s="2" t="s">
        <v>1131</v>
      </c>
      <c r="E860" s="2" t="s">
        <v>20</v>
      </c>
      <c r="F860" s="2" t="s">
        <v>93</v>
      </c>
      <c r="G860" s="8" t="str">
        <f>IF(ISNA(VLOOKUP(B860&amp;"|"&amp;C860&amp;"|"&amp;D860&amp;"|"&amp;E860,QuestionTriggers!A:F,6,FALSE)),"","---&gt;")</f>
        <v/>
      </c>
      <c r="H860" s="2" t="s">
        <v>1132</v>
      </c>
      <c r="I860" s="2" t="s">
        <v>1133</v>
      </c>
      <c r="J860" s="2" t="s">
        <v>1134</v>
      </c>
      <c r="K860" s="2"/>
    </row>
    <row r="861" spans="1:11" x14ac:dyDescent="0.3">
      <c r="A861" t="str">
        <f t="shared" si="13"/>
        <v>Minoc|Julia|JOB</v>
      </c>
      <c r="B861" s="2" t="s">
        <v>713</v>
      </c>
      <c r="C861" s="2" t="s">
        <v>1130</v>
      </c>
      <c r="D861" s="2" t="s">
        <v>1131</v>
      </c>
      <c r="E861" s="2" t="s">
        <v>18</v>
      </c>
      <c r="F861" s="2" t="s">
        <v>1136</v>
      </c>
      <c r="G861" s="8" t="str">
        <f>IF(ISNA(VLOOKUP(B861&amp;"|"&amp;C861&amp;"|"&amp;D861&amp;"|"&amp;E861,QuestionTriggers!A:F,6,FALSE)),"","---&gt;")</f>
        <v/>
      </c>
      <c r="H861" s="2" t="s">
        <v>1132</v>
      </c>
      <c r="I861" s="2" t="s">
        <v>1133</v>
      </c>
      <c r="J861" s="2" t="s">
        <v>1134</v>
      </c>
      <c r="K861" s="2"/>
    </row>
    <row r="862" spans="1:11" x14ac:dyDescent="0.3">
      <c r="A862" t="str">
        <f t="shared" si="13"/>
        <v>Minoc|Julia|LOOK</v>
      </c>
      <c r="B862" s="2" t="s">
        <v>713</v>
      </c>
      <c r="C862" s="2" t="s">
        <v>1130</v>
      </c>
      <c r="D862" s="2" t="s">
        <v>1131</v>
      </c>
      <c r="E862" s="2" t="s">
        <v>16</v>
      </c>
      <c r="F862" s="2" t="s">
        <v>1135</v>
      </c>
      <c r="G862" s="8" t="str">
        <f>IF(ISNA(VLOOKUP(B862&amp;"|"&amp;C862&amp;"|"&amp;D862&amp;"|"&amp;E862,QuestionTriggers!A:F,6,FALSE)),"","---&gt;")</f>
        <v/>
      </c>
      <c r="H862" s="2" t="s">
        <v>1132</v>
      </c>
      <c r="I862" s="2" t="s">
        <v>1133</v>
      </c>
      <c r="J862" s="2" t="s">
        <v>1134</v>
      </c>
      <c r="K862" s="2"/>
    </row>
    <row r="863" spans="1:11" x14ac:dyDescent="0.3">
      <c r="A863" t="str">
        <f t="shared" si="13"/>
        <v>Minoc|Julia|NAME</v>
      </c>
      <c r="B863" s="2" t="s">
        <v>713</v>
      </c>
      <c r="C863" s="2" t="s">
        <v>1130</v>
      </c>
      <c r="D863" s="2" t="s">
        <v>1131</v>
      </c>
      <c r="E863" s="2" t="s">
        <v>12</v>
      </c>
      <c r="F863" s="2" t="s">
        <v>1131</v>
      </c>
      <c r="G863" s="8" t="str">
        <f>IF(ISNA(VLOOKUP(B863&amp;"|"&amp;C863&amp;"|"&amp;D863&amp;"|"&amp;E863,QuestionTriggers!A:F,6,FALSE)),"","---&gt;")</f>
        <v/>
      </c>
      <c r="H863" s="2" t="s">
        <v>1132</v>
      </c>
      <c r="I863" s="2" t="s">
        <v>1133</v>
      </c>
      <c r="J863" s="2" t="s">
        <v>1134</v>
      </c>
      <c r="K863" s="2"/>
    </row>
    <row r="864" spans="1:11" x14ac:dyDescent="0.3">
      <c r="A864" t="str">
        <f t="shared" si="13"/>
        <v>Minoc|Julia|POOR</v>
      </c>
      <c r="B864" s="2" t="s">
        <v>713</v>
      </c>
      <c r="C864" s="2" t="s">
        <v>1130</v>
      </c>
      <c r="D864" s="2" t="s">
        <v>1131</v>
      </c>
      <c r="E864" s="2" t="s">
        <v>1139</v>
      </c>
      <c r="F864" s="2" t="s">
        <v>1140</v>
      </c>
      <c r="G864" s="8" t="str">
        <f>IF(ISNA(VLOOKUP(B864&amp;"|"&amp;C864&amp;"|"&amp;D864&amp;"|"&amp;E864,QuestionTriggers!A:F,6,FALSE)),"","---&gt;")</f>
        <v>---&gt;</v>
      </c>
      <c r="H864" s="2" t="s">
        <v>1132</v>
      </c>
      <c r="I864" s="2" t="s">
        <v>1133</v>
      </c>
      <c r="J864" s="2" t="s">
        <v>1134</v>
      </c>
      <c r="K864" s="2"/>
    </row>
    <row r="865" spans="1:11" hidden="1" x14ac:dyDescent="0.3">
      <c r="A865" t="str">
        <f t="shared" si="13"/>
        <v>Minoc|Linda Sue|FOOD</v>
      </c>
      <c r="B865" s="2" t="s">
        <v>713</v>
      </c>
      <c r="C865" s="2" t="s">
        <v>1130</v>
      </c>
      <c r="D865" s="34" t="s">
        <v>1218</v>
      </c>
      <c r="E865" s="34" t="s">
        <v>126</v>
      </c>
      <c r="F865" s="34" t="s">
        <v>1227</v>
      </c>
      <c r="G865" s="8" t="str">
        <f>IF(ISNA(VLOOKUP(B865&amp;"|"&amp;C865&amp;"|"&amp;D865&amp;"|"&amp;E865,QuestionTriggers!A:F,6,FALSE)),"","---&gt;")</f>
        <v>---&gt;</v>
      </c>
      <c r="H865" s="2" t="s">
        <v>1219</v>
      </c>
      <c r="I865" s="2" t="s">
        <v>1220</v>
      </c>
      <c r="J865" s="2" t="s">
        <v>1221</v>
      </c>
      <c r="K865" s="2"/>
    </row>
    <row r="866" spans="1:11" hidden="1" x14ac:dyDescent="0.3">
      <c r="A866" t="str">
        <f t="shared" si="13"/>
        <v>Minoc|Linda Sue|HEALTH</v>
      </c>
      <c r="B866" s="2" t="s">
        <v>713</v>
      </c>
      <c r="C866" s="2" t="s">
        <v>1130</v>
      </c>
      <c r="D866" s="34" t="s">
        <v>1218</v>
      </c>
      <c r="E866" s="34" t="s">
        <v>20</v>
      </c>
      <c r="F866" s="34" t="s">
        <v>1224</v>
      </c>
      <c r="G866" s="8" t="str">
        <f>IF(ISNA(VLOOKUP(B866&amp;"|"&amp;C866&amp;"|"&amp;D866&amp;"|"&amp;E866,QuestionTriggers!A:F,6,FALSE)),"","---&gt;")</f>
        <v/>
      </c>
      <c r="H866" s="2" t="s">
        <v>1219</v>
      </c>
      <c r="I866" s="2" t="s">
        <v>1220</v>
      </c>
      <c r="J866" s="2" t="s">
        <v>1221</v>
      </c>
      <c r="K866" s="2"/>
    </row>
    <row r="867" spans="1:11" hidden="1" x14ac:dyDescent="0.3">
      <c r="A867" t="str">
        <f t="shared" si="13"/>
        <v>Minoc|Linda Sue|HUNG</v>
      </c>
      <c r="B867" s="2" t="s">
        <v>713</v>
      </c>
      <c r="C867" s="2" t="s">
        <v>1130</v>
      </c>
      <c r="D867" s="34" t="s">
        <v>1218</v>
      </c>
      <c r="E867" s="34" t="s">
        <v>1225</v>
      </c>
      <c r="F867" s="34" t="s">
        <v>1226</v>
      </c>
      <c r="G867" s="8" t="str">
        <f>IF(ISNA(VLOOKUP(B867&amp;"|"&amp;C867&amp;"|"&amp;D867&amp;"|"&amp;E867,QuestionTriggers!A:F,6,FALSE)),"","---&gt;")</f>
        <v/>
      </c>
      <c r="H867" s="2" t="s">
        <v>1219</v>
      </c>
      <c r="I867" s="2" t="s">
        <v>1220</v>
      </c>
      <c r="J867" s="2" t="s">
        <v>1221</v>
      </c>
      <c r="K867" s="2"/>
    </row>
    <row r="868" spans="1:11" hidden="1" x14ac:dyDescent="0.3">
      <c r="A868" t="str">
        <f t="shared" si="13"/>
        <v>Minoc|Linda Sue|JOB</v>
      </c>
      <c r="B868" s="2" t="s">
        <v>713</v>
      </c>
      <c r="C868" s="2" t="s">
        <v>1130</v>
      </c>
      <c r="D868" s="34" t="s">
        <v>1218</v>
      </c>
      <c r="E868" s="34" t="s">
        <v>18</v>
      </c>
      <c r="F868" s="34" t="s">
        <v>1223</v>
      </c>
      <c r="G868" s="8" t="str">
        <f>IF(ISNA(VLOOKUP(B868&amp;"|"&amp;C868&amp;"|"&amp;D868&amp;"|"&amp;E868,QuestionTriggers!A:F,6,FALSE)),"","---&gt;")</f>
        <v/>
      </c>
      <c r="H868" s="2" t="s">
        <v>1219</v>
      </c>
      <c r="I868" s="2" t="s">
        <v>1220</v>
      </c>
      <c r="J868" s="2" t="s">
        <v>1221</v>
      </c>
      <c r="K868" s="2"/>
    </row>
    <row r="869" spans="1:11" hidden="1" x14ac:dyDescent="0.3">
      <c r="A869" t="str">
        <f t="shared" si="13"/>
        <v>Minoc|Linda Sue|LOOK</v>
      </c>
      <c r="B869" s="2" t="s">
        <v>713</v>
      </c>
      <c r="C869" s="2" t="s">
        <v>1130</v>
      </c>
      <c r="D869" s="34" t="s">
        <v>1218</v>
      </c>
      <c r="E869" s="34" t="s">
        <v>16</v>
      </c>
      <c r="F869" s="34" t="s">
        <v>1222</v>
      </c>
      <c r="G869" s="8" t="str">
        <f>IF(ISNA(VLOOKUP(B869&amp;"|"&amp;C869&amp;"|"&amp;D869&amp;"|"&amp;E869,QuestionTriggers!A:F,6,FALSE)),"","---&gt;")</f>
        <v/>
      </c>
      <c r="H869" s="2" t="s">
        <v>1219</v>
      </c>
      <c r="I869" s="2" t="s">
        <v>1220</v>
      </c>
      <c r="J869" s="2" t="s">
        <v>1221</v>
      </c>
      <c r="K869" s="2"/>
    </row>
    <row r="870" spans="1:11" hidden="1" x14ac:dyDescent="0.3">
      <c r="A870" t="str">
        <f t="shared" si="13"/>
        <v>Minoc|Linda Sue|NAME</v>
      </c>
      <c r="B870" s="2" t="s">
        <v>713</v>
      </c>
      <c r="C870" s="2" t="s">
        <v>1130</v>
      </c>
      <c r="D870" s="34" t="s">
        <v>1218</v>
      </c>
      <c r="E870" s="34" t="s">
        <v>12</v>
      </c>
      <c r="F870" s="34" t="s">
        <v>1218</v>
      </c>
      <c r="G870" s="8" t="str">
        <f>IF(ISNA(VLOOKUP(B870&amp;"|"&amp;C870&amp;"|"&amp;D870&amp;"|"&amp;E870,QuestionTriggers!A:F,6,FALSE)),"","---&gt;")</f>
        <v/>
      </c>
      <c r="H870" s="2" t="s">
        <v>1219</v>
      </c>
      <c r="I870" s="2" t="s">
        <v>1220</v>
      </c>
      <c r="J870" s="2" t="s">
        <v>1221</v>
      </c>
      <c r="K870" s="2"/>
    </row>
    <row r="871" spans="1:11" x14ac:dyDescent="0.3">
      <c r="A871" t="str">
        <f t="shared" si="13"/>
        <v>Minoc|Merida|HEALTH</v>
      </c>
      <c r="B871" s="2" t="s">
        <v>713</v>
      </c>
      <c r="C871" s="2" t="s">
        <v>1130</v>
      </c>
      <c r="D871" s="2" t="s">
        <v>1158</v>
      </c>
      <c r="E871" s="2" t="s">
        <v>20</v>
      </c>
      <c r="F871" s="2" t="s">
        <v>790</v>
      </c>
      <c r="G871" s="8" t="str">
        <f>IF(ISNA(VLOOKUP(B871&amp;"|"&amp;C871&amp;"|"&amp;D871&amp;"|"&amp;E871,QuestionTriggers!A:F,6,FALSE)),"","---&gt;")</f>
        <v/>
      </c>
      <c r="H871" s="2" t="s">
        <v>1159</v>
      </c>
      <c r="I871" s="2" t="s">
        <v>349</v>
      </c>
      <c r="J871" s="2" t="s">
        <v>1160</v>
      </c>
      <c r="K871" s="2"/>
    </row>
    <row r="872" spans="1:11" x14ac:dyDescent="0.3">
      <c r="A872" t="str">
        <f t="shared" si="13"/>
        <v>Minoc|Merida|JOB</v>
      </c>
      <c r="B872" s="2" t="s">
        <v>713</v>
      </c>
      <c r="C872" s="2" t="s">
        <v>1130</v>
      </c>
      <c r="D872" s="2" t="s">
        <v>1158</v>
      </c>
      <c r="E872" s="2" t="s">
        <v>18</v>
      </c>
      <c r="F872" s="2" t="s">
        <v>1162</v>
      </c>
      <c r="G872" s="8" t="str">
        <f>IF(ISNA(VLOOKUP(B872&amp;"|"&amp;C872&amp;"|"&amp;D872&amp;"|"&amp;E872,QuestionTriggers!A:F,6,FALSE)),"","---&gt;")</f>
        <v/>
      </c>
      <c r="H872" s="2" t="s">
        <v>1159</v>
      </c>
      <c r="I872" s="2" t="s">
        <v>349</v>
      </c>
      <c r="J872" s="2" t="s">
        <v>1160</v>
      </c>
      <c r="K872" s="2"/>
    </row>
    <row r="873" spans="1:11" x14ac:dyDescent="0.3">
      <c r="A873" t="str">
        <f t="shared" si="13"/>
        <v>Minoc|Merida|LOOK</v>
      </c>
      <c r="B873" s="2" t="s">
        <v>713</v>
      </c>
      <c r="C873" s="2" t="s">
        <v>1130</v>
      </c>
      <c r="D873" s="2" t="s">
        <v>1158</v>
      </c>
      <c r="E873" s="2" t="s">
        <v>16</v>
      </c>
      <c r="F873" s="2" t="s">
        <v>1161</v>
      </c>
      <c r="G873" s="8" t="str">
        <f>IF(ISNA(VLOOKUP(B873&amp;"|"&amp;C873&amp;"|"&amp;D873&amp;"|"&amp;E873,QuestionTriggers!A:F,6,FALSE)),"","---&gt;")</f>
        <v/>
      </c>
      <c r="H873" s="2" t="s">
        <v>1159</v>
      </c>
      <c r="I873" s="2" t="s">
        <v>349</v>
      </c>
      <c r="J873" s="2" t="s">
        <v>1160</v>
      </c>
      <c r="K873" s="2"/>
    </row>
    <row r="874" spans="1:11" x14ac:dyDescent="0.3">
      <c r="A874" t="str">
        <f t="shared" si="13"/>
        <v>Minoc|Merida|MANT</v>
      </c>
      <c r="B874" s="2" t="s">
        <v>713</v>
      </c>
      <c r="C874" s="2" t="s">
        <v>1130</v>
      </c>
      <c r="D874" s="2" t="s">
        <v>1158</v>
      </c>
      <c r="E874" s="2" t="s">
        <v>742</v>
      </c>
      <c r="F874" s="2" t="s">
        <v>1164</v>
      </c>
      <c r="G874" s="8" t="str">
        <f>IF(ISNA(VLOOKUP(B874&amp;"|"&amp;C874&amp;"|"&amp;D874&amp;"|"&amp;E874,QuestionTriggers!A:F,6,FALSE)),"","---&gt;")</f>
        <v>---&gt;</v>
      </c>
      <c r="H874" s="2" t="s">
        <v>1159</v>
      </c>
      <c r="I874" s="2" t="s">
        <v>349</v>
      </c>
      <c r="J874" s="2" t="s">
        <v>1160</v>
      </c>
      <c r="K874" s="2"/>
    </row>
    <row r="875" spans="1:11" x14ac:dyDescent="0.3">
      <c r="A875" t="str">
        <f t="shared" si="13"/>
        <v>Minoc|Merida|NAME</v>
      </c>
      <c r="B875" s="2" t="s">
        <v>713</v>
      </c>
      <c r="C875" s="2" t="s">
        <v>1130</v>
      </c>
      <c r="D875" s="2" t="s">
        <v>1158</v>
      </c>
      <c r="E875" s="2" t="s">
        <v>12</v>
      </c>
      <c r="F875" s="2" t="s">
        <v>1158</v>
      </c>
      <c r="G875" s="8" t="str">
        <f>IF(ISNA(VLOOKUP(B875&amp;"|"&amp;C875&amp;"|"&amp;D875&amp;"|"&amp;E875,QuestionTriggers!A:F,6,FALSE)),"","---&gt;")</f>
        <v/>
      </c>
      <c r="H875" s="2" t="s">
        <v>1159</v>
      </c>
      <c r="I875" s="2" t="s">
        <v>349</v>
      </c>
      <c r="J875" s="2" t="s">
        <v>1160</v>
      </c>
      <c r="K875" s="2"/>
    </row>
    <row r="876" spans="1:11" x14ac:dyDescent="0.3">
      <c r="A876" t="str">
        <f t="shared" si="13"/>
        <v>Minoc|Merida|SHRI</v>
      </c>
      <c r="B876" s="2" t="s">
        <v>713</v>
      </c>
      <c r="C876" s="2" t="s">
        <v>1130</v>
      </c>
      <c r="D876" s="2" t="s">
        <v>1158</v>
      </c>
      <c r="E876" s="2" t="s">
        <v>184</v>
      </c>
      <c r="F876" s="2" t="s">
        <v>1163</v>
      </c>
      <c r="G876" s="8" t="str">
        <f>IF(ISNA(VLOOKUP(B876&amp;"|"&amp;C876&amp;"|"&amp;D876&amp;"|"&amp;E876,QuestionTriggers!A:F,6,FALSE)),"","---&gt;")</f>
        <v/>
      </c>
      <c r="H876" s="2" t="s">
        <v>1159</v>
      </c>
      <c r="I876" s="2" t="s">
        <v>349</v>
      </c>
      <c r="J876" s="2" t="s">
        <v>1160</v>
      </c>
      <c r="K876" s="2"/>
    </row>
    <row r="877" spans="1:11" x14ac:dyDescent="0.3">
      <c r="A877" t="str">
        <f t="shared" si="13"/>
        <v>Minoc|Mike Ward|HEALTH</v>
      </c>
      <c r="B877" s="2" t="s">
        <v>713</v>
      </c>
      <c r="C877" s="2" t="s">
        <v>1130</v>
      </c>
      <c r="D877" s="2" t="s">
        <v>1246</v>
      </c>
      <c r="E877" s="2" t="s">
        <v>20</v>
      </c>
      <c r="F877" s="2" t="s">
        <v>691</v>
      </c>
      <c r="G877" s="8" t="str">
        <f>IF(ISNA(VLOOKUP(B877&amp;"|"&amp;C877&amp;"|"&amp;D877&amp;"|"&amp;E877,QuestionTriggers!A:F,6,FALSE)),"","---&gt;")</f>
        <v/>
      </c>
      <c r="H877" s="2" t="s">
        <v>1247</v>
      </c>
      <c r="I877" s="2" t="s">
        <v>1248</v>
      </c>
      <c r="J877" s="2" t="s">
        <v>1249</v>
      </c>
      <c r="K877" s="2"/>
    </row>
    <row r="878" spans="1:11" x14ac:dyDescent="0.3">
      <c r="A878" t="str">
        <f t="shared" si="13"/>
        <v>Minoc|Mike Ward|JOB</v>
      </c>
      <c r="B878" s="2" t="s">
        <v>713</v>
      </c>
      <c r="C878" s="2" t="s">
        <v>1130</v>
      </c>
      <c r="D878" s="2" t="s">
        <v>1246</v>
      </c>
      <c r="E878" s="2" t="s">
        <v>18</v>
      </c>
      <c r="F878" s="2" t="s">
        <v>1251</v>
      </c>
      <c r="G878" s="8" t="str">
        <f>IF(ISNA(VLOOKUP(B878&amp;"|"&amp;C878&amp;"|"&amp;D878&amp;"|"&amp;E878,QuestionTriggers!A:F,6,FALSE)),"","---&gt;")</f>
        <v/>
      </c>
      <c r="H878" s="2" t="s">
        <v>1247</v>
      </c>
      <c r="I878" s="2" t="s">
        <v>1248</v>
      </c>
      <c r="J878" s="2" t="s">
        <v>1249</v>
      </c>
      <c r="K878" s="2"/>
    </row>
    <row r="879" spans="1:11" x14ac:dyDescent="0.3">
      <c r="A879" t="str">
        <f t="shared" si="13"/>
        <v>Minoc|Mike Ward|LOOK</v>
      </c>
      <c r="B879" s="2" t="s">
        <v>713</v>
      </c>
      <c r="C879" s="2" t="s">
        <v>1130</v>
      </c>
      <c r="D879" s="2" t="s">
        <v>1246</v>
      </c>
      <c r="E879" s="2" t="s">
        <v>16</v>
      </c>
      <c r="F879" s="2" t="s">
        <v>1250</v>
      </c>
      <c r="G879" s="8" t="str">
        <f>IF(ISNA(VLOOKUP(B879&amp;"|"&amp;C879&amp;"|"&amp;D879&amp;"|"&amp;E879,QuestionTriggers!A:F,6,FALSE)),"","---&gt;")</f>
        <v/>
      </c>
      <c r="H879" s="2" t="s">
        <v>1247</v>
      </c>
      <c r="I879" s="2" t="s">
        <v>1248</v>
      </c>
      <c r="J879" s="2" t="s">
        <v>1249</v>
      </c>
      <c r="K879" s="2"/>
    </row>
    <row r="880" spans="1:11" x14ac:dyDescent="0.3">
      <c r="A880" t="str">
        <f t="shared" si="13"/>
        <v>Minoc|Mike Ward|NAME</v>
      </c>
      <c r="B880" s="2" t="s">
        <v>713</v>
      </c>
      <c r="C880" s="2" t="s">
        <v>1130</v>
      </c>
      <c r="D880" s="2" t="s">
        <v>1246</v>
      </c>
      <c r="E880" s="2" t="s">
        <v>12</v>
      </c>
      <c r="F880" s="2" t="s">
        <v>1246</v>
      </c>
      <c r="G880" s="8" t="str">
        <f>IF(ISNA(VLOOKUP(B880&amp;"|"&amp;C880&amp;"|"&amp;D880&amp;"|"&amp;E880,QuestionTriggers!A:F,6,FALSE)),"","---&gt;")</f>
        <v/>
      </c>
      <c r="H880" s="2" t="s">
        <v>1247</v>
      </c>
      <c r="I880" s="2" t="s">
        <v>1248</v>
      </c>
      <c r="J880" s="2" t="s">
        <v>1249</v>
      </c>
      <c r="K880" s="2"/>
    </row>
    <row r="881" spans="1:11" x14ac:dyDescent="0.3">
      <c r="A881" t="str">
        <f t="shared" si="13"/>
        <v>Minoc|Mike Ward|ROOM</v>
      </c>
      <c r="B881" s="2" t="s">
        <v>713</v>
      </c>
      <c r="C881" s="2" t="s">
        <v>1130</v>
      </c>
      <c r="D881" s="2" t="s">
        <v>1246</v>
      </c>
      <c r="E881" s="2" t="s">
        <v>629</v>
      </c>
      <c r="F881" s="2" t="s">
        <v>1252</v>
      </c>
      <c r="G881" s="8" t="str">
        <f>IF(ISNA(VLOOKUP(B881&amp;"|"&amp;C881&amp;"|"&amp;D881&amp;"|"&amp;E881,QuestionTriggers!A:F,6,FALSE)),"","---&gt;")</f>
        <v/>
      </c>
      <c r="H881" s="2" t="s">
        <v>1247</v>
      </c>
      <c r="I881" s="2" t="s">
        <v>1248</v>
      </c>
      <c r="J881" s="2" t="s">
        <v>1249</v>
      </c>
      <c r="K881" s="2"/>
    </row>
    <row r="882" spans="1:11" x14ac:dyDescent="0.3">
      <c r="A882" t="str">
        <f t="shared" si="13"/>
        <v>Minoc|Mike Ward|SKAR</v>
      </c>
      <c r="B882" s="2" t="s">
        <v>713</v>
      </c>
      <c r="C882" s="2" t="s">
        <v>1130</v>
      </c>
      <c r="D882" s="2" t="s">
        <v>1246</v>
      </c>
      <c r="E882" s="2" t="s">
        <v>1253</v>
      </c>
      <c r="F882" s="2" t="s">
        <v>1254</v>
      </c>
      <c r="G882" s="8" t="str">
        <f>IF(ISNA(VLOOKUP(B882&amp;"|"&amp;C882&amp;"|"&amp;D882&amp;"|"&amp;E882,QuestionTriggers!A:F,6,FALSE)),"","---&gt;")</f>
        <v>---&gt;</v>
      </c>
      <c r="H882" s="2" t="s">
        <v>1247</v>
      </c>
      <c r="I882" s="2" t="s">
        <v>1248</v>
      </c>
      <c r="J882" s="2" t="s">
        <v>1249</v>
      </c>
      <c r="K882" s="2"/>
    </row>
    <row r="883" spans="1:11" x14ac:dyDescent="0.3">
      <c r="A883" t="str">
        <f t="shared" si="13"/>
        <v>Minoc|Mischief|HEALTH</v>
      </c>
      <c r="B883" s="2" t="s">
        <v>713</v>
      </c>
      <c r="C883" s="2" t="s">
        <v>1130</v>
      </c>
      <c r="D883" s="2" t="s">
        <v>1193</v>
      </c>
      <c r="E883" s="2" t="s">
        <v>20</v>
      </c>
      <c r="F883" s="2" t="s">
        <v>1198</v>
      </c>
      <c r="G883" s="8" t="str">
        <f>IF(ISNA(VLOOKUP(B883&amp;"|"&amp;C883&amp;"|"&amp;D883&amp;"|"&amp;E883,QuestionTriggers!A:F,6,FALSE)),"","---&gt;")</f>
        <v/>
      </c>
      <c r="H883" s="2" t="s">
        <v>1194</v>
      </c>
      <c r="I883" s="41" t="s">
        <v>2609</v>
      </c>
      <c r="J883" s="2" t="s">
        <v>1195</v>
      </c>
      <c r="K883" s="2"/>
    </row>
    <row r="884" spans="1:11" x14ac:dyDescent="0.3">
      <c r="A884" t="str">
        <f t="shared" si="13"/>
        <v>Minoc|Mischief|JOB</v>
      </c>
      <c r="B884" s="2" t="s">
        <v>713</v>
      </c>
      <c r="C884" s="2" t="s">
        <v>1130</v>
      </c>
      <c r="D884" s="2" t="s">
        <v>1193</v>
      </c>
      <c r="E884" s="2" t="s">
        <v>18</v>
      </c>
      <c r="F884" s="2" t="s">
        <v>1197</v>
      </c>
      <c r="G884" s="8" t="str">
        <f>IF(ISNA(VLOOKUP(B884&amp;"|"&amp;C884&amp;"|"&amp;D884&amp;"|"&amp;E884,QuestionTriggers!A:F,6,FALSE)),"","---&gt;")</f>
        <v/>
      </c>
      <c r="H884" s="2" t="s">
        <v>1194</v>
      </c>
      <c r="I884" s="41" t="s">
        <v>2609</v>
      </c>
      <c r="J884" s="2" t="s">
        <v>1195</v>
      </c>
      <c r="K884" s="2"/>
    </row>
    <row r="885" spans="1:11" x14ac:dyDescent="0.3">
      <c r="A885" t="str">
        <f t="shared" si="13"/>
        <v>Minoc|Mischief|LOOK</v>
      </c>
      <c r="B885" s="2" t="s">
        <v>713</v>
      </c>
      <c r="C885" s="2" t="s">
        <v>1130</v>
      </c>
      <c r="D885" s="2" t="s">
        <v>1193</v>
      </c>
      <c r="E885" s="2" t="s">
        <v>16</v>
      </c>
      <c r="F885" s="2" t="s">
        <v>1196</v>
      </c>
      <c r="G885" s="8" t="str">
        <f>IF(ISNA(VLOOKUP(B885&amp;"|"&amp;C885&amp;"|"&amp;D885&amp;"|"&amp;E885,QuestionTriggers!A:F,6,FALSE)),"","---&gt;")</f>
        <v/>
      </c>
      <c r="H885" s="2" t="s">
        <v>1194</v>
      </c>
      <c r="I885" s="41" t="s">
        <v>2609</v>
      </c>
      <c r="J885" s="2" t="s">
        <v>1195</v>
      </c>
      <c r="K885" s="2"/>
    </row>
    <row r="886" spans="1:11" x14ac:dyDescent="0.3">
      <c r="A886" t="str">
        <f t="shared" si="13"/>
        <v>Minoc|Mischief|NAME</v>
      </c>
      <c r="B886" s="2" t="s">
        <v>713</v>
      </c>
      <c r="C886" s="2" t="s">
        <v>1130</v>
      </c>
      <c r="D886" s="2" t="s">
        <v>1193</v>
      </c>
      <c r="E886" s="2" t="s">
        <v>12</v>
      </c>
      <c r="F886" s="2" t="s">
        <v>1193</v>
      </c>
      <c r="G886" s="8" t="str">
        <f>IF(ISNA(VLOOKUP(B886&amp;"|"&amp;C886&amp;"|"&amp;D886&amp;"|"&amp;E886,QuestionTriggers!A:F,6,FALSE)),"","---&gt;")</f>
        <v/>
      </c>
      <c r="H886" s="2" t="s">
        <v>1194</v>
      </c>
      <c r="I886" s="41" t="s">
        <v>2609</v>
      </c>
      <c r="J886" s="2" t="s">
        <v>1195</v>
      </c>
      <c r="K886" s="2"/>
    </row>
    <row r="887" spans="1:11" x14ac:dyDescent="0.3">
      <c r="A887" t="str">
        <f t="shared" si="13"/>
        <v>Minoc|Mischief|RUNE</v>
      </c>
      <c r="B887" s="2" t="s">
        <v>713</v>
      </c>
      <c r="C887" s="2" t="s">
        <v>1130</v>
      </c>
      <c r="D887" s="2" t="s">
        <v>1193</v>
      </c>
      <c r="E887" s="2" t="s">
        <v>847</v>
      </c>
      <c r="F887" s="3" t="s">
        <v>1199</v>
      </c>
      <c r="G887" s="8" t="str">
        <f>IF(ISNA(VLOOKUP(B887&amp;"|"&amp;C887&amp;"|"&amp;D887&amp;"|"&amp;E887,QuestionTriggers!A:F,6,FALSE)),"","---&gt;")</f>
        <v>---&gt;</v>
      </c>
      <c r="H887" s="2" t="s">
        <v>1194</v>
      </c>
      <c r="I887" s="41" t="s">
        <v>2609</v>
      </c>
      <c r="J887" s="2" t="s">
        <v>1195</v>
      </c>
      <c r="K887" s="2"/>
    </row>
    <row r="888" spans="1:11" x14ac:dyDescent="0.3">
      <c r="A888" t="str">
        <f t="shared" si="13"/>
        <v>Minoc|Mischief|FORGE</v>
      </c>
      <c r="B888" s="2" t="s">
        <v>713</v>
      </c>
      <c r="C888" s="2" t="s">
        <v>1130</v>
      </c>
      <c r="D888" s="2" t="s">
        <v>1193</v>
      </c>
      <c r="E888" s="2" t="s">
        <v>2600</v>
      </c>
      <c r="F888" s="3" t="s">
        <v>2601</v>
      </c>
      <c r="G888" s="8" t="str">
        <f>IF(ISNA(VLOOKUP(B888&amp;"|"&amp;C888&amp;"|"&amp;D888&amp;"|"&amp;E888,QuestionTriggers!A:F,6,FALSE)),"","---&gt;")</f>
        <v/>
      </c>
      <c r="H888" s="2" t="s">
        <v>1194</v>
      </c>
      <c r="I888" s="41" t="s">
        <v>2609</v>
      </c>
      <c r="J888" s="2" t="s">
        <v>1195</v>
      </c>
      <c r="K888" s="2"/>
    </row>
    <row r="889" spans="1:11" x14ac:dyDescent="0.3">
      <c r="A889" t="str">
        <f t="shared" si="13"/>
        <v>Minoc|Shentis|HEALTH</v>
      </c>
      <c r="B889" s="2" t="s">
        <v>713</v>
      </c>
      <c r="C889" s="2" t="s">
        <v>1130</v>
      </c>
      <c r="D889" s="2" t="s">
        <v>1141</v>
      </c>
      <c r="E889" s="2" t="s">
        <v>20</v>
      </c>
      <c r="F889" s="2" t="s">
        <v>1147</v>
      </c>
      <c r="G889" s="8" t="str">
        <f>IF(ISNA(VLOOKUP(B889&amp;"|"&amp;C889&amp;"|"&amp;D889&amp;"|"&amp;E889,QuestionTriggers!A:F,6,FALSE)),"","---&gt;")</f>
        <v/>
      </c>
      <c r="H889" s="2" t="s">
        <v>1142</v>
      </c>
      <c r="I889" s="2" t="s">
        <v>1143</v>
      </c>
      <c r="J889" s="2" t="s">
        <v>1144</v>
      </c>
      <c r="K889" s="2"/>
    </row>
    <row r="890" spans="1:11" x14ac:dyDescent="0.3">
      <c r="A890" t="str">
        <f t="shared" si="13"/>
        <v>Minoc|Shentis|JOB</v>
      </c>
      <c r="B890" s="2" t="s">
        <v>713</v>
      </c>
      <c r="C890" s="2" t="s">
        <v>1130</v>
      </c>
      <c r="D890" s="2" t="s">
        <v>1141</v>
      </c>
      <c r="E890" s="2" t="s">
        <v>18</v>
      </c>
      <c r="F890" s="2" t="s">
        <v>1146</v>
      </c>
      <c r="G890" s="8" t="str">
        <f>IF(ISNA(VLOOKUP(B890&amp;"|"&amp;C890&amp;"|"&amp;D890&amp;"|"&amp;E890,QuestionTriggers!A:F,6,FALSE)),"","---&gt;")</f>
        <v/>
      </c>
      <c r="H890" s="2" t="s">
        <v>1142</v>
      </c>
      <c r="I890" s="2" t="s">
        <v>1143</v>
      </c>
      <c r="J890" s="2" t="s">
        <v>1144</v>
      </c>
      <c r="K890" s="2"/>
    </row>
    <row r="891" spans="1:11" x14ac:dyDescent="0.3">
      <c r="A891" t="str">
        <f t="shared" si="13"/>
        <v>Minoc|Shentis|LOOK</v>
      </c>
      <c r="B891" s="2" t="s">
        <v>713</v>
      </c>
      <c r="C891" s="2" t="s">
        <v>1130</v>
      </c>
      <c r="D891" s="2" t="s">
        <v>1141</v>
      </c>
      <c r="E891" s="2" t="s">
        <v>16</v>
      </c>
      <c r="F891" s="2" t="s">
        <v>1145</v>
      </c>
      <c r="G891" s="8" t="str">
        <f>IF(ISNA(VLOOKUP(B891&amp;"|"&amp;C891&amp;"|"&amp;D891&amp;"|"&amp;E891,QuestionTriggers!A:F,6,FALSE)),"","---&gt;")</f>
        <v/>
      </c>
      <c r="H891" s="2" t="s">
        <v>1142</v>
      </c>
      <c r="I891" s="2" t="s">
        <v>1143</v>
      </c>
      <c r="J891" s="2" t="s">
        <v>1144</v>
      </c>
      <c r="K891" s="2"/>
    </row>
    <row r="892" spans="1:11" x14ac:dyDescent="0.3">
      <c r="A892" t="str">
        <f t="shared" si="13"/>
        <v>Minoc|Shentis|NAME</v>
      </c>
      <c r="B892" s="2" t="s">
        <v>713</v>
      </c>
      <c r="C892" s="2" t="s">
        <v>1130</v>
      </c>
      <c r="D892" s="2" t="s">
        <v>1141</v>
      </c>
      <c r="E892" s="2" t="s">
        <v>12</v>
      </c>
      <c r="F892" s="2" t="s">
        <v>1141</v>
      </c>
      <c r="G892" s="8" t="str">
        <f>IF(ISNA(VLOOKUP(B892&amp;"|"&amp;C892&amp;"|"&amp;D892&amp;"|"&amp;E892,QuestionTriggers!A:F,6,FALSE)),"","---&gt;")</f>
        <v/>
      </c>
      <c r="H892" s="2" t="s">
        <v>1142</v>
      </c>
      <c r="I892" s="2" t="s">
        <v>1143</v>
      </c>
      <c r="J892" s="2" t="s">
        <v>1144</v>
      </c>
      <c r="K892" s="2"/>
    </row>
    <row r="893" spans="1:11" x14ac:dyDescent="0.3">
      <c r="A893" t="str">
        <f t="shared" si="13"/>
        <v>Minoc|Shentis|SACR</v>
      </c>
      <c r="B893" s="2" t="s">
        <v>713</v>
      </c>
      <c r="C893" s="2" t="s">
        <v>1130</v>
      </c>
      <c r="D893" s="2" t="s">
        <v>1141</v>
      </c>
      <c r="E893" s="2" t="s">
        <v>247</v>
      </c>
      <c r="F893" s="2" t="s">
        <v>1148</v>
      </c>
      <c r="G893" s="8" t="str">
        <f>IF(ISNA(VLOOKUP(B893&amp;"|"&amp;C893&amp;"|"&amp;D893&amp;"|"&amp;E893,QuestionTriggers!A:F,6,FALSE)),"","---&gt;")</f>
        <v/>
      </c>
      <c r="H893" s="2" t="s">
        <v>1142</v>
      </c>
      <c r="I893" s="2" t="s">
        <v>1143</v>
      </c>
      <c r="J893" s="2" t="s">
        <v>1144</v>
      </c>
      <c r="K893" s="2"/>
    </row>
    <row r="894" spans="1:11" x14ac:dyDescent="0.3">
      <c r="A894" t="str">
        <f t="shared" si="13"/>
        <v>Minoc|Shentis|VIRT</v>
      </c>
      <c r="B894" s="2" t="s">
        <v>713</v>
      </c>
      <c r="C894" s="2" t="s">
        <v>1130</v>
      </c>
      <c r="D894" s="2" t="s">
        <v>1141</v>
      </c>
      <c r="E894" s="2" t="s">
        <v>273</v>
      </c>
      <c r="F894" s="2" t="s">
        <v>1149</v>
      </c>
      <c r="G894" s="8" t="str">
        <f>IF(ISNA(VLOOKUP(B894&amp;"|"&amp;C894&amp;"|"&amp;D894&amp;"|"&amp;E894,QuestionTriggers!A:F,6,FALSE)),"","---&gt;")</f>
        <v>---&gt;</v>
      </c>
      <c r="H894" s="2" t="s">
        <v>1142</v>
      </c>
      <c r="I894" s="2" t="s">
        <v>1143</v>
      </c>
      <c r="J894" s="2" t="s">
        <v>1144</v>
      </c>
      <c r="K894" s="2"/>
    </row>
    <row r="895" spans="1:11" x14ac:dyDescent="0.3">
      <c r="A895" t="str">
        <f t="shared" si="13"/>
        <v>Minoc|Singsong|HEALTH</v>
      </c>
      <c r="B895" s="2" t="s">
        <v>713</v>
      </c>
      <c r="C895" s="2" t="s">
        <v>1130</v>
      </c>
      <c r="D895" s="2" t="s">
        <v>1172</v>
      </c>
      <c r="E895" s="2" t="s">
        <v>20</v>
      </c>
      <c r="F895" s="2" t="s">
        <v>1175</v>
      </c>
      <c r="G895" s="8" t="str">
        <f>IF(ISNA(VLOOKUP(B895&amp;"|"&amp;C895&amp;"|"&amp;D895&amp;"|"&amp;E895,QuestionTriggers!A:F,6,FALSE)),"","---&gt;")</f>
        <v/>
      </c>
      <c r="H895" s="2"/>
      <c r="I895" s="2"/>
      <c r="J895" s="2"/>
      <c r="K895" s="2"/>
    </row>
    <row r="896" spans="1:11" x14ac:dyDescent="0.3">
      <c r="A896" t="str">
        <f t="shared" si="13"/>
        <v>Minoc|Singsong|JOB</v>
      </c>
      <c r="B896" s="2" t="s">
        <v>713</v>
      </c>
      <c r="C896" s="2" t="s">
        <v>1130</v>
      </c>
      <c r="D896" s="2" t="s">
        <v>1172</v>
      </c>
      <c r="E896" s="2" t="s">
        <v>18</v>
      </c>
      <c r="F896" s="2" t="s">
        <v>1174</v>
      </c>
      <c r="G896" s="8" t="str">
        <f>IF(ISNA(VLOOKUP(B896&amp;"|"&amp;C896&amp;"|"&amp;D896&amp;"|"&amp;E896,QuestionTriggers!A:F,6,FALSE)),"","---&gt;")</f>
        <v/>
      </c>
      <c r="H896" s="2"/>
      <c r="I896" s="2"/>
      <c r="J896" s="2"/>
      <c r="K896" s="2"/>
    </row>
    <row r="897" spans="1:11" x14ac:dyDescent="0.3">
      <c r="A897" t="str">
        <f t="shared" si="13"/>
        <v>Minoc|Singsong|LOOK</v>
      </c>
      <c r="B897" s="2" t="s">
        <v>713</v>
      </c>
      <c r="C897" s="2" t="s">
        <v>1130</v>
      </c>
      <c r="D897" s="2" t="s">
        <v>1172</v>
      </c>
      <c r="E897" s="2" t="s">
        <v>16</v>
      </c>
      <c r="F897" s="2" t="s">
        <v>1173</v>
      </c>
      <c r="G897" s="8" t="str">
        <f>IF(ISNA(VLOOKUP(B897&amp;"|"&amp;C897&amp;"|"&amp;D897&amp;"|"&amp;E897,QuestionTriggers!A:F,6,FALSE)),"","---&gt;")</f>
        <v/>
      </c>
      <c r="H897" s="2"/>
      <c r="I897" s="2"/>
      <c r="J897" s="2"/>
      <c r="K897" s="2"/>
    </row>
    <row r="898" spans="1:11" x14ac:dyDescent="0.3">
      <c r="A898" t="str">
        <f t="shared" si="13"/>
        <v>Minoc|Singsong|NAME</v>
      </c>
      <c r="B898" s="2" t="s">
        <v>713</v>
      </c>
      <c r="C898" s="2" t="s">
        <v>1130</v>
      </c>
      <c r="D898" s="2" t="s">
        <v>1172</v>
      </c>
      <c r="E898" s="2" t="s">
        <v>12</v>
      </c>
      <c r="F898" s="2" t="s">
        <v>1172</v>
      </c>
      <c r="G898" s="8" t="str">
        <f>IF(ISNA(VLOOKUP(B898&amp;"|"&amp;C898&amp;"|"&amp;D898&amp;"|"&amp;E898,QuestionTriggers!A:F,6,FALSE)),"","---&gt;")</f>
        <v/>
      </c>
      <c r="H898" s="2"/>
      <c r="I898" s="2"/>
      <c r="J898" s="2"/>
      <c r="K898" s="2"/>
    </row>
    <row r="899" spans="1:11" x14ac:dyDescent="0.3">
      <c r="A899" t="str">
        <f t="shared" ref="A899:A962" si="14">C899&amp;"|"&amp;D899&amp;"|"&amp;E899</f>
        <v>Minoc|Singsong|SING</v>
      </c>
      <c r="B899" s="2" t="s">
        <v>713</v>
      </c>
      <c r="C899" s="2" t="s">
        <v>1130</v>
      </c>
      <c r="D899" s="2" t="s">
        <v>1172</v>
      </c>
      <c r="E899" s="2" t="s">
        <v>885</v>
      </c>
      <c r="F899" s="2" t="s">
        <v>1174</v>
      </c>
      <c r="G899" s="8" t="str">
        <f>IF(ISNA(VLOOKUP(B899&amp;"|"&amp;C899&amp;"|"&amp;D899&amp;"|"&amp;E899,QuestionTriggers!A:F,6,FALSE)),"","---&gt;")</f>
        <v/>
      </c>
      <c r="H899" s="2"/>
      <c r="I899" s="2"/>
      <c r="J899" s="2"/>
      <c r="K899" s="2"/>
    </row>
    <row r="900" spans="1:11" ht="26.4" x14ac:dyDescent="0.3">
      <c r="A900" t="str">
        <f t="shared" si="14"/>
        <v>Minoc|Singsong|SONG</v>
      </c>
      <c r="B900" s="2" t="s">
        <v>713</v>
      </c>
      <c r="C900" s="2" t="s">
        <v>1130</v>
      </c>
      <c r="D900" s="2" t="s">
        <v>1172</v>
      </c>
      <c r="E900" s="2" t="s">
        <v>487</v>
      </c>
      <c r="F900" s="2" t="s">
        <v>1176</v>
      </c>
      <c r="G900" s="8" t="str">
        <f>IF(ISNA(VLOOKUP(B900&amp;"|"&amp;C900&amp;"|"&amp;D900&amp;"|"&amp;E900,QuestionTriggers!A:F,6,FALSE)),"","---&gt;")</f>
        <v/>
      </c>
      <c r="H900" s="2"/>
      <c r="I900" s="2"/>
      <c r="J900" s="2"/>
      <c r="K900" s="2"/>
    </row>
    <row r="901" spans="1:11" x14ac:dyDescent="0.3">
      <c r="A901" t="str">
        <f t="shared" si="14"/>
        <v>Minoc|Zircon|HEALTH</v>
      </c>
      <c r="B901" s="2" t="s">
        <v>713</v>
      </c>
      <c r="C901" s="2" t="s">
        <v>1130</v>
      </c>
      <c r="D901" s="2" t="s">
        <v>1228</v>
      </c>
      <c r="E901" s="2" t="s">
        <v>20</v>
      </c>
      <c r="F901" s="2" t="s">
        <v>652</v>
      </c>
      <c r="G901" s="8" t="str">
        <f>IF(ISNA(VLOOKUP(B901&amp;"|"&amp;C901&amp;"|"&amp;D901&amp;"|"&amp;E901,QuestionTriggers!A:F,6,FALSE)),"","---&gt;")</f>
        <v/>
      </c>
      <c r="H901" s="2" t="s">
        <v>1229</v>
      </c>
      <c r="I901" s="2" t="s">
        <v>1230</v>
      </c>
      <c r="J901" s="2" t="s">
        <v>167</v>
      </c>
      <c r="K901" s="2"/>
    </row>
    <row r="902" spans="1:11" x14ac:dyDescent="0.3">
      <c r="A902" t="str">
        <f t="shared" si="14"/>
        <v>Minoc|Zircon|JOB</v>
      </c>
      <c r="B902" s="2" t="s">
        <v>713</v>
      </c>
      <c r="C902" s="2" t="s">
        <v>1130</v>
      </c>
      <c r="D902" s="2" t="s">
        <v>1228</v>
      </c>
      <c r="E902" s="2" t="s">
        <v>18</v>
      </c>
      <c r="F902" s="2" t="s">
        <v>1232</v>
      </c>
      <c r="G902" s="8" t="str">
        <f>IF(ISNA(VLOOKUP(B902&amp;"|"&amp;C902&amp;"|"&amp;D902&amp;"|"&amp;E902,QuestionTriggers!A:F,6,FALSE)),"","---&gt;")</f>
        <v/>
      </c>
      <c r="H902" s="2" t="s">
        <v>1229</v>
      </c>
      <c r="I902" s="2" t="s">
        <v>1230</v>
      </c>
      <c r="J902" s="2" t="s">
        <v>167</v>
      </c>
      <c r="K902" s="2"/>
    </row>
    <row r="903" spans="1:11" x14ac:dyDescent="0.3">
      <c r="A903" t="str">
        <f t="shared" si="14"/>
        <v>Minoc|Zircon|LOOK</v>
      </c>
      <c r="B903" s="2" t="s">
        <v>713</v>
      </c>
      <c r="C903" s="2" t="s">
        <v>1130</v>
      </c>
      <c r="D903" s="2" t="s">
        <v>1228</v>
      </c>
      <c r="E903" s="2" t="s">
        <v>16</v>
      </c>
      <c r="F903" s="2" t="s">
        <v>1231</v>
      </c>
      <c r="G903" s="8" t="str">
        <f>IF(ISNA(VLOOKUP(B903&amp;"|"&amp;C903&amp;"|"&amp;D903&amp;"|"&amp;E903,QuestionTriggers!A:F,6,FALSE)),"","---&gt;")</f>
        <v/>
      </c>
      <c r="H903" s="2" t="s">
        <v>1229</v>
      </c>
      <c r="I903" s="2" t="s">
        <v>1230</v>
      </c>
      <c r="J903" s="2" t="s">
        <v>167</v>
      </c>
      <c r="K903" s="2"/>
    </row>
    <row r="904" spans="1:11" ht="26.4" x14ac:dyDescent="0.3">
      <c r="A904" t="str">
        <f t="shared" si="14"/>
        <v>Minoc|Zircon|MYST</v>
      </c>
      <c r="B904" s="2" t="s">
        <v>713</v>
      </c>
      <c r="C904" s="2" t="s">
        <v>1130</v>
      </c>
      <c r="D904" s="2" t="s">
        <v>1228</v>
      </c>
      <c r="E904" s="2" t="s">
        <v>1235</v>
      </c>
      <c r="F904" s="2" t="s">
        <v>1236</v>
      </c>
      <c r="G904" s="8" t="str">
        <f>IF(ISNA(VLOOKUP(B904&amp;"|"&amp;C904&amp;"|"&amp;D904&amp;"|"&amp;E904,QuestionTriggers!A:F,6,FALSE)),"","---&gt;")</f>
        <v>---&gt;</v>
      </c>
      <c r="H904" s="2" t="s">
        <v>1229</v>
      </c>
      <c r="I904" s="2" t="s">
        <v>1230</v>
      </c>
      <c r="J904" s="2" t="s">
        <v>167</v>
      </c>
      <c r="K904" s="2"/>
    </row>
    <row r="905" spans="1:11" x14ac:dyDescent="0.3">
      <c r="A905" t="str">
        <f t="shared" si="14"/>
        <v>Minoc|Zircon|NAME</v>
      </c>
      <c r="B905" s="2" t="s">
        <v>713</v>
      </c>
      <c r="C905" s="2" t="s">
        <v>1130</v>
      </c>
      <c r="D905" s="2" t="s">
        <v>1228</v>
      </c>
      <c r="E905" s="2" t="s">
        <v>12</v>
      </c>
      <c r="F905" s="2" t="s">
        <v>1228</v>
      </c>
      <c r="G905" s="8" t="str">
        <f>IF(ISNA(VLOOKUP(B905&amp;"|"&amp;C905&amp;"|"&amp;D905&amp;"|"&amp;E905,QuestionTriggers!A:F,6,FALSE)),"","---&gt;")</f>
        <v/>
      </c>
      <c r="H905" s="2" t="s">
        <v>1229</v>
      </c>
      <c r="I905" s="2" t="s">
        <v>1230</v>
      </c>
      <c r="J905" s="2" t="s">
        <v>167</v>
      </c>
      <c r="K905" s="2"/>
    </row>
    <row r="906" spans="1:11" x14ac:dyDescent="0.3">
      <c r="A906" t="str">
        <f t="shared" si="14"/>
        <v>Minoc|Zircon|WEAP</v>
      </c>
      <c r="B906" s="2" t="s">
        <v>713</v>
      </c>
      <c r="C906" s="2" t="s">
        <v>1130</v>
      </c>
      <c r="D906" s="2" t="s">
        <v>1228</v>
      </c>
      <c r="E906" s="2" t="s">
        <v>1233</v>
      </c>
      <c r="F906" s="2" t="s">
        <v>1234</v>
      </c>
      <c r="G906" s="8" t="str">
        <f>IF(ISNA(VLOOKUP(B906&amp;"|"&amp;C906&amp;"|"&amp;D906&amp;"|"&amp;E906,QuestionTriggers!A:F,6,FALSE)),"","---&gt;")</f>
        <v/>
      </c>
      <c r="H906" s="2" t="s">
        <v>1229</v>
      </c>
      <c r="I906" s="2" t="s">
        <v>1230</v>
      </c>
      <c r="J906" s="2" t="s">
        <v>167</v>
      </c>
      <c r="K906" s="2"/>
    </row>
    <row r="907" spans="1:11" hidden="1" x14ac:dyDescent="0.3">
      <c r="A907" s="43" t="str">
        <f t="shared" si="14"/>
        <v>Moonglow|Browning|HEALTH</v>
      </c>
      <c r="B907" s="2" t="s">
        <v>713</v>
      </c>
      <c r="C907" s="2" t="s">
        <v>714</v>
      </c>
      <c r="D907" s="2" t="s">
        <v>784</v>
      </c>
      <c r="E907" s="34" t="s">
        <v>20</v>
      </c>
      <c r="F907" s="2" t="s">
        <v>790</v>
      </c>
      <c r="G907" s="8" t="str">
        <f>IF(ISNA(VLOOKUP(B907&amp;"|"&amp;C907&amp;"|"&amp;D907&amp;"|"&amp;E907,QuestionTriggers!A:F,6,FALSE)),"","---&gt;")</f>
        <v/>
      </c>
      <c r="H907" s="2" t="s">
        <v>785</v>
      </c>
      <c r="I907" s="2" t="s">
        <v>786</v>
      </c>
      <c r="J907" s="2" t="s">
        <v>787</v>
      </c>
      <c r="K907" s="2"/>
    </row>
    <row r="908" spans="1:11" hidden="1" x14ac:dyDescent="0.3">
      <c r="A908" s="43" t="str">
        <f t="shared" si="14"/>
        <v>Moonglow|Browning|HONE</v>
      </c>
      <c r="B908" s="2" t="s">
        <v>713</v>
      </c>
      <c r="C908" s="2" t="s">
        <v>714</v>
      </c>
      <c r="D908" s="3" t="s">
        <v>784</v>
      </c>
      <c r="E908" s="2" t="s">
        <v>239</v>
      </c>
      <c r="F908" s="2" t="s">
        <v>791</v>
      </c>
      <c r="G908" s="8" t="str">
        <f>IF(ISNA(VLOOKUP(B908&amp;"|"&amp;C908&amp;"|"&amp;D908&amp;"|"&amp;E908,QuestionTriggers!A:F,6,FALSE)),"","---&gt;")</f>
        <v/>
      </c>
      <c r="H908" s="2" t="s">
        <v>785</v>
      </c>
      <c r="I908" s="2" t="s">
        <v>786</v>
      </c>
      <c r="J908" s="2" t="s">
        <v>787</v>
      </c>
      <c r="K908" s="2"/>
    </row>
    <row r="909" spans="1:11" hidden="1" x14ac:dyDescent="0.3">
      <c r="A909" s="43" t="str">
        <f t="shared" si="14"/>
        <v>Moonglow|Browning|JOB</v>
      </c>
      <c r="B909" s="2" t="s">
        <v>713</v>
      </c>
      <c r="C909" s="2" t="s">
        <v>714</v>
      </c>
      <c r="D909" s="3" t="s">
        <v>784</v>
      </c>
      <c r="E909" s="2" t="s">
        <v>18</v>
      </c>
      <c r="F909" s="2" t="s">
        <v>789</v>
      </c>
      <c r="G909" s="8" t="str">
        <f>IF(ISNA(VLOOKUP(B909&amp;"|"&amp;C909&amp;"|"&amp;D909&amp;"|"&amp;E909,QuestionTriggers!A:F,6,FALSE)),"","---&gt;")</f>
        <v/>
      </c>
      <c r="H909" s="2" t="s">
        <v>785</v>
      </c>
      <c r="I909" s="2" t="s">
        <v>786</v>
      </c>
      <c r="J909" s="2" t="s">
        <v>787</v>
      </c>
      <c r="K909" s="2"/>
    </row>
    <row r="910" spans="1:11" hidden="1" x14ac:dyDescent="0.3">
      <c r="A910" s="43" t="str">
        <f t="shared" si="14"/>
        <v>Moonglow|Browning|LOOK</v>
      </c>
      <c r="B910" s="2" t="s">
        <v>713</v>
      </c>
      <c r="C910" s="2" t="s">
        <v>714</v>
      </c>
      <c r="D910" s="2" t="s">
        <v>784</v>
      </c>
      <c r="E910" s="34" t="s">
        <v>16</v>
      </c>
      <c r="F910" s="2" t="s">
        <v>788</v>
      </c>
      <c r="G910" s="8" t="str">
        <f>IF(ISNA(VLOOKUP(B910&amp;"|"&amp;C910&amp;"|"&amp;D910&amp;"|"&amp;E910,QuestionTriggers!A:F,6,FALSE)),"","---&gt;")</f>
        <v/>
      </c>
      <c r="H910" s="2" t="s">
        <v>785</v>
      </c>
      <c r="I910" s="2" t="s">
        <v>786</v>
      </c>
      <c r="J910" s="2" t="s">
        <v>787</v>
      </c>
      <c r="K910" s="2"/>
    </row>
    <row r="911" spans="1:11" hidden="1" x14ac:dyDescent="0.3">
      <c r="A911" s="43" t="str">
        <f t="shared" si="14"/>
        <v>Moonglow|Browning|NAME</v>
      </c>
      <c r="B911" s="2" t="s">
        <v>713</v>
      </c>
      <c r="C911" s="2" t="s">
        <v>714</v>
      </c>
      <c r="D911" s="2" t="s">
        <v>784</v>
      </c>
      <c r="E911" s="34" t="s">
        <v>12</v>
      </c>
      <c r="F911" s="2" t="s">
        <v>784</v>
      </c>
      <c r="G911" s="8" t="str">
        <f>IF(ISNA(VLOOKUP(B911&amp;"|"&amp;C911&amp;"|"&amp;D911&amp;"|"&amp;E911,QuestionTriggers!A:F,6,FALSE)),"","---&gt;")</f>
        <v/>
      </c>
      <c r="H911" s="2" t="s">
        <v>785</v>
      </c>
      <c r="I911" s="2" t="s">
        <v>786</v>
      </c>
      <c r="J911" s="2" t="s">
        <v>787</v>
      </c>
      <c r="K911" s="2"/>
    </row>
    <row r="912" spans="1:11" hidden="1" x14ac:dyDescent="0.3">
      <c r="A912" s="43" t="str">
        <f t="shared" si="14"/>
        <v>Moonglow|Browning|TRUT</v>
      </c>
      <c r="B912" s="2" t="s">
        <v>713</v>
      </c>
      <c r="C912" s="2" t="s">
        <v>714</v>
      </c>
      <c r="D912" s="3" t="s">
        <v>784</v>
      </c>
      <c r="E912" s="2" t="s">
        <v>233</v>
      </c>
      <c r="F912" s="2" t="s">
        <v>792</v>
      </c>
      <c r="G912" s="8" t="str">
        <f>IF(ISNA(VLOOKUP(B912&amp;"|"&amp;C912&amp;"|"&amp;D912&amp;"|"&amp;E912,QuestionTriggers!A:F,6,FALSE)),"","---&gt;")</f>
        <v>---&gt;</v>
      </c>
      <c r="H912" s="2" t="s">
        <v>785</v>
      </c>
      <c r="I912" s="2" t="s">
        <v>786</v>
      </c>
      <c r="J912" s="2" t="s">
        <v>787</v>
      </c>
      <c r="K912" s="2"/>
    </row>
    <row r="913" spans="1:11" ht="26.4" hidden="1" x14ac:dyDescent="0.3">
      <c r="A913" s="43" t="str">
        <f t="shared" si="14"/>
        <v>Moonglow|Calabrini|HEAL</v>
      </c>
      <c r="B913" s="2" t="s">
        <v>713</v>
      </c>
      <c r="C913" s="2" t="s">
        <v>714</v>
      </c>
      <c r="D913" s="3" t="s">
        <v>825</v>
      </c>
      <c r="E913" s="3" t="s">
        <v>213</v>
      </c>
      <c r="F913" s="3" t="s">
        <v>832</v>
      </c>
      <c r="G913" s="8" t="str">
        <f>IF(ISNA(VLOOKUP(B913&amp;"|"&amp;C913&amp;"|"&amp;D913&amp;"|"&amp;E913,QuestionTriggers!A:F,6,FALSE)),"","---&gt;")</f>
        <v>---&gt;</v>
      </c>
      <c r="H913" s="2" t="s">
        <v>826</v>
      </c>
      <c r="I913" s="2" t="s">
        <v>827</v>
      </c>
      <c r="J913" s="2" t="s">
        <v>828</v>
      </c>
      <c r="K913" s="2"/>
    </row>
    <row r="914" spans="1:11" ht="26.4" hidden="1" x14ac:dyDescent="0.3">
      <c r="A914" s="43" t="str">
        <f t="shared" si="14"/>
        <v>Moonglow|Calabrini|HEALTH</v>
      </c>
      <c r="B914" s="2" t="s">
        <v>713</v>
      </c>
      <c r="C914" s="2" t="s">
        <v>714</v>
      </c>
      <c r="D914" s="3" t="s">
        <v>825</v>
      </c>
      <c r="E914" s="34" t="s">
        <v>20</v>
      </c>
      <c r="F914" s="2" t="s">
        <v>189</v>
      </c>
      <c r="G914" s="8" t="str">
        <f>IF(ISNA(VLOOKUP(B914&amp;"|"&amp;C914&amp;"|"&amp;D914&amp;"|"&amp;E914,QuestionTriggers!A:F,6,FALSE)),"","---&gt;")</f>
        <v/>
      </c>
      <c r="H914" s="2" t="s">
        <v>826</v>
      </c>
      <c r="I914" s="2" t="s">
        <v>827</v>
      </c>
      <c r="J914" s="2" t="s">
        <v>828</v>
      </c>
      <c r="K914" s="2"/>
    </row>
    <row r="915" spans="1:11" ht="26.4" hidden="1" x14ac:dyDescent="0.3">
      <c r="A915" s="43" t="str">
        <f t="shared" si="14"/>
        <v>Moonglow|Calabrini|INN</v>
      </c>
      <c r="B915" s="2" t="s">
        <v>713</v>
      </c>
      <c r="C915" s="2" t="s">
        <v>714</v>
      </c>
      <c r="D915" s="3" t="s">
        <v>825</v>
      </c>
      <c r="E915" s="2" t="s">
        <v>830</v>
      </c>
      <c r="F915" s="2" t="s">
        <v>831</v>
      </c>
      <c r="G915" s="8" t="str">
        <f>IF(ISNA(VLOOKUP(B915&amp;"|"&amp;C915&amp;"|"&amp;D915&amp;"|"&amp;E915,QuestionTriggers!A:F,6,FALSE)),"","---&gt;")</f>
        <v/>
      </c>
      <c r="H915" s="2" t="s">
        <v>826</v>
      </c>
      <c r="I915" s="2" t="s">
        <v>827</v>
      </c>
      <c r="J915" s="2" t="s">
        <v>828</v>
      </c>
      <c r="K915" s="2"/>
    </row>
    <row r="916" spans="1:11" ht="26.4" hidden="1" x14ac:dyDescent="0.3">
      <c r="A916" s="43" t="str">
        <f t="shared" si="14"/>
        <v>Moonglow|Calabrini|JOB</v>
      </c>
      <c r="B916" s="2" t="s">
        <v>713</v>
      </c>
      <c r="C916" s="2" t="s">
        <v>714</v>
      </c>
      <c r="D916" s="3" t="s">
        <v>825</v>
      </c>
      <c r="E916" s="3" t="s">
        <v>18</v>
      </c>
      <c r="F916" s="3" t="s">
        <v>829</v>
      </c>
      <c r="G916" s="8" t="str">
        <f>IF(ISNA(VLOOKUP(B916&amp;"|"&amp;C916&amp;"|"&amp;D916&amp;"|"&amp;E916,QuestionTriggers!A:F,6,FALSE)),"","---&gt;")</f>
        <v/>
      </c>
      <c r="H916" s="2" t="s">
        <v>826</v>
      </c>
      <c r="I916" s="2" t="s">
        <v>827</v>
      </c>
      <c r="J916" s="2" t="s">
        <v>828</v>
      </c>
      <c r="K916" s="2"/>
    </row>
    <row r="917" spans="1:11" ht="26.4" hidden="1" x14ac:dyDescent="0.3">
      <c r="A917" s="43" t="str">
        <f t="shared" si="14"/>
        <v>Moonglow|Calabrini|LOOK</v>
      </c>
      <c r="B917" s="2" t="s">
        <v>713</v>
      </c>
      <c r="C917" s="2" t="s">
        <v>714</v>
      </c>
      <c r="D917" s="3" t="s">
        <v>825</v>
      </c>
      <c r="E917" s="34" t="s">
        <v>16</v>
      </c>
      <c r="F917" s="2" t="s">
        <v>788</v>
      </c>
      <c r="G917" s="8" t="str">
        <f>IF(ISNA(VLOOKUP(B917&amp;"|"&amp;C917&amp;"|"&amp;D917&amp;"|"&amp;E917,QuestionTriggers!A:F,6,FALSE)),"","---&gt;")</f>
        <v/>
      </c>
      <c r="H917" s="2" t="s">
        <v>826</v>
      </c>
      <c r="I917" s="2" t="s">
        <v>827</v>
      </c>
      <c r="J917" s="2" t="s">
        <v>828</v>
      </c>
      <c r="K917" s="2"/>
    </row>
    <row r="918" spans="1:11" ht="26.4" hidden="1" x14ac:dyDescent="0.3">
      <c r="A918" s="43" t="str">
        <f t="shared" si="14"/>
        <v>Moonglow|Calabrini|NAME</v>
      </c>
      <c r="B918" s="2" t="s">
        <v>713</v>
      </c>
      <c r="C918" s="2" t="s">
        <v>714</v>
      </c>
      <c r="D918" s="3" t="s">
        <v>825</v>
      </c>
      <c r="E918" s="34" t="s">
        <v>12</v>
      </c>
      <c r="F918" s="2" t="s">
        <v>825</v>
      </c>
      <c r="G918" s="8" t="str">
        <f>IF(ISNA(VLOOKUP(B918&amp;"|"&amp;C918&amp;"|"&amp;D918&amp;"|"&amp;E918,QuestionTriggers!A:F,6,FALSE)),"","---&gt;")</f>
        <v/>
      </c>
      <c r="H918" s="2" t="s">
        <v>826</v>
      </c>
      <c r="I918" s="2" t="s">
        <v>827</v>
      </c>
      <c r="J918" s="2" t="s">
        <v>828</v>
      </c>
      <c r="K918" s="2"/>
    </row>
    <row r="919" spans="1:11" hidden="1" x14ac:dyDescent="0.3">
      <c r="A919" s="43" t="str">
        <f t="shared" si="14"/>
        <v>Moonglow|Christen|FRIE</v>
      </c>
      <c r="B919" s="2" t="s">
        <v>713</v>
      </c>
      <c r="C919" s="2" t="s">
        <v>714</v>
      </c>
      <c r="D919" s="3" t="s">
        <v>752</v>
      </c>
      <c r="E919" s="3" t="s">
        <v>756</v>
      </c>
      <c r="F919" s="3" t="s">
        <v>757</v>
      </c>
      <c r="G919" s="8" t="str">
        <f>IF(ISNA(VLOOKUP(B919&amp;"|"&amp;C919&amp;"|"&amp;D919&amp;"|"&amp;E919,QuestionTriggers!A:F,6,FALSE)),"","---&gt;")</f>
        <v/>
      </c>
      <c r="H919" s="2" t="s">
        <v>753</v>
      </c>
      <c r="I919" s="2" t="s">
        <v>754</v>
      </c>
      <c r="J919" s="2" t="s">
        <v>755</v>
      </c>
      <c r="K919" s="2"/>
    </row>
    <row r="920" spans="1:11" hidden="1" x14ac:dyDescent="0.3">
      <c r="A920" s="43" t="str">
        <f t="shared" si="14"/>
        <v>Moonglow|Christen|HEALTH</v>
      </c>
      <c r="B920" s="2" t="s">
        <v>713</v>
      </c>
      <c r="C920" s="2" t="s">
        <v>714</v>
      </c>
      <c r="D920" s="3" t="s">
        <v>752</v>
      </c>
      <c r="E920" s="2" t="s">
        <v>20</v>
      </c>
      <c r="F920" s="6" t="s">
        <v>2460</v>
      </c>
      <c r="G920" s="8" t="str">
        <f>IF(ISNA(VLOOKUP(B920&amp;"|"&amp;C920&amp;"|"&amp;D920&amp;"|"&amp;E920,QuestionTriggers!A:F,6,FALSE)),"","---&gt;")</f>
        <v/>
      </c>
      <c r="H920" s="2" t="s">
        <v>753</v>
      </c>
      <c r="I920" s="2" t="s">
        <v>754</v>
      </c>
      <c r="J920" s="2" t="s">
        <v>755</v>
      </c>
      <c r="K920" s="2"/>
    </row>
    <row r="921" spans="1:11" hidden="1" x14ac:dyDescent="0.3">
      <c r="A921" s="43" t="str">
        <f t="shared" si="14"/>
        <v>Moonglow|Christen|HONE</v>
      </c>
      <c r="B921" s="2" t="s">
        <v>713</v>
      </c>
      <c r="C921" s="2" t="s">
        <v>714</v>
      </c>
      <c r="D921" s="3" t="s">
        <v>752</v>
      </c>
      <c r="E921" s="2" t="s">
        <v>239</v>
      </c>
      <c r="F921" s="3" t="s">
        <v>758</v>
      </c>
      <c r="G921" s="8" t="str">
        <f>IF(ISNA(VLOOKUP(B921&amp;"|"&amp;C921&amp;"|"&amp;D921&amp;"|"&amp;E921,QuestionTriggers!A:F,6,FALSE)),"","---&gt;")</f>
        <v>---&gt;</v>
      </c>
      <c r="H921" s="2" t="s">
        <v>753</v>
      </c>
      <c r="I921" s="2" t="s">
        <v>754</v>
      </c>
      <c r="J921" s="2" t="s">
        <v>755</v>
      </c>
      <c r="K921" s="2"/>
    </row>
    <row r="922" spans="1:11" hidden="1" x14ac:dyDescent="0.3">
      <c r="A922" s="43" t="str">
        <f t="shared" si="14"/>
        <v>Moonglow|Christen|JOB</v>
      </c>
      <c r="B922" s="2" t="s">
        <v>713</v>
      </c>
      <c r="C922" s="2" t="s">
        <v>714</v>
      </c>
      <c r="D922" s="3" t="s">
        <v>752</v>
      </c>
      <c r="E922" s="2" t="s">
        <v>18</v>
      </c>
      <c r="F922" s="6" t="s">
        <v>2464</v>
      </c>
      <c r="G922" s="8" t="str">
        <f>IF(ISNA(VLOOKUP(B922&amp;"|"&amp;C922&amp;"|"&amp;D922&amp;"|"&amp;E922,QuestionTriggers!A:F,6,FALSE)),"","---&gt;")</f>
        <v/>
      </c>
      <c r="H922" s="2" t="s">
        <v>753</v>
      </c>
      <c r="I922" s="2" t="s">
        <v>754</v>
      </c>
      <c r="J922" s="2" t="s">
        <v>755</v>
      </c>
      <c r="K922" s="2"/>
    </row>
    <row r="923" spans="1:11" hidden="1" x14ac:dyDescent="0.3">
      <c r="A923" s="43" t="str">
        <f t="shared" si="14"/>
        <v>Moonglow|Christen|LOOK</v>
      </c>
      <c r="B923" s="2" t="s">
        <v>713</v>
      </c>
      <c r="C923" s="2" t="s">
        <v>714</v>
      </c>
      <c r="D923" s="3" t="s">
        <v>752</v>
      </c>
      <c r="E923" s="2" t="s">
        <v>16</v>
      </c>
      <c r="F923" s="6" t="s">
        <v>2462</v>
      </c>
      <c r="G923" s="8" t="str">
        <f>IF(ISNA(VLOOKUP(B923&amp;"|"&amp;C923&amp;"|"&amp;D923&amp;"|"&amp;E923,QuestionTriggers!A:F,6,FALSE)),"","---&gt;")</f>
        <v/>
      </c>
      <c r="H923" s="2" t="s">
        <v>753</v>
      </c>
      <c r="I923" s="2" t="s">
        <v>754</v>
      </c>
      <c r="J923" s="2" t="s">
        <v>755</v>
      </c>
      <c r="K923" s="2"/>
    </row>
    <row r="924" spans="1:11" hidden="1" x14ac:dyDescent="0.3">
      <c r="A924" s="43" t="str">
        <f t="shared" si="14"/>
        <v>Moonglow|Christen|NAME</v>
      </c>
      <c r="B924" s="2" t="s">
        <v>713</v>
      </c>
      <c r="C924" s="2" t="s">
        <v>714</v>
      </c>
      <c r="D924" s="3" t="s">
        <v>752</v>
      </c>
      <c r="E924" s="34" t="s">
        <v>12</v>
      </c>
      <c r="F924" s="2" t="s">
        <v>752</v>
      </c>
      <c r="G924" s="8" t="str">
        <f>IF(ISNA(VLOOKUP(B924&amp;"|"&amp;C924&amp;"|"&amp;D924&amp;"|"&amp;E924,QuestionTriggers!A:F,6,FALSE)),"","---&gt;")</f>
        <v/>
      </c>
      <c r="H924" s="2" t="s">
        <v>753</v>
      </c>
      <c r="I924" s="2" t="s">
        <v>754</v>
      </c>
      <c r="J924" s="2" t="s">
        <v>755</v>
      </c>
      <c r="K924" s="2"/>
    </row>
    <row r="925" spans="1:11" hidden="1" x14ac:dyDescent="0.3">
      <c r="A925" t="str">
        <f t="shared" si="14"/>
        <v>Moonglow|Cosima|ALCH</v>
      </c>
      <c r="B925" s="2" t="s">
        <v>713</v>
      </c>
      <c r="C925" s="2" t="s">
        <v>714</v>
      </c>
      <c r="D925" s="26" t="s">
        <v>793</v>
      </c>
      <c r="E925" s="26" t="s">
        <v>799</v>
      </c>
      <c r="F925" s="26" t="s">
        <v>800</v>
      </c>
      <c r="G925" s="8" t="str">
        <f>IF(ISNA(VLOOKUP(B925&amp;"|"&amp;C925&amp;"|"&amp;D925&amp;"|"&amp;E925,QuestionTriggers!A:F,6,FALSE)),"","---&gt;")</f>
        <v/>
      </c>
      <c r="H925" s="2" t="s">
        <v>794</v>
      </c>
      <c r="I925" s="2" t="s">
        <v>349</v>
      </c>
      <c r="J925" s="2" t="s">
        <v>795</v>
      </c>
      <c r="K925" s="2"/>
    </row>
    <row r="926" spans="1:11" hidden="1" x14ac:dyDescent="0.3">
      <c r="A926" t="str">
        <f t="shared" si="14"/>
        <v>Moonglow|Cosima|HEALTH</v>
      </c>
      <c r="B926" s="2" t="s">
        <v>713</v>
      </c>
      <c r="C926" s="2" t="s">
        <v>714</v>
      </c>
      <c r="D926" s="26" t="s">
        <v>793</v>
      </c>
      <c r="E926" s="26" t="s">
        <v>20</v>
      </c>
      <c r="F926" s="26" t="s">
        <v>798</v>
      </c>
      <c r="G926" s="8" t="str">
        <f>IF(ISNA(VLOOKUP(B926&amp;"|"&amp;C926&amp;"|"&amp;D926&amp;"|"&amp;E926,QuestionTriggers!A:F,6,FALSE)),"","---&gt;")</f>
        <v/>
      </c>
      <c r="H926" s="2" t="s">
        <v>794</v>
      </c>
      <c r="I926" s="2" t="s">
        <v>349</v>
      </c>
      <c r="J926" s="2" t="s">
        <v>795</v>
      </c>
      <c r="K926" s="2"/>
    </row>
    <row r="927" spans="1:11" hidden="1" x14ac:dyDescent="0.3">
      <c r="A927" t="str">
        <f t="shared" si="14"/>
        <v>Moonglow|Cosima|JOB</v>
      </c>
      <c r="B927" s="2" t="s">
        <v>713</v>
      </c>
      <c r="C927" s="2" t="s">
        <v>714</v>
      </c>
      <c r="D927" s="26" t="s">
        <v>793</v>
      </c>
      <c r="E927" s="26" t="s">
        <v>18</v>
      </c>
      <c r="F927" s="26" t="s">
        <v>797</v>
      </c>
      <c r="G927" s="8" t="str">
        <f>IF(ISNA(VLOOKUP(B927&amp;"|"&amp;C927&amp;"|"&amp;D927&amp;"|"&amp;E927,QuestionTriggers!A:F,6,FALSE)),"","---&gt;")</f>
        <v/>
      </c>
      <c r="H927" s="2" t="s">
        <v>794</v>
      </c>
      <c r="I927" s="2" t="s">
        <v>349</v>
      </c>
      <c r="J927" s="2" t="s">
        <v>795</v>
      </c>
      <c r="K927" s="2"/>
    </row>
    <row r="928" spans="1:11" hidden="1" x14ac:dyDescent="0.3">
      <c r="A928" t="str">
        <f t="shared" si="14"/>
        <v>Moonglow|Cosima|LOOK</v>
      </c>
      <c r="B928" s="2" t="s">
        <v>713</v>
      </c>
      <c r="C928" s="2" t="s">
        <v>714</v>
      </c>
      <c r="D928" s="26" t="s">
        <v>793</v>
      </c>
      <c r="E928" s="26" t="s">
        <v>16</v>
      </c>
      <c r="F928" s="26" t="s">
        <v>796</v>
      </c>
      <c r="G928" s="8" t="str">
        <f>IF(ISNA(VLOOKUP(B928&amp;"|"&amp;C928&amp;"|"&amp;D928&amp;"|"&amp;E928,QuestionTriggers!A:F,6,FALSE)),"","---&gt;")</f>
        <v/>
      </c>
      <c r="H928" s="2" t="s">
        <v>794</v>
      </c>
      <c r="I928" s="2" t="s">
        <v>349</v>
      </c>
      <c r="J928" s="2" t="s">
        <v>795</v>
      </c>
      <c r="K928" s="2"/>
    </row>
    <row r="929" spans="1:11" hidden="1" x14ac:dyDescent="0.3">
      <c r="A929" t="str">
        <f t="shared" si="14"/>
        <v>Moonglow|Cosima|NAME</v>
      </c>
      <c r="B929" s="2" t="s">
        <v>713</v>
      </c>
      <c r="C929" s="2" t="s">
        <v>714</v>
      </c>
      <c r="D929" s="26" t="s">
        <v>793</v>
      </c>
      <c r="E929" s="26" t="s">
        <v>12</v>
      </c>
      <c r="F929" s="26" t="s">
        <v>793</v>
      </c>
      <c r="G929" s="8" t="str">
        <f>IF(ISNA(VLOOKUP(B929&amp;"|"&amp;C929&amp;"|"&amp;D929&amp;"|"&amp;E929,QuestionTriggers!A:F,6,FALSE)),"","---&gt;")</f>
        <v/>
      </c>
      <c r="H929" s="2" t="s">
        <v>794</v>
      </c>
      <c r="I929" s="2" t="s">
        <v>349</v>
      </c>
      <c r="J929" s="2" t="s">
        <v>795</v>
      </c>
      <c r="K929" s="2"/>
    </row>
    <row r="930" spans="1:11" hidden="1" x14ac:dyDescent="0.3">
      <c r="A930" t="str">
        <f t="shared" si="14"/>
        <v>Moonglow|Cosima|REAG</v>
      </c>
      <c r="B930" s="2" t="s">
        <v>713</v>
      </c>
      <c r="C930" s="2" t="s">
        <v>714</v>
      </c>
      <c r="D930" s="26" t="s">
        <v>793</v>
      </c>
      <c r="E930" s="26" t="s">
        <v>801</v>
      </c>
      <c r="F930" s="26" t="s">
        <v>802</v>
      </c>
      <c r="G930" s="8" t="str">
        <f>IF(ISNA(VLOOKUP(B930&amp;"|"&amp;C930&amp;"|"&amp;D930&amp;"|"&amp;E930,QuestionTriggers!A:F,6,FALSE)),"","---&gt;")</f>
        <v>---&gt;</v>
      </c>
      <c r="H930" s="2" t="s">
        <v>794</v>
      </c>
      <c r="I930" s="2" t="s">
        <v>349</v>
      </c>
      <c r="J930" s="2" t="s">
        <v>795</v>
      </c>
      <c r="K930" s="2"/>
    </row>
    <row r="931" spans="1:11" hidden="1" x14ac:dyDescent="0.3">
      <c r="A931" s="43" t="str">
        <f t="shared" si="14"/>
        <v>Moonglow|Cromwell|JOB</v>
      </c>
      <c r="B931" s="2" t="s">
        <v>713</v>
      </c>
      <c r="C931" s="2" t="s">
        <v>714</v>
      </c>
      <c r="D931" s="3" t="s">
        <v>735</v>
      </c>
      <c r="E931" s="34" t="s">
        <v>18</v>
      </c>
      <c r="F931" s="2" t="s">
        <v>740</v>
      </c>
      <c r="G931" s="8" t="str">
        <f>IF(ISNA(VLOOKUP(B931&amp;"|"&amp;C931&amp;"|"&amp;D931&amp;"|"&amp;E931,QuestionTriggers!A:F,6,FALSE)),"","---&gt;")</f>
        <v/>
      </c>
      <c r="H931" s="2" t="s">
        <v>736</v>
      </c>
      <c r="I931" s="2" t="s">
        <v>737</v>
      </c>
      <c r="J931" s="2" t="s">
        <v>738</v>
      </c>
      <c r="K931" s="2"/>
    </row>
    <row r="932" spans="1:11" hidden="1" x14ac:dyDescent="0.3">
      <c r="A932" s="43" t="str">
        <f t="shared" si="14"/>
        <v>Moonglow|Cromwell|HONE</v>
      </c>
      <c r="B932" s="2" t="s">
        <v>713</v>
      </c>
      <c r="C932" s="2" t="s">
        <v>714</v>
      </c>
      <c r="D932" s="3" t="s">
        <v>735</v>
      </c>
      <c r="E932" s="2" t="s">
        <v>239</v>
      </c>
      <c r="F932" s="2" t="s">
        <v>741</v>
      </c>
      <c r="G932" s="8" t="str">
        <f>IF(ISNA(VLOOKUP(B932&amp;"|"&amp;C932&amp;"|"&amp;D932&amp;"|"&amp;E932,QuestionTriggers!A:F,6,FALSE)),"","---&gt;")</f>
        <v/>
      </c>
      <c r="H932" s="2" t="s">
        <v>736</v>
      </c>
      <c r="I932" s="2" t="s">
        <v>737</v>
      </c>
      <c r="J932" s="2" t="s">
        <v>738</v>
      </c>
      <c r="K932" s="2"/>
    </row>
    <row r="933" spans="1:11" hidden="1" x14ac:dyDescent="0.3">
      <c r="A933" s="43" t="str">
        <f t="shared" si="14"/>
        <v>Moonglow|Cromwell|JOB</v>
      </c>
      <c r="B933" s="2" t="s">
        <v>713</v>
      </c>
      <c r="C933" s="2" t="s">
        <v>714</v>
      </c>
      <c r="D933" s="3" t="s">
        <v>735</v>
      </c>
      <c r="E933" s="2" t="s">
        <v>18</v>
      </c>
      <c r="F933" s="2" t="s">
        <v>739</v>
      </c>
      <c r="G933" s="8" t="str">
        <f>IF(ISNA(VLOOKUP(B933&amp;"|"&amp;C933&amp;"|"&amp;D933&amp;"|"&amp;E933,QuestionTriggers!A:F,6,FALSE)),"","---&gt;")</f>
        <v/>
      </c>
      <c r="H933" s="2" t="s">
        <v>736</v>
      </c>
      <c r="I933" s="2" t="s">
        <v>737</v>
      </c>
      <c r="J933" s="2" t="s">
        <v>738</v>
      </c>
      <c r="K933" s="2"/>
    </row>
    <row r="934" spans="1:11" hidden="1" x14ac:dyDescent="0.3">
      <c r="A934" s="43" t="str">
        <f t="shared" si="14"/>
        <v>Moonglow|Cromwell|LOOK</v>
      </c>
      <c r="B934" s="2" t="s">
        <v>713</v>
      </c>
      <c r="C934" s="2" t="s">
        <v>714</v>
      </c>
      <c r="D934" s="3" t="s">
        <v>735</v>
      </c>
      <c r="E934" s="34" t="s">
        <v>16</v>
      </c>
      <c r="F934" s="6" t="s">
        <v>2463</v>
      </c>
      <c r="G934" s="8" t="str">
        <f>IF(ISNA(VLOOKUP(B934&amp;"|"&amp;C934&amp;"|"&amp;D934&amp;"|"&amp;E934,QuestionTriggers!A:F,6,FALSE)),"","---&gt;")</f>
        <v/>
      </c>
      <c r="H934" s="2" t="s">
        <v>736</v>
      </c>
      <c r="I934" s="2" t="s">
        <v>737</v>
      </c>
      <c r="J934" s="2" t="s">
        <v>738</v>
      </c>
      <c r="K934" s="2"/>
    </row>
    <row r="935" spans="1:11" hidden="1" x14ac:dyDescent="0.3">
      <c r="A935" s="43" t="str">
        <f t="shared" si="14"/>
        <v>Moonglow|Cromwell|MANT</v>
      </c>
      <c r="B935" s="2" t="s">
        <v>713</v>
      </c>
      <c r="C935" s="2" t="s">
        <v>714</v>
      </c>
      <c r="D935" s="3" t="s">
        <v>735</v>
      </c>
      <c r="E935" s="2" t="s">
        <v>742</v>
      </c>
      <c r="F935" s="6" t="s">
        <v>2465</v>
      </c>
      <c r="G935" s="8" t="str">
        <f>IF(ISNA(VLOOKUP(B935&amp;"|"&amp;C935&amp;"|"&amp;D935&amp;"|"&amp;E935,QuestionTriggers!A:F,6,FALSE)),"","---&gt;")</f>
        <v>---&gt;</v>
      </c>
      <c r="H935" s="2" t="s">
        <v>736</v>
      </c>
      <c r="I935" s="2" t="s">
        <v>737</v>
      </c>
      <c r="J935" s="2" t="s">
        <v>738</v>
      </c>
      <c r="K935" s="2"/>
    </row>
    <row r="936" spans="1:11" hidden="1" x14ac:dyDescent="0.3">
      <c r="A936" s="43" t="str">
        <f t="shared" si="14"/>
        <v>Moonglow|Cromwell|NAME</v>
      </c>
      <c r="B936" s="2" t="s">
        <v>713</v>
      </c>
      <c r="C936" s="2" t="s">
        <v>714</v>
      </c>
      <c r="D936" s="3" t="s">
        <v>735</v>
      </c>
      <c r="E936" s="34" t="s">
        <v>12</v>
      </c>
      <c r="F936" s="2" t="s">
        <v>735</v>
      </c>
      <c r="G936" s="8" t="str">
        <f>IF(ISNA(VLOOKUP(B936&amp;"|"&amp;C936&amp;"|"&amp;D936&amp;"|"&amp;E936,QuestionTriggers!A:F,6,FALSE)),"","---&gt;")</f>
        <v/>
      </c>
      <c r="H936" s="2" t="s">
        <v>736</v>
      </c>
      <c r="I936" s="2" t="s">
        <v>737</v>
      </c>
      <c r="J936" s="2" t="s">
        <v>738</v>
      </c>
      <c r="K936" s="2"/>
    </row>
    <row r="937" spans="1:11" s="17" customFormat="1" hidden="1" x14ac:dyDescent="0.3">
      <c r="A937" s="17" t="str">
        <f t="shared" si="14"/>
        <v>Moonglow|Daranor|HEALTH</v>
      </c>
      <c r="B937" s="15" t="s">
        <v>713</v>
      </c>
      <c r="C937" s="15" t="s">
        <v>714</v>
      </c>
      <c r="D937" s="26" t="s">
        <v>803</v>
      </c>
      <c r="E937" s="26" t="s">
        <v>20</v>
      </c>
      <c r="F937" s="26" t="s">
        <v>809</v>
      </c>
      <c r="G937" s="16" t="str">
        <f>IF(ISNA(VLOOKUP(B937&amp;"|"&amp;C937&amp;"|"&amp;D937&amp;"|"&amp;E937,QuestionTriggers!A:F,6,FALSE)),"","---&gt;")</f>
        <v/>
      </c>
      <c r="H937" s="15" t="s">
        <v>804</v>
      </c>
      <c r="I937" s="15" t="s">
        <v>805</v>
      </c>
      <c r="J937" s="15" t="s">
        <v>806</v>
      </c>
      <c r="K937" s="15"/>
    </row>
    <row r="938" spans="1:11" s="17" customFormat="1" hidden="1" x14ac:dyDescent="0.3">
      <c r="A938" s="17" t="str">
        <f t="shared" si="14"/>
        <v>Moonglow|Daranor|JOB</v>
      </c>
      <c r="B938" s="15" t="s">
        <v>713</v>
      </c>
      <c r="C938" s="15" t="s">
        <v>714</v>
      </c>
      <c r="D938" s="26" t="s">
        <v>803</v>
      </c>
      <c r="E938" s="26" t="s">
        <v>18</v>
      </c>
      <c r="F938" s="26" t="s">
        <v>808</v>
      </c>
      <c r="G938" s="16" t="str">
        <f>IF(ISNA(VLOOKUP(B938&amp;"|"&amp;C938&amp;"|"&amp;D938&amp;"|"&amp;E938,QuestionTriggers!A:F,6,FALSE)),"","---&gt;")</f>
        <v/>
      </c>
      <c r="H938" s="15" t="s">
        <v>804</v>
      </c>
      <c r="I938" s="15" t="s">
        <v>805</v>
      </c>
      <c r="J938" s="15" t="s">
        <v>806</v>
      </c>
      <c r="K938" s="15"/>
    </row>
    <row r="939" spans="1:11" s="17" customFormat="1" hidden="1" x14ac:dyDescent="0.3">
      <c r="A939" s="17" t="str">
        <f t="shared" si="14"/>
        <v>Moonglow|Daranor|LOOK</v>
      </c>
      <c r="B939" s="15" t="s">
        <v>713</v>
      </c>
      <c r="C939" s="15" t="s">
        <v>714</v>
      </c>
      <c r="D939" s="26" t="s">
        <v>803</v>
      </c>
      <c r="E939" s="26" t="s">
        <v>16</v>
      </c>
      <c r="F939" s="26" t="s">
        <v>807</v>
      </c>
      <c r="G939" s="16" t="str">
        <f>IF(ISNA(VLOOKUP(B939&amp;"|"&amp;C939&amp;"|"&amp;D939&amp;"|"&amp;E939,QuestionTriggers!A:F,6,FALSE)),"","---&gt;")</f>
        <v/>
      </c>
      <c r="H939" s="15" t="s">
        <v>804</v>
      </c>
      <c r="I939" s="15" t="s">
        <v>805</v>
      </c>
      <c r="J939" s="15" t="s">
        <v>806</v>
      </c>
      <c r="K939" s="15"/>
    </row>
    <row r="940" spans="1:11" s="17" customFormat="1" hidden="1" x14ac:dyDescent="0.3">
      <c r="A940" s="17" t="str">
        <f t="shared" si="14"/>
        <v>Moonglow|Daranor|MOON</v>
      </c>
      <c r="B940" s="15" t="s">
        <v>713</v>
      </c>
      <c r="C940" s="15" t="s">
        <v>714</v>
      </c>
      <c r="D940" s="26" t="s">
        <v>803</v>
      </c>
      <c r="E940" s="26" t="s">
        <v>812</v>
      </c>
      <c r="F940" s="26" t="s">
        <v>813</v>
      </c>
      <c r="G940" s="16" t="str">
        <f>IF(ISNA(VLOOKUP(B940&amp;"|"&amp;C940&amp;"|"&amp;D940&amp;"|"&amp;E940,QuestionTriggers!A:F,6,FALSE)),"","---&gt;")</f>
        <v>---&gt;</v>
      </c>
      <c r="H940" s="15" t="s">
        <v>804</v>
      </c>
      <c r="I940" s="15" t="s">
        <v>805</v>
      </c>
      <c r="J940" s="15" t="s">
        <v>806</v>
      </c>
      <c r="K940" s="15"/>
    </row>
    <row r="941" spans="1:11" s="17" customFormat="1" hidden="1" x14ac:dyDescent="0.3">
      <c r="A941" s="17" t="str">
        <f t="shared" si="14"/>
        <v>Moonglow|Daranor|NAME</v>
      </c>
      <c r="B941" s="15" t="s">
        <v>713</v>
      </c>
      <c r="C941" s="15" t="s">
        <v>714</v>
      </c>
      <c r="D941" s="26" t="s">
        <v>803</v>
      </c>
      <c r="E941" s="26" t="s">
        <v>12</v>
      </c>
      <c r="F941" s="26" t="s">
        <v>803</v>
      </c>
      <c r="G941" s="16" t="str">
        <f>IF(ISNA(VLOOKUP(B941&amp;"|"&amp;C941&amp;"|"&amp;D941&amp;"|"&amp;E941,QuestionTriggers!A:F,6,FALSE)),"","---&gt;")</f>
        <v/>
      </c>
      <c r="H941" s="15" t="s">
        <v>804</v>
      </c>
      <c r="I941" s="15" t="s">
        <v>805</v>
      </c>
      <c r="J941" s="15" t="s">
        <v>806</v>
      </c>
      <c r="K941" s="15"/>
    </row>
    <row r="942" spans="1:11" s="17" customFormat="1" hidden="1" x14ac:dyDescent="0.3">
      <c r="A942" s="17" t="str">
        <f t="shared" si="14"/>
        <v>Moonglow|Daranor|SUN</v>
      </c>
      <c r="B942" s="15" t="s">
        <v>713</v>
      </c>
      <c r="C942" s="15" t="s">
        <v>714</v>
      </c>
      <c r="D942" s="26" t="s">
        <v>803</v>
      </c>
      <c r="E942" s="26" t="s">
        <v>810</v>
      </c>
      <c r="F942" s="26" t="s">
        <v>811</v>
      </c>
      <c r="G942" s="16" t="str">
        <f>IF(ISNA(VLOOKUP(B942&amp;"|"&amp;C942&amp;"|"&amp;D942&amp;"|"&amp;E942,QuestionTriggers!A:F,6,FALSE)),"","---&gt;")</f>
        <v/>
      </c>
      <c r="H942" s="15" t="s">
        <v>804</v>
      </c>
      <c r="I942" s="15" t="s">
        <v>805</v>
      </c>
      <c r="J942" s="15" t="s">
        <v>806</v>
      </c>
      <c r="K942" s="15"/>
    </row>
    <row r="943" spans="1:11" hidden="1" x14ac:dyDescent="0.3">
      <c r="A943" t="str">
        <f t="shared" si="14"/>
        <v>Moonglow|Dekker|HEALTH</v>
      </c>
      <c r="B943" s="2" t="s">
        <v>713</v>
      </c>
      <c r="C943" s="2" t="s">
        <v>714</v>
      </c>
      <c r="D943" s="26" t="s">
        <v>833</v>
      </c>
      <c r="E943" s="26" t="s">
        <v>20</v>
      </c>
      <c r="F943" s="26" t="s">
        <v>312</v>
      </c>
      <c r="G943" s="8" t="str">
        <f>IF(ISNA(VLOOKUP(B943&amp;"|"&amp;C943&amp;"|"&amp;D943&amp;"|"&amp;E943,QuestionTriggers!A:F,6,FALSE)),"","---&gt;")</f>
        <v/>
      </c>
      <c r="H943" s="2" t="s">
        <v>611</v>
      </c>
      <c r="I943" s="2" t="s">
        <v>834</v>
      </c>
      <c r="J943" s="2" t="s">
        <v>835</v>
      </c>
      <c r="K943" s="2"/>
    </row>
    <row r="944" spans="1:11" hidden="1" x14ac:dyDescent="0.3">
      <c r="A944" t="str">
        <f t="shared" si="14"/>
        <v>Moonglow|Dekker|HONE</v>
      </c>
      <c r="B944" s="2" t="s">
        <v>713</v>
      </c>
      <c r="C944" s="2" t="s">
        <v>714</v>
      </c>
      <c r="D944" s="26" t="s">
        <v>833</v>
      </c>
      <c r="E944" s="26" t="s">
        <v>239</v>
      </c>
      <c r="F944" s="26" t="s">
        <v>838</v>
      </c>
      <c r="G944" s="8" t="str">
        <f>IF(ISNA(VLOOKUP(B944&amp;"|"&amp;C944&amp;"|"&amp;D944&amp;"|"&amp;E944,QuestionTriggers!A:F,6,FALSE)),"","---&gt;")</f>
        <v/>
      </c>
      <c r="H944" s="2" t="s">
        <v>611</v>
      </c>
      <c r="I944" s="2" t="s">
        <v>834</v>
      </c>
      <c r="J944" s="2" t="s">
        <v>835</v>
      </c>
      <c r="K944" s="2"/>
    </row>
    <row r="945" spans="1:11" hidden="1" x14ac:dyDescent="0.3">
      <c r="A945" t="str">
        <f t="shared" si="14"/>
        <v>Moonglow|Dekker|JEST</v>
      </c>
      <c r="B945" s="2" t="s">
        <v>713</v>
      </c>
      <c r="C945" s="2" t="s">
        <v>714</v>
      </c>
      <c r="D945" s="26" t="s">
        <v>833</v>
      </c>
      <c r="E945" s="26" t="s">
        <v>22</v>
      </c>
      <c r="F945" s="26" t="s">
        <v>839</v>
      </c>
      <c r="G945" s="8" t="str">
        <f>IF(ISNA(VLOOKUP(B945&amp;"|"&amp;C945&amp;"|"&amp;D945&amp;"|"&amp;E945,QuestionTriggers!A:F,6,FALSE)),"","---&gt;")</f>
        <v>---&gt;</v>
      </c>
      <c r="H945" s="2" t="s">
        <v>611</v>
      </c>
      <c r="I945" s="2" t="s">
        <v>834</v>
      </c>
      <c r="J945" s="2" t="s">
        <v>835</v>
      </c>
      <c r="K945" s="2"/>
    </row>
    <row r="946" spans="1:11" hidden="1" x14ac:dyDescent="0.3">
      <c r="A946" t="str">
        <f t="shared" si="14"/>
        <v>Moonglow|Dekker|JOB</v>
      </c>
      <c r="B946" s="2" t="s">
        <v>713</v>
      </c>
      <c r="C946" s="2" t="s">
        <v>714</v>
      </c>
      <c r="D946" s="26" t="s">
        <v>833</v>
      </c>
      <c r="E946" s="26" t="s">
        <v>18</v>
      </c>
      <c r="F946" s="26" t="s">
        <v>837</v>
      </c>
      <c r="G946" s="8" t="str">
        <f>IF(ISNA(VLOOKUP(B946&amp;"|"&amp;C946&amp;"|"&amp;D946&amp;"|"&amp;E946,QuestionTriggers!A:F,6,FALSE)),"","---&gt;")</f>
        <v/>
      </c>
      <c r="H946" s="2" t="s">
        <v>611</v>
      </c>
      <c r="I946" s="2" t="s">
        <v>834</v>
      </c>
      <c r="J946" s="2" t="s">
        <v>835</v>
      </c>
      <c r="K946" s="2"/>
    </row>
    <row r="947" spans="1:11" hidden="1" x14ac:dyDescent="0.3">
      <c r="A947" t="str">
        <f t="shared" si="14"/>
        <v>Moonglow|Dekker|LOOK</v>
      </c>
      <c r="B947" s="2" t="s">
        <v>713</v>
      </c>
      <c r="C947" s="2" t="s">
        <v>714</v>
      </c>
      <c r="D947" s="26" t="s">
        <v>833</v>
      </c>
      <c r="E947" s="26" t="s">
        <v>16</v>
      </c>
      <c r="F947" s="26" t="s">
        <v>836</v>
      </c>
      <c r="G947" s="8" t="str">
        <f>IF(ISNA(VLOOKUP(B947&amp;"|"&amp;C947&amp;"|"&amp;D947&amp;"|"&amp;E947,QuestionTriggers!A:F,6,FALSE)),"","---&gt;")</f>
        <v/>
      </c>
      <c r="H947" s="2" t="s">
        <v>611</v>
      </c>
      <c r="I947" s="2" t="s">
        <v>834</v>
      </c>
      <c r="J947" s="2" t="s">
        <v>835</v>
      </c>
      <c r="K947" s="2"/>
    </row>
    <row r="948" spans="1:11" hidden="1" x14ac:dyDescent="0.3">
      <c r="A948" t="str">
        <f t="shared" si="14"/>
        <v>Moonglow|Dekker|NAME</v>
      </c>
      <c r="B948" s="2" t="s">
        <v>713</v>
      </c>
      <c r="C948" s="2" t="s">
        <v>714</v>
      </c>
      <c r="D948" s="26" t="s">
        <v>833</v>
      </c>
      <c r="E948" s="26" t="s">
        <v>12</v>
      </c>
      <c r="F948" s="26" t="s">
        <v>833</v>
      </c>
      <c r="G948" s="8" t="str">
        <f>IF(ISNA(VLOOKUP(B948&amp;"|"&amp;C948&amp;"|"&amp;D948&amp;"|"&amp;E948,QuestionTriggers!A:F,6,FALSE)),"","---&gt;")</f>
        <v/>
      </c>
      <c r="H948" s="2" t="s">
        <v>611</v>
      </c>
      <c r="I948" s="2" t="s">
        <v>834</v>
      </c>
      <c r="J948" s="2" t="s">
        <v>835</v>
      </c>
      <c r="K948" s="2"/>
    </row>
    <row r="949" spans="1:11" ht="26.4" hidden="1" x14ac:dyDescent="0.3">
      <c r="A949" t="str">
        <f t="shared" si="14"/>
        <v>Moonglow|Inoo|FORT</v>
      </c>
      <c r="B949" s="2" t="s">
        <v>713</v>
      </c>
      <c r="C949" s="2" t="s">
        <v>714</v>
      </c>
      <c r="D949" s="32" t="s">
        <v>814</v>
      </c>
      <c r="E949" s="32" t="s">
        <v>823</v>
      </c>
      <c r="F949" s="32" t="s">
        <v>824</v>
      </c>
      <c r="G949" s="8" t="str">
        <f>IF(ISNA(VLOOKUP(B949&amp;"|"&amp;C949&amp;"|"&amp;D949&amp;"|"&amp;E949,QuestionTriggers!A:F,6,FALSE)),"","---&gt;")</f>
        <v>---&gt;</v>
      </c>
      <c r="H949" s="2" t="s">
        <v>815</v>
      </c>
      <c r="I949" s="2" t="s">
        <v>816</v>
      </c>
      <c r="J949" s="2" t="s">
        <v>817</v>
      </c>
      <c r="K949" s="2"/>
    </row>
    <row r="950" spans="1:11" ht="26.4" hidden="1" x14ac:dyDescent="0.3">
      <c r="A950" t="str">
        <f t="shared" si="14"/>
        <v>Moonglow|Inoo|HEALTH</v>
      </c>
      <c r="B950" s="2" t="s">
        <v>713</v>
      </c>
      <c r="C950" s="2" t="s">
        <v>714</v>
      </c>
      <c r="D950" s="32" t="s">
        <v>814</v>
      </c>
      <c r="E950" s="32" t="s">
        <v>20</v>
      </c>
      <c r="F950" s="32" t="s">
        <v>820</v>
      </c>
      <c r="G950" s="8" t="str">
        <f>IF(ISNA(VLOOKUP(B950&amp;"|"&amp;C950&amp;"|"&amp;D950&amp;"|"&amp;E950,QuestionTriggers!A:F,6,FALSE)),"","---&gt;")</f>
        <v/>
      </c>
      <c r="H950" s="2" t="s">
        <v>815</v>
      </c>
      <c r="I950" s="2" t="s">
        <v>816</v>
      </c>
      <c r="J950" s="2" t="s">
        <v>817</v>
      </c>
      <c r="K950" s="2"/>
    </row>
    <row r="951" spans="1:11" ht="26.4" hidden="1" x14ac:dyDescent="0.3">
      <c r="A951" t="str">
        <f t="shared" si="14"/>
        <v>Moonglow|Inoo|JOB</v>
      </c>
      <c r="B951" s="2" t="s">
        <v>713</v>
      </c>
      <c r="C951" s="2" t="s">
        <v>714</v>
      </c>
      <c r="D951" s="32" t="s">
        <v>814</v>
      </c>
      <c r="E951" s="32" t="s">
        <v>18</v>
      </c>
      <c r="F951" s="32" t="s">
        <v>819</v>
      </c>
      <c r="G951" s="8" t="str">
        <f>IF(ISNA(VLOOKUP(B951&amp;"|"&amp;C951&amp;"|"&amp;D951&amp;"|"&amp;E951,QuestionTriggers!A:F,6,FALSE)),"","---&gt;")</f>
        <v/>
      </c>
      <c r="H951" s="2" t="s">
        <v>815</v>
      </c>
      <c r="I951" s="2" t="s">
        <v>816</v>
      </c>
      <c r="J951" s="2" t="s">
        <v>817</v>
      </c>
      <c r="K951" s="2"/>
    </row>
    <row r="952" spans="1:11" ht="26.4" hidden="1" x14ac:dyDescent="0.3">
      <c r="A952" t="str">
        <f t="shared" si="14"/>
        <v>Moonglow|Inoo|LOOK</v>
      </c>
      <c r="B952" s="2" t="s">
        <v>713</v>
      </c>
      <c r="C952" s="2" t="s">
        <v>714</v>
      </c>
      <c r="D952" s="32" t="s">
        <v>814</v>
      </c>
      <c r="E952" s="32" t="s">
        <v>16</v>
      </c>
      <c r="F952" s="32" t="s">
        <v>818</v>
      </c>
      <c r="G952" s="8" t="str">
        <f>IF(ISNA(VLOOKUP(B952&amp;"|"&amp;C952&amp;"|"&amp;D952&amp;"|"&amp;E952,QuestionTriggers!A:F,6,FALSE)),"","---&gt;")</f>
        <v/>
      </c>
      <c r="H952" s="2" t="s">
        <v>815</v>
      </c>
      <c r="I952" s="2" t="s">
        <v>816</v>
      </c>
      <c r="J952" s="2" t="s">
        <v>817</v>
      </c>
      <c r="K952" s="2"/>
    </row>
    <row r="953" spans="1:11" ht="26.4" hidden="1" x14ac:dyDescent="0.3">
      <c r="A953" t="str">
        <f t="shared" si="14"/>
        <v>Moonglow|Inoo|NAME</v>
      </c>
      <c r="B953" s="2" t="s">
        <v>713</v>
      </c>
      <c r="C953" s="2" t="s">
        <v>714</v>
      </c>
      <c r="D953" s="32" t="s">
        <v>814</v>
      </c>
      <c r="E953" s="32" t="s">
        <v>12</v>
      </c>
      <c r="F953" s="32" t="s">
        <v>814</v>
      </c>
      <c r="G953" s="8" t="str">
        <f>IF(ISNA(VLOOKUP(B953&amp;"|"&amp;C953&amp;"|"&amp;D953&amp;"|"&amp;E953,QuestionTriggers!A:F,6,FALSE)),"","---&gt;")</f>
        <v/>
      </c>
      <c r="H953" s="2" t="s">
        <v>815</v>
      </c>
      <c r="I953" s="2" t="s">
        <v>816</v>
      </c>
      <c r="J953" s="2" t="s">
        <v>817</v>
      </c>
      <c r="K953" s="2"/>
    </row>
    <row r="954" spans="1:11" ht="26.4" hidden="1" x14ac:dyDescent="0.3">
      <c r="A954" t="str">
        <f t="shared" si="14"/>
        <v>Moonglow|Inoo|PALM</v>
      </c>
      <c r="B954" s="2" t="s">
        <v>713</v>
      </c>
      <c r="C954" s="2" t="s">
        <v>714</v>
      </c>
      <c r="D954" s="32" t="s">
        <v>814</v>
      </c>
      <c r="E954" s="32" t="s">
        <v>821</v>
      </c>
      <c r="F954" s="32" t="s">
        <v>822</v>
      </c>
      <c r="G954" s="8" t="str">
        <f>IF(ISNA(VLOOKUP(B954&amp;"|"&amp;C954&amp;"|"&amp;D954&amp;"|"&amp;E954,QuestionTriggers!A:F,6,FALSE)),"","---&gt;")</f>
        <v/>
      </c>
      <c r="H954" s="2" t="s">
        <v>815</v>
      </c>
      <c r="I954" s="2" t="s">
        <v>816</v>
      </c>
      <c r="J954" s="2" t="s">
        <v>817</v>
      </c>
      <c r="K954" s="2"/>
    </row>
    <row r="955" spans="1:11" hidden="1" x14ac:dyDescent="0.3">
      <c r="A955" s="43" t="str">
        <f t="shared" si="14"/>
        <v>Moonglow|Mariah|ADVE</v>
      </c>
      <c r="B955" s="2" t="s">
        <v>713</v>
      </c>
      <c r="C955" s="2" t="s">
        <v>714</v>
      </c>
      <c r="D955" s="3" t="s">
        <v>715</v>
      </c>
      <c r="E955" s="2" t="s">
        <v>721</v>
      </c>
      <c r="F955" s="2" t="s">
        <v>722</v>
      </c>
      <c r="G955" s="8" t="str">
        <f>IF(ISNA(VLOOKUP(B955&amp;"|"&amp;C955&amp;"|"&amp;D955&amp;"|"&amp;E955,QuestionTriggers!A:F,6,FALSE)),"","---&gt;")</f>
        <v/>
      </c>
      <c r="H955" s="2" t="s">
        <v>548</v>
      </c>
      <c r="I955" s="2" t="s">
        <v>716</v>
      </c>
      <c r="J955" s="2" t="s">
        <v>717</v>
      </c>
      <c r="K955" s="2"/>
    </row>
    <row r="956" spans="1:11" hidden="1" x14ac:dyDescent="0.3">
      <c r="A956" s="43" t="str">
        <f t="shared" si="14"/>
        <v>Moonglow|Mariah|JOB</v>
      </c>
      <c r="B956" s="2" t="s">
        <v>713</v>
      </c>
      <c r="C956" s="2" t="s">
        <v>714</v>
      </c>
      <c r="D956" s="3" t="s">
        <v>715</v>
      </c>
      <c r="E956" s="34" t="s">
        <v>18</v>
      </c>
      <c r="F956" s="2" t="s">
        <v>720</v>
      </c>
      <c r="G956" s="8" t="str">
        <f>IF(ISNA(VLOOKUP(B956&amp;"|"&amp;C956&amp;"|"&amp;D956&amp;"|"&amp;E956,QuestionTriggers!A:F,6,FALSE)),"","---&gt;")</f>
        <v/>
      </c>
      <c r="H956" s="2" t="s">
        <v>548</v>
      </c>
      <c r="I956" s="2" t="s">
        <v>716</v>
      </c>
      <c r="J956" s="2" t="s">
        <v>717</v>
      </c>
      <c r="K956" s="2"/>
    </row>
    <row r="957" spans="1:11" hidden="1" x14ac:dyDescent="0.3">
      <c r="A957" s="43" t="str">
        <f t="shared" si="14"/>
        <v>Moonglow|Mariah|JOB</v>
      </c>
      <c r="B957" s="2" t="s">
        <v>713</v>
      </c>
      <c r="C957" s="2" t="s">
        <v>714</v>
      </c>
      <c r="D957" s="3" t="s">
        <v>715</v>
      </c>
      <c r="E957" s="2" t="s">
        <v>18</v>
      </c>
      <c r="F957" s="2" t="s">
        <v>719</v>
      </c>
      <c r="G957" s="8" t="str">
        <f>IF(ISNA(VLOOKUP(B957&amp;"|"&amp;C957&amp;"|"&amp;D957&amp;"|"&amp;E957,QuestionTriggers!A:F,6,FALSE)),"","---&gt;")</f>
        <v/>
      </c>
      <c r="H957" s="2" t="s">
        <v>548</v>
      </c>
      <c r="I957" s="2" t="s">
        <v>716</v>
      </c>
      <c r="J957" s="2" t="s">
        <v>717</v>
      </c>
      <c r="K957" s="2"/>
    </row>
    <row r="958" spans="1:11" hidden="1" x14ac:dyDescent="0.3">
      <c r="A958" s="43" t="str">
        <f t="shared" si="14"/>
        <v>Moonglow|Mariah|LOOK</v>
      </c>
      <c r="B958" s="2" t="s">
        <v>713</v>
      </c>
      <c r="C958" s="2" t="s">
        <v>714</v>
      </c>
      <c r="D958" s="3" t="s">
        <v>715</v>
      </c>
      <c r="E958" s="34" t="s">
        <v>16</v>
      </c>
      <c r="F958" s="2" t="s">
        <v>718</v>
      </c>
      <c r="G958" s="8" t="str">
        <f>IF(ISNA(VLOOKUP(B958&amp;"|"&amp;C958&amp;"|"&amp;D958&amp;"|"&amp;E958,QuestionTriggers!A:F,6,FALSE)),"","---&gt;")</f>
        <v/>
      </c>
      <c r="H958" s="2" t="s">
        <v>548</v>
      </c>
      <c r="I958" s="2" t="s">
        <v>716</v>
      </c>
      <c r="J958" s="2" t="s">
        <v>717</v>
      </c>
      <c r="K958" s="2"/>
    </row>
    <row r="959" spans="1:11" hidden="1" x14ac:dyDescent="0.3">
      <c r="A959" s="43" t="str">
        <f t="shared" si="14"/>
        <v>Moonglow|Mariah|NAME</v>
      </c>
      <c r="B959" s="2" t="s">
        <v>713</v>
      </c>
      <c r="C959" s="2" t="s">
        <v>714</v>
      </c>
      <c r="D959" s="3" t="s">
        <v>715</v>
      </c>
      <c r="E959" s="34" t="s">
        <v>12</v>
      </c>
      <c r="F959" s="2" t="s">
        <v>715</v>
      </c>
      <c r="G959" s="8" t="str">
        <f>IF(ISNA(VLOOKUP(B959&amp;"|"&amp;C959&amp;"|"&amp;D959&amp;"|"&amp;E959,QuestionTriggers!A:F,6,FALSE)),"","---&gt;")</f>
        <v/>
      </c>
      <c r="H959" s="2" t="s">
        <v>548</v>
      </c>
      <c r="I959" s="2" t="s">
        <v>716</v>
      </c>
      <c r="J959" s="2" t="s">
        <v>717</v>
      </c>
      <c r="K959" s="2"/>
    </row>
    <row r="960" spans="1:11" hidden="1" x14ac:dyDescent="0.3">
      <c r="A960" s="43" t="str">
        <f t="shared" si="14"/>
        <v>Moonglow|Mariah|QUES</v>
      </c>
      <c r="B960" s="2" t="s">
        <v>713</v>
      </c>
      <c r="C960" s="2" t="s">
        <v>714</v>
      </c>
      <c r="D960" s="3" t="s">
        <v>715</v>
      </c>
      <c r="E960" s="2" t="s">
        <v>259</v>
      </c>
      <c r="F960" s="2" t="s">
        <v>723</v>
      </c>
      <c r="G960" s="8" t="str">
        <f>IF(ISNA(VLOOKUP(B960&amp;"|"&amp;C960&amp;"|"&amp;D960&amp;"|"&amp;E960,QuestionTriggers!A:F,6,FALSE)),"","---&gt;")</f>
        <v>---&gt;</v>
      </c>
      <c r="H960" s="2" t="s">
        <v>548</v>
      </c>
      <c r="I960" s="2" t="s">
        <v>716</v>
      </c>
      <c r="J960" s="2" t="s">
        <v>717</v>
      </c>
      <c r="K960" s="2"/>
    </row>
    <row r="961" spans="1:11" ht="26.4" hidden="1" x14ac:dyDescent="0.3">
      <c r="A961" s="43" t="str">
        <f t="shared" si="14"/>
        <v>Moonglow|Patric the Humble Shepherd|JOB</v>
      </c>
      <c r="B961" s="2" t="s">
        <v>713</v>
      </c>
      <c r="C961" s="2" t="s">
        <v>714</v>
      </c>
      <c r="D961" s="3" t="s">
        <v>759</v>
      </c>
      <c r="E961" s="34" t="s">
        <v>18</v>
      </c>
      <c r="F961" s="2" t="s">
        <v>486</v>
      </c>
      <c r="G961" s="8" t="str">
        <f>IF(ISNA(VLOOKUP(B961&amp;"|"&amp;C961&amp;"|"&amp;D961&amp;"|"&amp;E961,QuestionTriggers!A:F,6,FALSE)),"","---&gt;")</f>
        <v/>
      </c>
      <c r="H961" s="2" t="s">
        <v>760</v>
      </c>
      <c r="I961" s="2" t="s">
        <v>492</v>
      </c>
      <c r="J961" s="2" t="s">
        <v>761</v>
      </c>
      <c r="K961" s="2" t="s">
        <v>51</v>
      </c>
    </row>
    <row r="962" spans="1:11" ht="26.4" hidden="1" x14ac:dyDescent="0.3">
      <c r="A962" s="43" t="str">
        <f t="shared" si="14"/>
        <v>Moonglow|Patric the Humble Shepherd|HUMB</v>
      </c>
      <c r="B962" s="2" t="s">
        <v>713</v>
      </c>
      <c r="C962" s="2" t="s">
        <v>714</v>
      </c>
      <c r="D962" s="3" t="s">
        <v>759</v>
      </c>
      <c r="E962" s="2" t="s">
        <v>763</v>
      </c>
      <c r="F962" s="2" t="s">
        <v>764</v>
      </c>
      <c r="G962" s="8" t="str">
        <f>IF(ISNA(VLOOKUP(B962&amp;"|"&amp;C962&amp;"|"&amp;D962&amp;"|"&amp;E962,QuestionTriggers!A:F,6,FALSE)),"","---&gt;")</f>
        <v/>
      </c>
      <c r="H962" s="2" t="s">
        <v>760</v>
      </c>
      <c r="I962" s="2" t="s">
        <v>492</v>
      </c>
      <c r="J962" s="2" t="s">
        <v>761</v>
      </c>
      <c r="K962" s="2" t="s">
        <v>51</v>
      </c>
    </row>
    <row r="963" spans="1:11" ht="26.4" hidden="1" x14ac:dyDescent="0.3">
      <c r="A963" s="43" t="str">
        <f t="shared" ref="A963:A1026" si="15">C963&amp;"|"&amp;D963&amp;"|"&amp;E963</f>
        <v>Moonglow|Patric the Humble Shepherd|HUMI</v>
      </c>
      <c r="B963" s="2" t="s">
        <v>713</v>
      </c>
      <c r="C963" s="2" t="s">
        <v>714</v>
      </c>
      <c r="D963" s="3" t="s">
        <v>759</v>
      </c>
      <c r="E963" s="2" t="s">
        <v>253</v>
      </c>
      <c r="F963" s="2" t="s">
        <v>765</v>
      </c>
      <c r="G963" s="8" t="str">
        <f>IF(ISNA(VLOOKUP(B963&amp;"|"&amp;C963&amp;"|"&amp;D963&amp;"|"&amp;E963,QuestionTriggers!A:F,6,FALSE)),"","---&gt;")</f>
        <v>---&gt;</v>
      </c>
      <c r="H963" s="2" t="s">
        <v>760</v>
      </c>
      <c r="I963" s="2" t="s">
        <v>492</v>
      </c>
      <c r="J963" s="2" t="s">
        <v>761</v>
      </c>
      <c r="K963" s="2" t="s">
        <v>51</v>
      </c>
    </row>
    <row r="964" spans="1:11" ht="26.4" hidden="1" x14ac:dyDescent="0.3">
      <c r="A964" s="43" t="str">
        <f t="shared" si="15"/>
        <v>Moonglow|Patric the Humble Shepherd|JOB</v>
      </c>
      <c r="B964" s="2" t="s">
        <v>713</v>
      </c>
      <c r="C964" s="2" t="s">
        <v>714</v>
      </c>
      <c r="D964" s="3" t="s">
        <v>759</v>
      </c>
      <c r="E964" s="2" t="s">
        <v>18</v>
      </c>
      <c r="F964" s="6" t="s">
        <v>2466</v>
      </c>
      <c r="G964" s="8" t="str">
        <f>IF(ISNA(VLOOKUP(B964&amp;"|"&amp;C964&amp;"|"&amp;D964&amp;"|"&amp;E964,QuestionTriggers!A:F,6,FALSE)),"","---&gt;")</f>
        <v/>
      </c>
      <c r="H964" s="2" t="s">
        <v>760</v>
      </c>
      <c r="I964" s="2" t="s">
        <v>492</v>
      </c>
      <c r="J964" s="2" t="s">
        <v>761</v>
      </c>
      <c r="K964" s="2" t="s">
        <v>51</v>
      </c>
    </row>
    <row r="965" spans="1:11" ht="26.4" hidden="1" x14ac:dyDescent="0.3">
      <c r="A965" s="43" t="str">
        <f t="shared" si="15"/>
        <v>Moonglow|Patric the Humble Shepherd|LOOK</v>
      </c>
      <c r="B965" s="2" t="s">
        <v>713</v>
      </c>
      <c r="C965" s="2" t="s">
        <v>714</v>
      </c>
      <c r="D965" s="3" t="s">
        <v>759</v>
      </c>
      <c r="E965" s="34" t="s">
        <v>16</v>
      </c>
      <c r="F965" s="2" t="s">
        <v>762</v>
      </c>
      <c r="G965" s="8" t="str">
        <f>IF(ISNA(VLOOKUP(B965&amp;"|"&amp;C965&amp;"|"&amp;D965&amp;"|"&amp;E965,QuestionTriggers!A:F,6,FALSE)),"","---&gt;")</f>
        <v/>
      </c>
      <c r="H965" s="2" t="s">
        <v>760</v>
      </c>
      <c r="I965" s="2" t="s">
        <v>492</v>
      </c>
      <c r="J965" s="2" t="s">
        <v>761</v>
      </c>
      <c r="K965" s="2" t="s">
        <v>51</v>
      </c>
    </row>
    <row r="966" spans="1:11" ht="26.4" hidden="1" x14ac:dyDescent="0.3">
      <c r="A966" s="43" t="str">
        <f t="shared" si="15"/>
        <v>Moonglow|Patric the Humble Shepherd|NAME</v>
      </c>
      <c r="B966" s="2" t="s">
        <v>713</v>
      </c>
      <c r="C966" s="2" t="s">
        <v>714</v>
      </c>
      <c r="D966" s="3" t="s">
        <v>759</v>
      </c>
      <c r="E966" s="34" t="s">
        <v>12</v>
      </c>
      <c r="F966" s="2" t="s">
        <v>759</v>
      </c>
      <c r="G966" s="8" t="str">
        <f>IF(ISNA(VLOOKUP(B966&amp;"|"&amp;C966&amp;"|"&amp;D966&amp;"|"&amp;E966,QuestionTriggers!A:F,6,FALSE)),"","---&gt;")</f>
        <v/>
      </c>
      <c r="H966" s="2" t="s">
        <v>760</v>
      </c>
      <c r="I966" s="2" t="s">
        <v>492</v>
      </c>
      <c r="J966" s="2" t="s">
        <v>761</v>
      </c>
      <c r="K966" s="2" t="s">
        <v>51</v>
      </c>
    </row>
    <row r="967" spans="1:11" ht="26.4" hidden="1" x14ac:dyDescent="0.3">
      <c r="A967" s="43" t="str">
        <f t="shared" si="15"/>
        <v>Moonglow|Rebelias|EVIL</v>
      </c>
      <c r="B967" s="2" t="s">
        <v>713</v>
      </c>
      <c r="C967" s="2" t="s">
        <v>714</v>
      </c>
      <c r="D967" s="3" t="s">
        <v>743</v>
      </c>
      <c r="E967" s="2" t="s">
        <v>750</v>
      </c>
      <c r="F967" s="2" t="s">
        <v>751</v>
      </c>
      <c r="G967" s="8" t="str">
        <f>IF(ISNA(VLOOKUP(B967&amp;"|"&amp;C967&amp;"|"&amp;D967&amp;"|"&amp;E967,QuestionTriggers!A:F,6,FALSE)),"","---&gt;")</f>
        <v>---&gt;</v>
      </c>
      <c r="H967" s="2" t="s">
        <v>744</v>
      </c>
      <c r="I967" s="2" t="s">
        <v>745</v>
      </c>
      <c r="J967" s="2" t="s">
        <v>746</v>
      </c>
      <c r="K967" s="2"/>
    </row>
    <row r="968" spans="1:11" ht="26.4" hidden="1" x14ac:dyDescent="0.3">
      <c r="A968" s="43" t="str">
        <f t="shared" si="15"/>
        <v>Moonglow|Rebelias|JOB</v>
      </c>
      <c r="B968" s="2" t="s">
        <v>713</v>
      </c>
      <c r="C968" s="2" t="s">
        <v>714</v>
      </c>
      <c r="D968" s="3" t="s">
        <v>743</v>
      </c>
      <c r="E968" s="34" t="s">
        <v>18</v>
      </c>
      <c r="F968" s="2" t="s">
        <v>748</v>
      </c>
      <c r="G968" s="8" t="str">
        <f>IF(ISNA(VLOOKUP(B968&amp;"|"&amp;C968&amp;"|"&amp;D968&amp;"|"&amp;E968,QuestionTriggers!A:F,6,FALSE)),"","---&gt;")</f>
        <v/>
      </c>
      <c r="H968" s="2" t="s">
        <v>744</v>
      </c>
      <c r="I968" s="2" t="s">
        <v>745</v>
      </c>
      <c r="J968" s="2" t="s">
        <v>746</v>
      </c>
      <c r="K968" s="2"/>
    </row>
    <row r="969" spans="1:11" ht="26.4" hidden="1" x14ac:dyDescent="0.3">
      <c r="A969" s="43" t="str">
        <f t="shared" si="15"/>
        <v>Moonglow|Rebelias|HONE</v>
      </c>
      <c r="B969" s="2" t="s">
        <v>713</v>
      </c>
      <c r="C969" s="2" t="s">
        <v>714</v>
      </c>
      <c r="D969" s="3" t="s">
        <v>743</v>
      </c>
      <c r="E969" s="2" t="s">
        <v>239</v>
      </c>
      <c r="F969" s="2" t="s">
        <v>749</v>
      </c>
      <c r="G969" s="8" t="str">
        <f>IF(ISNA(VLOOKUP(B969&amp;"|"&amp;C969&amp;"|"&amp;D969&amp;"|"&amp;E969,QuestionTriggers!A:F,6,FALSE)),"","---&gt;")</f>
        <v/>
      </c>
      <c r="H969" s="2" t="s">
        <v>744</v>
      </c>
      <c r="I969" s="2" t="s">
        <v>745</v>
      </c>
      <c r="J969" s="2" t="s">
        <v>746</v>
      </c>
      <c r="K969" s="2"/>
    </row>
    <row r="970" spans="1:11" ht="26.4" hidden="1" x14ac:dyDescent="0.3">
      <c r="A970" s="43" t="str">
        <f t="shared" si="15"/>
        <v>Moonglow|Rebelias|JOB</v>
      </c>
      <c r="B970" s="2" t="s">
        <v>713</v>
      </c>
      <c r="C970" s="2" t="s">
        <v>714</v>
      </c>
      <c r="D970" s="3" t="s">
        <v>743</v>
      </c>
      <c r="E970" s="2" t="s">
        <v>18</v>
      </c>
      <c r="F970" s="6" t="s">
        <v>2467</v>
      </c>
      <c r="G970" s="8" t="str">
        <f>IF(ISNA(VLOOKUP(B970&amp;"|"&amp;C970&amp;"|"&amp;D970&amp;"|"&amp;E970,QuestionTriggers!A:F,6,FALSE)),"","---&gt;")</f>
        <v/>
      </c>
      <c r="H970" s="2" t="s">
        <v>744</v>
      </c>
      <c r="I970" s="2" t="s">
        <v>745</v>
      </c>
      <c r="J970" s="2" t="s">
        <v>746</v>
      </c>
      <c r="K970" s="2"/>
    </row>
    <row r="971" spans="1:11" ht="26.4" hidden="1" x14ac:dyDescent="0.3">
      <c r="A971" s="43" t="str">
        <f t="shared" si="15"/>
        <v>Moonglow|Rebelias|LOOK</v>
      </c>
      <c r="B971" s="2" t="s">
        <v>713</v>
      </c>
      <c r="C971" s="2" t="s">
        <v>714</v>
      </c>
      <c r="D971" s="3" t="s">
        <v>743</v>
      </c>
      <c r="E971" s="34" t="s">
        <v>16</v>
      </c>
      <c r="F971" s="2" t="s">
        <v>747</v>
      </c>
      <c r="G971" s="8" t="str">
        <f>IF(ISNA(VLOOKUP(B971&amp;"|"&amp;C971&amp;"|"&amp;D971&amp;"|"&amp;E971,QuestionTriggers!A:F,6,FALSE)),"","---&gt;")</f>
        <v/>
      </c>
      <c r="H971" s="2" t="s">
        <v>744</v>
      </c>
      <c r="I971" s="2" t="s">
        <v>745</v>
      </c>
      <c r="J971" s="2" t="s">
        <v>746</v>
      </c>
      <c r="K971" s="2"/>
    </row>
    <row r="972" spans="1:11" ht="26.4" hidden="1" x14ac:dyDescent="0.3">
      <c r="A972" s="43" t="str">
        <f t="shared" si="15"/>
        <v>Moonglow|Rebelias|NAME</v>
      </c>
      <c r="B972" s="2" t="s">
        <v>713</v>
      </c>
      <c r="C972" s="2" t="s">
        <v>714</v>
      </c>
      <c r="D972" s="3" t="s">
        <v>743</v>
      </c>
      <c r="E972" s="34" t="s">
        <v>12</v>
      </c>
      <c r="F972" s="2" t="s">
        <v>743</v>
      </c>
      <c r="G972" s="8" t="str">
        <f>IF(ISNA(VLOOKUP(B972&amp;"|"&amp;C972&amp;"|"&amp;D972&amp;"|"&amp;E972,QuestionTriggers!A:F,6,FALSE)),"","---&gt;")</f>
        <v/>
      </c>
      <c r="H972" s="2" t="s">
        <v>744</v>
      </c>
      <c r="I972" s="2" t="s">
        <v>745</v>
      </c>
      <c r="J972" s="2" t="s">
        <v>746</v>
      </c>
      <c r="K972" s="2"/>
    </row>
    <row r="973" spans="1:11" s="30" customFormat="1" hidden="1" x14ac:dyDescent="0.3">
      <c r="A973" s="43" t="str">
        <f t="shared" si="15"/>
        <v>Moonglow|Scatu|LOOK</v>
      </c>
      <c r="B973" s="12" t="s">
        <v>713</v>
      </c>
      <c r="C973" s="12" t="s">
        <v>714</v>
      </c>
      <c r="D973" s="12" t="s">
        <v>380</v>
      </c>
      <c r="E973" s="12" t="s">
        <v>16</v>
      </c>
      <c r="F973" s="12" t="s">
        <v>2468</v>
      </c>
      <c r="G973" s="13"/>
      <c r="H973" s="12"/>
      <c r="I973" s="12"/>
      <c r="J973" s="12"/>
      <c r="K973" s="12" t="s">
        <v>2441</v>
      </c>
    </row>
    <row r="974" spans="1:11" hidden="1" x14ac:dyDescent="0.3">
      <c r="A974" s="43" t="str">
        <f t="shared" si="15"/>
        <v>Moonglow|Shakespeare|CORR</v>
      </c>
      <c r="B974" s="2" t="s">
        <v>713</v>
      </c>
      <c r="C974" s="2" t="s">
        <v>714</v>
      </c>
      <c r="D974" s="3" t="s">
        <v>776</v>
      </c>
      <c r="E974" s="2" t="s">
        <v>782</v>
      </c>
      <c r="F974" s="2" t="s">
        <v>783</v>
      </c>
      <c r="G974" s="8" t="str">
        <f>IF(ISNA(VLOOKUP(B974&amp;"|"&amp;C974&amp;"|"&amp;D974&amp;"|"&amp;E974,QuestionTriggers!A:F,6,FALSE)),"","---&gt;")</f>
        <v>---&gt;</v>
      </c>
      <c r="H974" s="2" t="s">
        <v>736</v>
      </c>
      <c r="I974" s="2" t="s">
        <v>777</v>
      </c>
      <c r="J974" s="2" t="s">
        <v>643</v>
      </c>
      <c r="K974" s="2"/>
    </row>
    <row r="975" spans="1:11" hidden="1" x14ac:dyDescent="0.3">
      <c r="A975" s="43" t="str">
        <f t="shared" si="15"/>
        <v>Moonglow|Shakespeare|JOB</v>
      </c>
      <c r="B975" s="2" t="s">
        <v>713</v>
      </c>
      <c r="C975" s="2" t="s">
        <v>714</v>
      </c>
      <c r="D975" s="2" t="s">
        <v>776</v>
      </c>
      <c r="E975" s="34" t="s">
        <v>18</v>
      </c>
      <c r="F975" s="2" t="s">
        <v>780</v>
      </c>
      <c r="G975" s="8" t="str">
        <f>IF(ISNA(VLOOKUP(B975&amp;"|"&amp;C975&amp;"|"&amp;D975&amp;"|"&amp;E975,QuestionTriggers!A:F,6,FALSE)),"","---&gt;")</f>
        <v/>
      </c>
      <c r="H975" s="2" t="s">
        <v>736</v>
      </c>
      <c r="I975" s="2" t="s">
        <v>777</v>
      </c>
      <c r="J975" s="2" t="s">
        <v>643</v>
      </c>
      <c r="K975" s="2"/>
    </row>
    <row r="976" spans="1:11" hidden="1" x14ac:dyDescent="0.3">
      <c r="A976" s="43" t="str">
        <f t="shared" si="15"/>
        <v>Moonglow|Shakespeare|HONE</v>
      </c>
      <c r="B976" s="2" t="s">
        <v>713</v>
      </c>
      <c r="C976" s="2" t="s">
        <v>714</v>
      </c>
      <c r="D976" s="3" t="s">
        <v>776</v>
      </c>
      <c r="E976" s="2" t="s">
        <v>239</v>
      </c>
      <c r="F976" s="2" t="s">
        <v>781</v>
      </c>
      <c r="G976" s="8" t="str">
        <f>IF(ISNA(VLOOKUP(B976&amp;"|"&amp;C976&amp;"|"&amp;D976&amp;"|"&amp;E976,QuestionTriggers!A:F,6,FALSE)),"","---&gt;")</f>
        <v/>
      </c>
      <c r="H976" s="2" t="s">
        <v>736</v>
      </c>
      <c r="I976" s="2" t="s">
        <v>777</v>
      </c>
      <c r="J976" s="2" t="s">
        <v>643</v>
      </c>
      <c r="K976" s="2"/>
    </row>
    <row r="977" spans="1:11" hidden="1" x14ac:dyDescent="0.3">
      <c r="A977" s="43" t="str">
        <f t="shared" si="15"/>
        <v>Moonglow|Shakespeare|JOB</v>
      </c>
      <c r="B977" s="2" t="s">
        <v>713</v>
      </c>
      <c r="C977" s="2" t="s">
        <v>714</v>
      </c>
      <c r="D977" s="3" t="s">
        <v>776</v>
      </c>
      <c r="E977" s="2" t="s">
        <v>18</v>
      </c>
      <c r="F977" s="2" t="s">
        <v>779</v>
      </c>
      <c r="G977" s="8" t="str">
        <f>IF(ISNA(VLOOKUP(B977&amp;"|"&amp;C977&amp;"|"&amp;D977&amp;"|"&amp;E977,QuestionTriggers!A:F,6,FALSE)),"","---&gt;")</f>
        <v/>
      </c>
      <c r="H977" s="2" t="s">
        <v>736</v>
      </c>
      <c r="I977" s="2" t="s">
        <v>777</v>
      </c>
      <c r="J977" s="2" t="s">
        <v>643</v>
      </c>
      <c r="K977" s="2"/>
    </row>
    <row r="978" spans="1:11" hidden="1" x14ac:dyDescent="0.3">
      <c r="A978" s="43" t="str">
        <f t="shared" si="15"/>
        <v>Moonglow|Shakespeare|LOOK</v>
      </c>
      <c r="B978" s="2" t="s">
        <v>713</v>
      </c>
      <c r="C978" s="2" t="s">
        <v>714</v>
      </c>
      <c r="D978" s="3" t="s">
        <v>776</v>
      </c>
      <c r="E978" s="2" t="s">
        <v>16</v>
      </c>
      <c r="F978" s="2" t="s">
        <v>778</v>
      </c>
      <c r="G978" s="8" t="str">
        <f>IF(ISNA(VLOOKUP(B978&amp;"|"&amp;C978&amp;"|"&amp;D978&amp;"|"&amp;E978,QuestionTriggers!A:F,6,FALSE)),"","---&gt;")</f>
        <v/>
      </c>
      <c r="H978" s="2" t="s">
        <v>736</v>
      </c>
      <c r="I978" s="2" t="s">
        <v>777</v>
      </c>
      <c r="J978" s="2" t="s">
        <v>643</v>
      </c>
      <c r="K978" s="2"/>
    </row>
    <row r="979" spans="1:11" hidden="1" x14ac:dyDescent="0.3">
      <c r="A979" s="43" t="str">
        <f t="shared" si="15"/>
        <v>Moonglow|Shakespeare|NAME</v>
      </c>
      <c r="B979" s="2" t="s">
        <v>713</v>
      </c>
      <c r="C979" s="2" t="s">
        <v>714</v>
      </c>
      <c r="D979" s="3" t="s">
        <v>776</v>
      </c>
      <c r="E979" s="2" t="s">
        <v>12</v>
      </c>
      <c r="F979" s="2" t="s">
        <v>776</v>
      </c>
      <c r="G979" s="8" t="str">
        <f>IF(ISNA(VLOOKUP(B979&amp;"|"&amp;C979&amp;"|"&amp;D979&amp;"|"&amp;E979,QuestionTriggers!A:F,6,FALSE)),"","---&gt;")</f>
        <v/>
      </c>
      <c r="H979" s="2" t="s">
        <v>736</v>
      </c>
      <c r="I979" s="2" t="s">
        <v>777</v>
      </c>
      <c r="J979" s="2" t="s">
        <v>643</v>
      </c>
      <c r="K979" s="2"/>
    </row>
    <row r="980" spans="1:11" hidden="1" x14ac:dyDescent="0.3">
      <c r="A980" s="43" t="str">
        <f t="shared" si="15"/>
        <v>Moonglow|Shazom|DIE</v>
      </c>
      <c r="B980" s="2" t="s">
        <v>713</v>
      </c>
      <c r="C980" s="2" t="s">
        <v>714</v>
      </c>
      <c r="D980" s="3" t="s">
        <v>766</v>
      </c>
      <c r="E980" s="6" t="s">
        <v>775</v>
      </c>
      <c r="F980" s="6" t="s">
        <v>772</v>
      </c>
      <c r="G980" s="8" t="str">
        <f>IF(ISNA(VLOOKUP(B980&amp;"|"&amp;C980&amp;"|"&amp;D980&amp;"|"&amp;E980,QuestionTriggers!A:F,6,FALSE)),"","---&gt;")</f>
        <v>---&gt;</v>
      </c>
      <c r="H980" s="2" t="s">
        <v>767</v>
      </c>
      <c r="I980" s="2" t="s">
        <v>768</v>
      </c>
      <c r="J980" s="2" t="s">
        <v>769</v>
      </c>
      <c r="K980" s="2"/>
    </row>
    <row r="981" spans="1:11" hidden="1" x14ac:dyDescent="0.3">
      <c r="A981" s="43" t="str">
        <f t="shared" si="15"/>
        <v>Moonglow|Shazom|HEALTH</v>
      </c>
      <c r="B981" s="2" t="s">
        <v>713</v>
      </c>
      <c r="C981" s="2" t="s">
        <v>714</v>
      </c>
      <c r="D981" s="6" t="s">
        <v>766</v>
      </c>
      <c r="E981" s="35" t="s">
        <v>20</v>
      </c>
      <c r="F981" s="6" t="s">
        <v>2459</v>
      </c>
      <c r="G981" s="8" t="str">
        <f>IF(ISNA(VLOOKUP(B981&amp;"|"&amp;C981&amp;"|"&amp;D981&amp;"|"&amp;E981,QuestionTriggers!A:F,6,FALSE)),"","---&gt;")</f>
        <v/>
      </c>
      <c r="H981" s="2" t="s">
        <v>767</v>
      </c>
      <c r="I981" s="2" t="s">
        <v>768</v>
      </c>
      <c r="J981" s="2" t="s">
        <v>769</v>
      </c>
      <c r="K981" s="2"/>
    </row>
    <row r="982" spans="1:11" hidden="1" x14ac:dyDescent="0.3">
      <c r="A982" s="43" t="str">
        <f t="shared" si="15"/>
        <v>Moonglow|Shazom|JOB</v>
      </c>
      <c r="B982" s="2" t="s">
        <v>713</v>
      </c>
      <c r="C982" s="2" t="s">
        <v>714</v>
      </c>
      <c r="D982" s="3" t="s">
        <v>766</v>
      </c>
      <c r="E982" s="6" t="s">
        <v>18</v>
      </c>
      <c r="F982" s="6" t="s">
        <v>771</v>
      </c>
      <c r="G982" s="8" t="str">
        <f>IF(ISNA(VLOOKUP(B982&amp;"|"&amp;C982&amp;"|"&amp;D982&amp;"|"&amp;E982,QuestionTriggers!A:F,6,FALSE)),"","---&gt;")</f>
        <v/>
      </c>
      <c r="H982" s="2" t="s">
        <v>767</v>
      </c>
      <c r="I982" s="2" t="s">
        <v>768</v>
      </c>
      <c r="J982" s="2" t="s">
        <v>769</v>
      </c>
      <c r="K982" s="2"/>
    </row>
    <row r="983" spans="1:11" hidden="1" x14ac:dyDescent="0.3">
      <c r="A983" s="43" t="str">
        <f t="shared" si="15"/>
        <v>Moonglow|Shazom|LOOK</v>
      </c>
      <c r="B983" s="2" t="s">
        <v>713</v>
      </c>
      <c r="C983" s="2" t="s">
        <v>714</v>
      </c>
      <c r="D983" s="3" t="s">
        <v>766</v>
      </c>
      <c r="E983" s="6" t="s">
        <v>16</v>
      </c>
      <c r="F983" s="6" t="s">
        <v>770</v>
      </c>
      <c r="G983" s="8" t="str">
        <f>IF(ISNA(VLOOKUP(B983&amp;"|"&amp;C983&amp;"|"&amp;D983&amp;"|"&amp;E983,QuestionTriggers!A:F,6,FALSE)),"","---&gt;")</f>
        <v/>
      </c>
      <c r="H983" s="2" t="s">
        <v>767</v>
      </c>
      <c r="I983" s="2" t="s">
        <v>768</v>
      </c>
      <c r="J983" s="2" t="s">
        <v>769</v>
      </c>
      <c r="K983" s="2"/>
    </row>
    <row r="984" spans="1:11" hidden="1" x14ac:dyDescent="0.3">
      <c r="A984" s="43" t="str">
        <f t="shared" si="15"/>
        <v>Moonglow|Shazom|NAME</v>
      </c>
      <c r="B984" s="2" t="s">
        <v>713</v>
      </c>
      <c r="C984" s="2" t="s">
        <v>714</v>
      </c>
      <c r="D984" s="3" t="s">
        <v>766</v>
      </c>
      <c r="E984" s="6" t="s">
        <v>12</v>
      </c>
      <c r="F984" s="6" t="s">
        <v>766</v>
      </c>
      <c r="G984" s="8" t="str">
        <f>IF(ISNA(VLOOKUP(B984&amp;"|"&amp;C984&amp;"|"&amp;D984&amp;"|"&amp;E984,QuestionTriggers!A:F,6,FALSE)),"","---&gt;")</f>
        <v/>
      </c>
      <c r="H984" s="2" t="s">
        <v>767</v>
      </c>
      <c r="I984" s="2" t="s">
        <v>768</v>
      </c>
      <c r="J984" s="2" t="s">
        <v>769</v>
      </c>
      <c r="K984" s="2"/>
    </row>
    <row r="985" spans="1:11" hidden="1" x14ac:dyDescent="0.3">
      <c r="A985" s="43" t="str">
        <f t="shared" si="15"/>
        <v>Moonglow|Shazom|NIGE</v>
      </c>
      <c r="B985" s="2" t="s">
        <v>713</v>
      </c>
      <c r="C985" s="2" t="s">
        <v>714</v>
      </c>
      <c r="D985" s="3" t="s">
        <v>766</v>
      </c>
      <c r="E985" s="6" t="s">
        <v>773</v>
      </c>
      <c r="F985" s="6" t="s">
        <v>774</v>
      </c>
      <c r="G985" s="8" t="str">
        <f>IF(ISNA(VLOOKUP(B985&amp;"|"&amp;C985&amp;"|"&amp;D985&amp;"|"&amp;E985,QuestionTriggers!A:F,6,FALSE)),"","---&gt;")</f>
        <v/>
      </c>
      <c r="H985" s="2" t="s">
        <v>767</v>
      </c>
      <c r="I985" s="2" t="s">
        <v>768</v>
      </c>
      <c r="J985" s="2" t="s">
        <v>769</v>
      </c>
      <c r="K985" s="2"/>
    </row>
    <row r="986" spans="1:11" s="17" customFormat="1" hidden="1" x14ac:dyDescent="0.3">
      <c r="A986" t="str">
        <f t="shared" si="15"/>
        <v>Moonglow|Tracie|HEALTH</v>
      </c>
      <c r="B986" s="15" t="s">
        <v>713</v>
      </c>
      <c r="C986" s="15" t="s">
        <v>714</v>
      </c>
      <c r="D986" s="26" t="s">
        <v>724</v>
      </c>
      <c r="E986" s="26" t="s">
        <v>20</v>
      </c>
      <c r="F986" s="26" t="s">
        <v>730</v>
      </c>
      <c r="G986" s="18" t="str">
        <f>IF(ISNA(VLOOKUP(B986&amp;"|"&amp;C986&amp;"|"&amp;D986&amp;"|"&amp;E986,QuestionTriggers!A:F,6,FALSE)),"","---&gt;")</f>
        <v/>
      </c>
      <c r="H986" s="15" t="s">
        <v>725</v>
      </c>
      <c r="I986" s="15" t="s">
        <v>726</v>
      </c>
      <c r="J986" s="15" t="s">
        <v>727</v>
      </c>
      <c r="K986" s="15"/>
    </row>
    <row r="987" spans="1:11" s="17" customFormat="1" hidden="1" x14ac:dyDescent="0.3">
      <c r="A987" t="str">
        <f t="shared" si="15"/>
        <v>Moonglow|Tracie|JOB</v>
      </c>
      <c r="B987" s="15" t="s">
        <v>713</v>
      </c>
      <c r="C987" s="15" t="s">
        <v>714</v>
      </c>
      <c r="D987" s="26" t="s">
        <v>724</v>
      </c>
      <c r="E987" s="26" t="s">
        <v>18</v>
      </c>
      <c r="F987" s="26" t="s">
        <v>729</v>
      </c>
      <c r="G987" s="18" t="str">
        <f>IF(ISNA(VLOOKUP(B987&amp;"|"&amp;C987&amp;"|"&amp;D987&amp;"|"&amp;E987,QuestionTriggers!A:F,6,FALSE)),"","---&gt;")</f>
        <v/>
      </c>
      <c r="H987" s="15" t="s">
        <v>725</v>
      </c>
      <c r="I987" s="15" t="s">
        <v>726</v>
      </c>
      <c r="J987" s="15" t="s">
        <v>727</v>
      </c>
      <c r="K987" s="15"/>
    </row>
    <row r="988" spans="1:11" s="17" customFormat="1" hidden="1" x14ac:dyDescent="0.3">
      <c r="A988" t="str">
        <f t="shared" si="15"/>
        <v>Moonglow|Tracie|LOOK</v>
      </c>
      <c r="B988" s="15" t="s">
        <v>713</v>
      </c>
      <c r="C988" s="15" t="s">
        <v>714</v>
      </c>
      <c r="D988" s="26" t="s">
        <v>724</v>
      </c>
      <c r="E988" s="26" t="s">
        <v>16</v>
      </c>
      <c r="F988" s="26" t="s">
        <v>728</v>
      </c>
      <c r="G988" s="18" t="str">
        <f>IF(ISNA(VLOOKUP(B988&amp;"|"&amp;C988&amp;"|"&amp;D988&amp;"|"&amp;E988,QuestionTriggers!A:F,6,FALSE)),"","---&gt;")</f>
        <v/>
      </c>
      <c r="H988" s="15" t="s">
        <v>725</v>
      </c>
      <c r="I988" s="15" t="s">
        <v>726</v>
      </c>
      <c r="J988" s="15" t="s">
        <v>727</v>
      </c>
      <c r="K988" s="15"/>
    </row>
    <row r="989" spans="1:11" s="17" customFormat="1" hidden="1" x14ac:dyDescent="0.3">
      <c r="A989" t="str">
        <f t="shared" si="15"/>
        <v>Moonglow|Tracie|NAME</v>
      </c>
      <c r="B989" s="15" t="s">
        <v>713</v>
      </c>
      <c r="C989" s="15" t="s">
        <v>714</v>
      </c>
      <c r="D989" s="26" t="s">
        <v>724</v>
      </c>
      <c r="E989" s="26" t="s">
        <v>12</v>
      </c>
      <c r="F989" s="26" t="s">
        <v>724</v>
      </c>
      <c r="G989" s="18" t="str">
        <f>IF(ISNA(VLOOKUP(B989&amp;"|"&amp;C989&amp;"|"&amp;D989&amp;"|"&amp;E989,QuestionTriggers!A:F,6,FALSE)),"","---&gt;")</f>
        <v/>
      </c>
      <c r="H989" s="15" t="s">
        <v>725</v>
      </c>
      <c r="I989" s="15" t="s">
        <v>726</v>
      </c>
      <c r="J989" s="15" t="s">
        <v>727</v>
      </c>
      <c r="K989" s="15"/>
    </row>
    <row r="990" spans="1:11" s="17" customFormat="1" hidden="1" x14ac:dyDescent="0.3">
      <c r="A990" t="str">
        <f t="shared" si="15"/>
        <v>Moonglow|Tracie|SMOK</v>
      </c>
      <c r="B990" s="15" t="s">
        <v>713</v>
      </c>
      <c r="C990" s="15" t="s">
        <v>714</v>
      </c>
      <c r="D990" s="26" t="s">
        <v>724</v>
      </c>
      <c r="E990" s="26" t="s">
        <v>733</v>
      </c>
      <c r="F990" s="26" t="s">
        <v>734</v>
      </c>
      <c r="G990" s="18" t="str">
        <f>IF(ISNA(VLOOKUP(B990&amp;"|"&amp;C990&amp;"|"&amp;D990&amp;"|"&amp;E990,QuestionTriggers!A:F,6,FALSE)),"","---&gt;")</f>
        <v>---&gt;</v>
      </c>
      <c r="H990" s="15" t="s">
        <v>725</v>
      </c>
      <c r="I990" s="15" t="s">
        <v>726</v>
      </c>
      <c r="J990" s="15" t="s">
        <v>727</v>
      </c>
      <c r="K990" s="15"/>
    </row>
    <row r="991" spans="1:11" s="17" customFormat="1" hidden="1" x14ac:dyDescent="0.3">
      <c r="A991" t="str">
        <f t="shared" si="15"/>
        <v>Moonglow|Tracie|WRIT</v>
      </c>
      <c r="B991" s="15" t="s">
        <v>713</v>
      </c>
      <c r="C991" s="15" t="s">
        <v>714</v>
      </c>
      <c r="D991" s="26" t="s">
        <v>724</v>
      </c>
      <c r="E991" s="26" t="s">
        <v>731</v>
      </c>
      <c r="F991" s="26" t="s">
        <v>732</v>
      </c>
      <c r="G991" s="18" t="str">
        <f>IF(ISNA(VLOOKUP(B991&amp;"|"&amp;C991&amp;"|"&amp;D991&amp;"|"&amp;E991,QuestionTriggers!A:F,6,FALSE)),"","---&gt;")</f>
        <v/>
      </c>
      <c r="H991" s="15" t="s">
        <v>725</v>
      </c>
      <c r="I991" s="15" t="s">
        <v>726</v>
      </c>
      <c r="J991" s="15" t="s">
        <v>727</v>
      </c>
      <c r="K991" s="15"/>
    </row>
    <row r="992" spans="1:11" hidden="1" x14ac:dyDescent="0.3">
      <c r="A992" t="str">
        <f t="shared" si="15"/>
        <v>Moonglow|Tyrone|HEALTH</v>
      </c>
      <c r="B992" s="2" t="s">
        <v>713</v>
      </c>
      <c r="C992" s="2" t="s">
        <v>714</v>
      </c>
      <c r="D992" s="26" t="s">
        <v>848</v>
      </c>
      <c r="E992" s="26" t="s">
        <v>20</v>
      </c>
      <c r="F992" s="26" t="s">
        <v>853</v>
      </c>
      <c r="G992" s="8" t="str">
        <f>IF(ISNA(VLOOKUP(B992&amp;"|"&amp;C992&amp;"|"&amp;D992&amp;"|"&amp;E992,QuestionTriggers!A:F,6,FALSE)),"","---&gt;")</f>
        <v/>
      </c>
      <c r="H992" s="2" t="s">
        <v>849</v>
      </c>
      <c r="I992" s="2" t="s">
        <v>850</v>
      </c>
      <c r="J992" s="2" t="s">
        <v>157</v>
      </c>
      <c r="K992" s="2"/>
    </row>
    <row r="993" spans="1:11" hidden="1" x14ac:dyDescent="0.3">
      <c r="A993" t="str">
        <f t="shared" si="15"/>
        <v>Moonglow|Tyrone|JOB</v>
      </c>
      <c r="B993" s="2" t="s">
        <v>713</v>
      </c>
      <c r="C993" s="2" t="s">
        <v>714</v>
      </c>
      <c r="D993" s="26" t="s">
        <v>848</v>
      </c>
      <c r="E993" s="26" t="s">
        <v>18</v>
      </c>
      <c r="F993" s="26" t="s">
        <v>852</v>
      </c>
      <c r="G993" s="8" t="str">
        <f>IF(ISNA(VLOOKUP(B993&amp;"|"&amp;C993&amp;"|"&amp;D993&amp;"|"&amp;E993,QuestionTriggers!A:F,6,FALSE)),"","---&gt;")</f>
        <v/>
      </c>
      <c r="H993" s="2" t="s">
        <v>849</v>
      </c>
      <c r="I993" s="2" t="s">
        <v>850</v>
      </c>
      <c r="J993" s="2" t="s">
        <v>157</v>
      </c>
      <c r="K993" s="2"/>
    </row>
    <row r="994" spans="1:11" hidden="1" x14ac:dyDescent="0.3">
      <c r="A994" t="str">
        <f t="shared" si="15"/>
        <v>Moonglow|Tyrone|LOOK</v>
      </c>
      <c r="B994" s="2" t="s">
        <v>713</v>
      </c>
      <c r="C994" s="2" t="s">
        <v>714</v>
      </c>
      <c r="D994" s="26" t="s">
        <v>848</v>
      </c>
      <c r="E994" s="26" t="s">
        <v>16</v>
      </c>
      <c r="F994" s="26" t="s">
        <v>851</v>
      </c>
      <c r="G994" s="8" t="str">
        <f>IF(ISNA(VLOOKUP(B994&amp;"|"&amp;C994&amp;"|"&amp;D994&amp;"|"&amp;E994,QuestionTriggers!A:F,6,FALSE)),"","---&gt;")</f>
        <v/>
      </c>
      <c r="H994" s="2" t="s">
        <v>849</v>
      </c>
      <c r="I994" s="2" t="s">
        <v>850</v>
      </c>
      <c r="J994" s="2" t="s">
        <v>157</v>
      </c>
      <c r="K994" s="2"/>
    </row>
    <row r="995" spans="1:11" hidden="1" x14ac:dyDescent="0.3">
      <c r="A995" t="str">
        <f t="shared" si="15"/>
        <v>Moonglow|Tyrone|NAME</v>
      </c>
      <c r="B995" s="2" t="s">
        <v>713</v>
      </c>
      <c r="C995" s="2" t="s">
        <v>714</v>
      </c>
      <c r="D995" s="26" t="s">
        <v>848</v>
      </c>
      <c r="E995" s="26" t="s">
        <v>12</v>
      </c>
      <c r="F995" s="26" t="s">
        <v>848</v>
      </c>
      <c r="G995" s="8" t="str">
        <f>IF(ISNA(VLOOKUP(B995&amp;"|"&amp;C995&amp;"|"&amp;D995&amp;"|"&amp;E995,QuestionTriggers!A:F,6,FALSE)),"","---&gt;")</f>
        <v/>
      </c>
      <c r="H995" s="2" t="s">
        <v>849</v>
      </c>
      <c r="I995" s="2" t="s">
        <v>850</v>
      </c>
      <c r="J995" s="2" t="s">
        <v>157</v>
      </c>
      <c r="K995" s="2"/>
    </row>
    <row r="996" spans="1:11" hidden="1" x14ac:dyDescent="0.3">
      <c r="A996" t="str">
        <f t="shared" si="15"/>
        <v>Moonglow|Tyrone|STON</v>
      </c>
      <c r="B996" s="2" t="s">
        <v>713</v>
      </c>
      <c r="C996" s="2" t="s">
        <v>714</v>
      </c>
      <c r="D996" s="26" t="s">
        <v>848</v>
      </c>
      <c r="E996" s="26" t="s">
        <v>854</v>
      </c>
      <c r="F996" s="26" t="s">
        <v>855</v>
      </c>
      <c r="G996" s="8" t="str">
        <f>IF(ISNA(VLOOKUP(B996&amp;"|"&amp;C996&amp;"|"&amp;D996&amp;"|"&amp;E996,QuestionTriggers!A:F,6,FALSE)),"","---&gt;")</f>
        <v/>
      </c>
      <c r="H996" s="2" t="s">
        <v>849</v>
      </c>
      <c r="I996" s="2" t="s">
        <v>850</v>
      </c>
      <c r="J996" s="2" t="s">
        <v>157</v>
      </c>
      <c r="K996" s="2"/>
    </row>
    <row r="997" spans="1:11" hidden="1" x14ac:dyDescent="0.3">
      <c r="A997" t="str">
        <f t="shared" si="15"/>
        <v>Moonglow|Tyrone|USE</v>
      </c>
      <c r="B997" s="2" t="s">
        <v>713</v>
      </c>
      <c r="C997" s="2" t="s">
        <v>714</v>
      </c>
      <c r="D997" s="26" t="s">
        <v>848</v>
      </c>
      <c r="E997" s="26" t="s">
        <v>856</v>
      </c>
      <c r="F997" s="26" t="s">
        <v>857</v>
      </c>
      <c r="G997" s="8" t="str">
        <f>IF(ISNA(VLOOKUP(B997&amp;"|"&amp;C997&amp;"|"&amp;D997&amp;"|"&amp;E997,QuestionTriggers!A:F,6,FALSE)),"","---&gt;")</f>
        <v>---&gt;</v>
      </c>
      <c r="H997" s="2" t="s">
        <v>849</v>
      </c>
      <c r="I997" s="2" t="s">
        <v>850</v>
      </c>
      <c r="J997" s="2" t="s">
        <v>157</v>
      </c>
      <c r="K997" s="2"/>
    </row>
    <row r="998" spans="1:11" hidden="1" x14ac:dyDescent="0.3">
      <c r="A998" s="43" t="str">
        <f t="shared" si="15"/>
        <v>Moonglow|William|HEALTH</v>
      </c>
      <c r="B998" s="2" t="s">
        <v>713</v>
      </c>
      <c r="C998" s="2" t="s">
        <v>714</v>
      </c>
      <c r="D998" s="3" t="s">
        <v>840</v>
      </c>
      <c r="E998" s="2" t="s">
        <v>20</v>
      </c>
      <c r="F998" s="2" t="s">
        <v>486</v>
      </c>
      <c r="G998" s="8" t="str">
        <f>IF(ISNA(VLOOKUP(B998&amp;"|"&amp;C998&amp;"|"&amp;D998&amp;"|"&amp;E998,QuestionTriggers!A:F,6,FALSE)),"","---&gt;")</f>
        <v/>
      </c>
      <c r="H998" s="2" t="s">
        <v>841</v>
      </c>
      <c r="I998" s="2" t="s">
        <v>842</v>
      </c>
      <c r="J998" s="2" t="s">
        <v>843</v>
      </c>
      <c r="K998" s="2"/>
    </row>
    <row r="999" spans="1:11" hidden="1" x14ac:dyDescent="0.3">
      <c r="A999" s="43" t="str">
        <f t="shared" si="15"/>
        <v>Moonglow|William|JOB</v>
      </c>
      <c r="B999" s="2" t="s">
        <v>713</v>
      </c>
      <c r="C999" s="2" t="s">
        <v>714</v>
      </c>
      <c r="D999" s="3" t="s">
        <v>840</v>
      </c>
      <c r="E999" s="34" t="s">
        <v>18</v>
      </c>
      <c r="F999" s="2" t="s">
        <v>844</v>
      </c>
      <c r="G999" s="8" t="str">
        <f>IF(ISNA(VLOOKUP(B999&amp;"|"&amp;C999&amp;"|"&amp;D999&amp;"|"&amp;E999,QuestionTriggers!A:F,6,FALSE)),"","---&gt;")</f>
        <v/>
      </c>
      <c r="H999" s="2" t="s">
        <v>841</v>
      </c>
      <c r="I999" s="2" t="s">
        <v>842</v>
      </c>
      <c r="J999" s="2" t="s">
        <v>843</v>
      </c>
      <c r="K999" s="2"/>
    </row>
    <row r="1000" spans="1:11" hidden="1" x14ac:dyDescent="0.3">
      <c r="A1000" s="43" t="str">
        <f t="shared" si="15"/>
        <v>Moonglow|William|LOOK</v>
      </c>
      <c r="B1000" s="2" t="s">
        <v>713</v>
      </c>
      <c r="C1000" s="2" t="s">
        <v>714</v>
      </c>
      <c r="D1000" s="3" t="s">
        <v>840</v>
      </c>
      <c r="E1000" s="2" t="s">
        <v>16</v>
      </c>
      <c r="F1000" s="3" t="s">
        <v>2461</v>
      </c>
      <c r="G1000" s="8" t="str">
        <f>IF(ISNA(VLOOKUP(B1000&amp;"|"&amp;C1000&amp;"|"&amp;D1000&amp;"|"&amp;E1000,QuestionTriggers!A:F,6,FALSE)),"","---&gt;")</f>
        <v/>
      </c>
      <c r="H1000" s="2" t="s">
        <v>841</v>
      </c>
      <c r="I1000" s="2" t="s">
        <v>842</v>
      </c>
      <c r="J1000" s="2" t="s">
        <v>843</v>
      </c>
      <c r="K1000" s="2"/>
    </row>
    <row r="1001" spans="1:11" hidden="1" x14ac:dyDescent="0.3">
      <c r="A1001" s="43" t="str">
        <f t="shared" si="15"/>
        <v>Moonglow|William|NAME</v>
      </c>
      <c r="B1001" s="2" t="s">
        <v>713</v>
      </c>
      <c r="C1001" s="2" t="s">
        <v>714</v>
      </c>
      <c r="D1001" s="3" t="s">
        <v>840</v>
      </c>
      <c r="E1001" s="34" t="s">
        <v>12</v>
      </c>
      <c r="F1001" s="2" t="s">
        <v>840</v>
      </c>
      <c r="G1001" s="8" t="str">
        <f>IF(ISNA(VLOOKUP(B1001&amp;"|"&amp;C1001&amp;"|"&amp;D1001&amp;"|"&amp;E1001,QuestionTriggers!A:F,6,FALSE)),"","---&gt;")</f>
        <v/>
      </c>
      <c r="H1001" s="2" t="s">
        <v>841</v>
      </c>
      <c r="I1001" s="2" t="s">
        <v>842</v>
      </c>
      <c r="J1001" s="2" t="s">
        <v>843</v>
      </c>
      <c r="K1001" s="2"/>
    </row>
    <row r="1002" spans="1:11" hidden="1" x14ac:dyDescent="0.3">
      <c r="A1002" s="43" t="str">
        <f t="shared" si="15"/>
        <v>Moonglow|William|RUNE</v>
      </c>
      <c r="B1002" s="2" t="s">
        <v>713</v>
      </c>
      <c r="C1002" s="2" t="s">
        <v>714</v>
      </c>
      <c r="D1002" s="3" t="s">
        <v>840</v>
      </c>
      <c r="E1002" s="2" t="s">
        <v>847</v>
      </c>
      <c r="F1002" s="6" t="s">
        <v>2458</v>
      </c>
      <c r="G1002" s="8" t="str">
        <f>IF(ISNA(VLOOKUP(B1002&amp;"|"&amp;C1002&amp;"|"&amp;D1002&amp;"|"&amp;E1002,QuestionTriggers!A:F,6,FALSE)),"","---&gt;")</f>
        <v>---&gt;</v>
      </c>
      <c r="H1002" s="2" t="s">
        <v>841</v>
      </c>
      <c r="I1002" s="2" t="s">
        <v>842</v>
      </c>
      <c r="J1002" s="2" t="s">
        <v>843</v>
      </c>
      <c r="K1002" s="2"/>
    </row>
    <row r="1003" spans="1:11" hidden="1" x14ac:dyDescent="0.3">
      <c r="A1003" s="43" t="str">
        <f t="shared" si="15"/>
        <v>Moonglow|William|SAND</v>
      </c>
      <c r="B1003" s="2" t="s">
        <v>713</v>
      </c>
      <c r="C1003" s="2" t="s">
        <v>714</v>
      </c>
      <c r="D1003" s="3" t="s">
        <v>840</v>
      </c>
      <c r="E1003" s="2" t="s">
        <v>845</v>
      </c>
      <c r="F1003" s="2" t="s">
        <v>846</v>
      </c>
      <c r="G1003" s="8" t="str">
        <f>IF(ISNA(VLOOKUP(B1003&amp;"|"&amp;C1003&amp;"|"&amp;D1003&amp;"|"&amp;E1003,QuestionTriggers!A:F,6,FALSE)),"","---&gt;")</f>
        <v/>
      </c>
      <c r="H1003" s="2" t="s">
        <v>841</v>
      </c>
      <c r="I1003" s="2" t="s">
        <v>842</v>
      </c>
      <c r="J1003" s="2" t="s">
        <v>843</v>
      </c>
      <c r="K1003" s="2"/>
    </row>
    <row r="1004" spans="1:11" ht="26.4" hidden="1" x14ac:dyDescent="0.3">
      <c r="A1004" t="str">
        <f t="shared" si="15"/>
        <v>Paws|Asemly|DANC</v>
      </c>
      <c r="B1004" s="2" t="s">
        <v>1768</v>
      </c>
      <c r="C1004" s="2" t="s">
        <v>1769</v>
      </c>
      <c r="D1004" s="2" t="s">
        <v>1867</v>
      </c>
      <c r="E1004" s="2" t="s">
        <v>873</v>
      </c>
      <c r="F1004" s="2" t="s">
        <v>1875</v>
      </c>
      <c r="G1004" s="8" t="str">
        <f>IF(ISNA(VLOOKUP(B1004&amp;"|"&amp;C1004&amp;"|"&amp;D1004&amp;"|"&amp;E1004,QuestionTriggers!A:F,6,FALSE)),"","---&gt;")</f>
        <v>---&gt;</v>
      </c>
      <c r="H1004" s="2" t="s">
        <v>1868</v>
      </c>
      <c r="I1004" s="2" t="s">
        <v>349</v>
      </c>
      <c r="J1004" s="2" t="s">
        <v>1869</v>
      </c>
      <c r="K1004" s="2"/>
    </row>
    <row r="1005" spans="1:11" ht="26.4" hidden="1" x14ac:dyDescent="0.3">
      <c r="A1005" t="str">
        <f t="shared" si="15"/>
        <v>Paws|Asemly|HEALTH</v>
      </c>
      <c r="B1005" s="2" t="s">
        <v>1768</v>
      </c>
      <c r="C1005" s="2" t="s">
        <v>1769</v>
      </c>
      <c r="D1005" s="2" t="s">
        <v>1867</v>
      </c>
      <c r="E1005" s="2" t="s">
        <v>20</v>
      </c>
      <c r="F1005" s="2" t="s">
        <v>1872</v>
      </c>
      <c r="G1005" s="8" t="str">
        <f>IF(ISNA(VLOOKUP(B1005&amp;"|"&amp;C1005&amp;"|"&amp;D1005&amp;"|"&amp;E1005,QuestionTriggers!A:F,6,FALSE)),"","---&gt;")</f>
        <v/>
      </c>
      <c r="H1005" s="2" t="s">
        <v>1868</v>
      </c>
      <c r="I1005" s="2" t="s">
        <v>349</v>
      </c>
      <c r="J1005" s="2" t="s">
        <v>1869</v>
      </c>
      <c r="K1005" s="2"/>
    </row>
    <row r="1006" spans="1:11" ht="26.4" hidden="1" x14ac:dyDescent="0.3">
      <c r="A1006" t="str">
        <f t="shared" si="15"/>
        <v>Paws|Asemly|JOB</v>
      </c>
      <c r="B1006" s="2" t="s">
        <v>1768</v>
      </c>
      <c r="C1006" s="2" t="s">
        <v>1769</v>
      </c>
      <c r="D1006" s="2" t="s">
        <v>1867</v>
      </c>
      <c r="E1006" s="2" t="s">
        <v>18</v>
      </c>
      <c r="F1006" s="2" t="s">
        <v>1871</v>
      </c>
      <c r="G1006" s="8" t="str">
        <f>IF(ISNA(VLOOKUP(B1006&amp;"|"&amp;C1006&amp;"|"&amp;D1006&amp;"|"&amp;E1006,QuestionTriggers!A:F,6,FALSE)),"","---&gt;")</f>
        <v/>
      </c>
      <c r="H1006" s="2" t="s">
        <v>1868</v>
      </c>
      <c r="I1006" s="2" t="s">
        <v>349</v>
      </c>
      <c r="J1006" s="2" t="s">
        <v>1869</v>
      </c>
      <c r="K1006" s="2"/>
    </row>
    <row r="1007" spans="1:11" ht="26.4" hidden="1" x14ac:dyDescent="0.3">
      <c r="A1007" t="str">
        <f t="shared" si="15"/>
        <v>Paws|Asemly|LOOK</v>
      </c>
      <c r="B1007" s="2" t="s">
        <v>1768</v>
      </c>
      <c r="C1007" s="2" t="s">
        <v>1769</v>
      </c>
      <c r="D1007" s="2" t="s">
        <v>1867</v>
      </c>
      <c r="E1007" s="2" t="s">
        <v>16</v>
      </c>
      <c r="F1007" s="2" t="s">
        <v>1870</v>
      </c>
      <c r="G1007" s="8" t="str">
        <f>IF(ISNA(VLOOKUP(B1007&amp;"|"&amp;C1007&amp;"|"&amp;D1007&amp;"|"&amp;E1007,QuestionTriggers!A:F,6,FALSE)),"","---&gt;")</f>
        <v/>
      </c>
      <c r="H1007" s="2" t="s">
        <v>1868</v>
      </c>
      <c r="I1007" s="2" t="s">
        <v>349</v>
      </c>
      <c r="J1007" s="2" t="s">
        <v>1869</v>
      </c>
      <c r="K1007" s="2"/>
    </row>
    <row r="1008" spans="1:11" ht="26.4" hidden="1" x14ac:dyDescent="0.3">
      <c r="A1008" t="str">
        <f t="shared" si="15"/>
        <v>Paws|Asemly|NAME</v>
      </c>
      <c r="B1008" s="2" t="s">
        <v>1768</v>
      </c>
      <c r="C1008" s="2" t="s">
        <v>1769</v>
      </c>
      <c r="D1008" s="2" t="s">
        <v>1867</v>
      </c>
      <c r="E1008" s="2" t="s">
        <v>12</v>
      </c>
      <c r="F1008" s="2" t="s">
        <v>1867</v>
      </c>
      <c r="G1008" s="8" t="str">
        <f>IF(ISNA(VLOOKUP(B1008&amp;"|"&amp;C1008&amp;"|"&amp;D1008&amp;"|"&amp;E1008,QuestionTriggers!A:F,6,FALSE)),"","---&gt;")</f>
        <v/>
      </c>
      <c r="H1008" s="2" t="s">
        <v>1868</v>
      </c>
      <c r="I1008" s="2" t="s">
        <v>349</v>
      </c>
      <c r="J1008" s="2" t="s">
        <v>1869</v>
      </c>
      <c r="K1008" s="2"/>
    </row>
    <row r="1009" spans="1:11" ht="26.4" hidden="1" x14ac:dyDescent="0.3">
      <c r="A1009" t="str">
        <f t="shared" si="15"/>
        <v>Paws|Asemly|SERV</v>
      </c>
      <c r="B1009" s="2" t="s">
        <v>1768</v>
      </c>
      <c r="C1009" s="2" t="s">
        <v>1769</v>
      </c>
      <c r="D1009" s="2" t="s">
        <v>1867</v>
      </c>
      <c r="E1009" s="2" t="s">
        <v>1873</v>
      </c>
      <c r="F1009" s="2" t="s">
        <v>1874</v>
      </c>
      <c r="G1009" s="8" t="str">
        <f>IF(ISNA(VLOOKUP(B1009&amp;"|"&amp;C1009&amp;"|"&amp;D1009&amp;"|"&amp;E1009,QuestionTriggers!A:F,6,FALSE)),"","---&gt;")</f>
        <v/>
      </c>
      <c r="H1009" s="2" t="s">
        <v>1868</v>
      </c>
      <c r="I1009" s="2" t="s">
        <v>349</v>
      </c>
      <c r="J1009" s="2" t="s">
        <v>1869</v>
      </c>
      <c r="K1009" s="2"/>
    </row>
    <row r="1010" spans="1:11" hidden="1" x14ac:dyDescent="0.3">
      <c r="A1010" t="str">
        <f t="shared" si="15"/>
        <v>Paws|Barren|HEALTH</v>
      </c>
      <c r="B1010" s="2" t="s">
        <v>1768</v>
      </c>
      <c r="C1010" s="2" t="s">
        <v>1769</v>
      </c>
      <c r="D1010" s="2" t="s">
        <v>1631</v>
      </c>
      <c r="E1010" s="2" t="s">
        <v>20</v>
      </c>
      <c r="F1010" s="2" t="s">
        <v>181</v>
      </c>
      <c r="G1010" s="8" t="str">
        <f>IF(ISNA(VLOOKUP(B1010&amp;"|"&amp;C1010&amp;"|"&amp;D1010&amp;"|"&amp;E1010,QuestionTriggers!A:F,6,FALSE)),"","---&gt;")</f>
        <v/>
      </c>
      <c r="H1010" s="2" t="s">
        <v>1846</v>
      </c>
      <c r="I1010" s="2" t="s">
        <v>1658</v>
      </c>
      <c r="J1010" s="2" t="s">
        <v>1847</v>
      </c>
      <c r="K1010" s="2"/>
    </row>
    <row r="1011" spans="1:11" hidden="1" x14ac:dyDescent="0.3">
      <c r="A1011" t="str">
        <f t="shared" si="15"/>
        <v>Paws|Barren|JOB</v>
      </c>
      <c r="B1011" s="2" t="s">
        <v>1768</v>
      </c>
      <c r="C1011" s="2" t="s">
        <v>1769</v>
      </c>
      <c r="D1011" s="2" t="s">
        <v>1631</v>
      </c>
      <c r="E1011" s="2" t="s">
        <v>18</v>
      </c>
      <c r="F1011" s="2" t="s">
        <v>1849</v>
      </c>
      <c r="G1011" s="8" t="str">
        <f>IF(ISNA(VLOOKUP(B1011&amp;"|"&amp;C1011&amp;"|"&amp;D1011&amp;"|"&amp;E1011,QuestionTriggers!A:F,6,FALSE)),"","---&gt;")</f>
        <v/>
      </c>
      <c r="H1011" s="2" t="s">
        <v>1846</v>
      </c>
      <c r="I1011" s="2" t="s">
        <v>1658</v>
      </c>
      <c r="J1011" s="2" t="s">
        <v>1847</v>
      </c>
      <c r="K1011" s="2"/>
    </row>
    <row r="1012" spans="1:11" hidden="1" x14ac:dyDescent="0.3">
      <c r="A1012" t="str">
        <f t="shared" si="15"/>
        <v>Paws|Barren|LAND</v>
      </c>
      <c r="B1012" s="2" t="s">
        <v>1768</v>
      </c>
      <c r="C1012" s="2" t="s">
        <v>1769</v>
      </c>
      <c r="D1012" s="2" t="s">
        <v>1631</v>
      </c>
      <c r="E1012" s="2" t="s">
        <v>1850</v>
      </c>
      <c r="F1012" s="2" t="s">
        <v>164</v>
      </c>
      <c r="G1012" s="8" t="str">
        <f>IF(ISNA(VLOOKUP(B1012&amp;"|"&amp;C1012&amp;"|"&amp;D1012&amp;"|"&amp;E1012,QuestionTriggers!A:F,6,FALSE)),"","---&gt;")</f>
        <v/>
      </c>
      <c r="H1012" s="2" t="s">
        <v>1846</v>
      </c>
      <c r="I1012" s="2" t="s">
        <v>1658</v>
      </c>
      <c r="J1012" s="2" t="s">
        <v>1847</v>
      </c>
      <c r="K1012" s="2"/>
    </row>
    <row r="1013" spans="1:11" hidden="1" x14ac:dyDescent="0.3">
      <c r="A1013" t="str">
        <f t="shared" si="15"/>
        <v>Paws|Barren|LOOK</v>
      </c>
      <c r="B1013" s="2" t="s">
        <v>1768</v>
      </c>
      <c r="C1013" s="2" t="s">
        <v>1769</v>
      </c>
      <c r="D1013" s="2" t="s">
        <v>1631</v>
      </c>
      <c r="E1013" s="2" t="s">
        <v>16</v>
      </c>
      <c r="F1013" s="2" t="s">
        <v>1848</v>
      </c>
      <c r="G1013" s="8" t="str">
        <f>IF(ISNA(VLOOKUP(B1013&amp;"|"&amp;C1013&amp;"|"&amp;D1013&amp;"|"&amp;E1013,QuestionTriggers!A:F,6,FALSE)),"","---&gt;")</f>
        <v/>
      </c>
      <c r="H1013" s="2" t="s">
        <v>1846</v>
      </c>
      <c r="I1013" s="2" t="s">
        <v>1658</v>
      </c>
      <c r="J1013" s="2" t="s">
        <v>1847</v>
      </c>
      <c r="K1013" s="2"/>
    </row>
    <row r="1014" spans="1:11" hidden="1" x14ac:dyDescent="0.3">
      <c r="A1014" t="str">
        <f t="shared" si="15"/>
        <v>Paws|Barren|NAME</v>
      </c>
      <c r="B1014" s="2" t="s">
        <v>1768</v>
      </c>
      <c r="C1014" s="2" t="s">
        <v>1769</v>
      </c>
      <c r="D1014" s="2" t="s">
        <v>1631</v>
      </c>
      <c r="E1014" s="2" t="s">
        <v>12</v>
      </c>
      <c r="F1014" s="2" t="s">
        <v>1631</v>
      </c>
      <c r="G1014" s="8" t="str">
        <f>IF(ISNA(VLOOKUP(B1014&amp;"|"&amp;C1014&amp;"|"&amp;D1014&amp;"|"&amp;E1014,QuestionTriggers!A:F,6,FALSE)),"","---&gt;")</f>
        <v/>
      </c>
      <c r="H1014" s="2" t="s">
        <v>1846</v>
      </c>
      <c r="I1014" s="2" t="s">
        <v>1658</v>
      </c>
      <c r="J1014" s="2" t="s">
        <v>1847</v>
      </c>
      <c r="K1014" s="2"/>
    </row>
    <row r="1015" spans="1:11" hidden="1" x14ac:dyDescent="0.3">
      <c r="A1015" t="str">
        <f t="shared" si="15"/>
        <v>Paws|Barren|RUNE</v>
      </c>
      <c r="B1015" s="2" t="s">
        <v>1768</v>
      </c>
      <c r="C1015" s="2" t="s">
        <v>1769</v>
      </c>
      <c r="D1015" s="2" t="s">
        <v>1631</v>
      </c>
      <c r="E1015" s="2" t="s">
        <v>847</v>
      </c>
      <c r="F1015" s="2" t="s">
        <v>1851</v>
      </c>
      <c r="G1015" s="8" t="str">
        <f>IF(ISNA(VLOOKUP(B1015&amp;"|"&amp;C1015&amp;"|"&amp;D1015&amp;"|"&amp;E1015,QuestionTriggers!A:F,6,FALSE)),"","---&gt;")</f>
        <v>---&gt;</v>
      </c>
      <c r="H1015" s="2" t="s">
        <v>1846</v>
      </c>
      <c r="I1015" s="2" t="s">
        <v>1658</v>
      </c>
      <c r="J1015" s="2" t="s">
        <v>1847</v>
      </c>
      <c r="K1015" s="2"/>
    </row>
    <row r="1016" spans="1:11" ht="26.4" hidden="1" x14ac:dyDescent="0.3">
      <c r="A1016" t="str">
        <f t="shared" si="15"/>
        <v>Paws|Bartender|Mandrake (40 gold)</v>
      </c>
      <c r="B1016" s="2" t="s">
        <v>1768</v>
      </c>
      <c r="C1016" s="2" t="s">
        <v>1769</v>
      </c>
      <c r="D1016" s="2" t="s">
        <v>2277</v>
      </c>
      <c r="E1016" s="2" t="s">
        <v>2286</v>
      </c>
      <c r="F1016" s="2" t="s">
        <v>2287</v>
      </c>
      <c r="G1016" s="8" t="str">
        <f>IF(ISNA(VLOOKUP(B1016&amp;"|"&amp;C1016&amp;"|"&amp;D1016&amp;"|"&amp;E1016,QuestionTriggers!A:F,6,FALSE)),"","---&gt;")</f>
        <v/>
      </c>
    </row>
    <row r="1017" spans="1:11" hidden="1" x14ac:dyDescent="0.3">
      <c r="A1017" t="str">
        <f t="shared" si="15"/>
        <v>Paws|Damsel|FOOD</v>
      </c>
      <c r="B1017" s="2" t="s">
        <v>1768</v>
      </c>
      <c r="C1017" s="2" t="s">
        <v>1769</v>
      </c>
      <c r="D1017" s="2" t="s">
        <v>1832</v>
      </c>
      <c r="E1017" s="2" t="s">
        <v>126</v>
      </c>
      <c r="F1017" s="2" t="s">
        <v>1839</v>
      </c>
      <c r="G1017" s="8" t="str">
        <f>IF(ISNA(VLOOKUP(B1017&amp;"|"&amp;C1017&amp;"|"&amp;D1017&amp;"|"&amp;E1017,QuestionTriggers!A:F,6,FALSE)),"","---&gt;")</f>
        <v/>
      </c>
      <c r="H1017" s="2" t="s">
        <v>1833</v>
      </c>
      <c r="I1017" s="2" t="s">
        <v>1834</v>
      </c>
      <c r="J1017" s="2" t="s">
        <v>1835</v>
      </c>
      <c r="K1017" s="2"/>
    </row>
    <row r="1018" spans="1:11" hidden="1" x14ac:dyDescent="0.3">
      <c r="A1018" t="str">
        <f t="shared" si="15"/>
        <v>Paws|Damsel|HEALTH</v>
      </c>
      <c r="B1018" s="2" t="s">
        <v>1768</v>
      </c>
      <c r="C1018" s="2" t="s">
        <v>1769</v>
      </c>
      <c r="D1018" s="2" t="s">
        <v>1832</v>
      </c>
      <c r="E1018" s="2" t="s">
        <v>20</v>
      </c>
      <c r="F1018" s="2" t="s">
        <v>1838</v>
      </c>
      <c r="G1018" s="8" t="str">
        <f>IF(ISNA(VLOOKUP(B1018&amp;"|"&amp;C1018&amp;"|"&amp;D1018&amp;"|"&amp;E1018,QuestionTriggers!A:F,6,FALSE)),"","---&gt;")</f>
        <v/>
      </c>
      <c r="H1018" s="2" t="s">
        <v>1833</v>
      </c>
      <c r="I1018" s="2" t="s">
        <v>1834</v>
      </c>
      <c r="J1018" s="2" t="s">
        <v>1835</v>
      </c>
      <c r="K1018" s="2"/>
    </row>
    <row r="1019" spans="1:11" hidden="1" x14ac:dyDescent="0.3">
      <c r="A1019" t="str">
        <f t="shared" si="15"/>
        <v>Paws|Damsel|JOB</v>
      </c>
      <c r="B1019" s="2" t="s">
        <v>1768</v>
      </c>
      <c r="C1019" s="2" t="s">
        <v>1769</v>
      </c>
      <c r="D1019" s="2" t="s">
        <v>1832</v>
      </c>
      <c r="E1019" s="2" t="s">
        <v>18</v>
      </c>
      <c r="F1019" s="2" t="s">
        <v>1837</v>
      </c>
      <c r="G1019" s="8" t="str">
        <f>IF(ISNA(VLOOKUP(B1019&amp;"|"&amp;C1019&amp;"|"&amp;D1019&amp;"|"&amp;E1019,QuestionTriggers!A:F,6,FALSE)),"","---&gt;")</f>
        <v/>
      </c>
      <c r="H1019" s="2" t="s">
        <v>1833</v>
      </c>
      <c r="I1019" s="2" t="s">
        <v>1834</v>
      </c>
      <c r="J1019" s="2" t="s">
        <v>1835</v>
      </c>
      <c r="K1019" s="2"/>
    </row>
    <row r="1020" spans="1:11" hidden="1" x14ac:dyDescent="0.3">
      <c r="A1020" t="str">
        <f t="shared" si="15"/>
        <v>Paws|Damsel|LOOK</v>
      </c>
      <c r="B1020" s="2" t="s">
        <v>1768</v>
      </c>
      <c r="C1020" s="2" t="s">
        <v>1769</v>
      </c>
      <c r="D1020" s="2" t="s">
        <v>1832</v>
      </c>
      <c r="E1020" s="2" t="s">
        <v>16</v>
      </c>
      <c r="F1020" s="2" t="s">
        <v>1836</v>
      </c>
      <c r="G1020" s="8" t="str">
        <f>IF(ISNA(VLOOKUP(B1020&amp;"|"&amp;C1020&amp;"|"&amp;D1020&amp;"|"&amp;E1020,QuestionTriggers!A:F,6,FALSE)),"","---&gt;")</f>
        <v/>
      </c>
      <c r="H1020" s="2" t="s">
        <v>1833</v>
      </c>
      <c r="I1020" s="2" t="s">
        <v>1834</v>
      </c>
      <c r="J1020" s="2" t="s">
        <v>1835</v>
      </c>
      <c r="K1020" s="2"/>
    </row>
    <row r="1021" spans="1:11" hidden="1" x14ac:dyDescent="0.3">
      <c r="A1021" t="str">
        <f t="shared" si="15"/>
        <v>Paws|Damsel|NAME</v>
      </c>
      <c r="B1021" s="2" t="s">
        <v>1768</v>
      </c>
      <c r="C1021" s="2" t="s">
        <v>1769</v>
      </c>
      <c r="D1021" s="2" t="s">
        <v>1832</v>
      </c>
      <c r="E1021" s="2" t="s">
        <v>12</v>
      </c>
      <c r="F1021" s="2" t="s">
        <v>1832</v>
      </c>
      <c r="G1021" s="8" t="str">
        <f>IF(ISNA(VLOOKUP(B1021&amp;"|"&amp;C1021&amp;"|"&amp;D1021&amp;"|"&amp;E1021,QuestionTriggers!A:F,6,FALSE)),"","---&gt;")</f>
        <v/>
      </c>
      <c r="H1021" s="2" t="s">
        <v>1833</v>
      </c>
      <c r="I1021" s="2" t="s">
        <v>1834</v>
      </c>
      <c r="J1021" s="2" t="s">
        <v>1835</v>
      </c>
      <c r="K1021" s="2"/>
    </row>
    <row r="1022" spans="1:11" hidden="1" x14ac:dyDescent="0.3">
      <c r="A1022" t="str">
        <f t="shared" si="15"/>
        <v>Paws|Damsel|RATI</v>
      </c>
      <c r="B1022" s="2" t="s">
        <v>1768</v>
      </c>
      <c r="C1022" s="2" t="s">
        <v>1769</v>
      </c>
      <c r="D1022" s="2" t="s">
        <v>1832</v>
      </c>
      <c r="E1022" s="2" t="s">
        <v>1840</v>
      </c>
      <c r="F1022" s="2" t="s">
        <v>1841</v>
      </c>
      <c r="G1022" s="8" t="str">
        <f>IF(ISNA(VLOOKUP(B1022&amp;"|"&amp;C1022&amp;"|"&amp;D1022&amp;"|"&amp;E1022,QuestionTriggers!A:F,6,FALSE)),"","---&gt;")</f>
        <v>---&gt;</v>
      </c>
      <c r="H1022" s="2" t="s">
        <v>1833</v>
      </c>
      <c r="I1022" s="2" t="s">
        <v>1834</v>
      </c>
      <c r="J1022" s="2" t="s">
        <v>1835</v>
      </c>
      <c r="K1022" s="2"/>
    </row>
    <row r="1023" spans="1:11" ht="26.4" hidden="1" x14ac:dyDescent="0.3">
      <c r="A1023" t="str">
        <f t="shared" si="15"/>
        <v>Paws|Francesca|HEALTH</v>
      </c>
      <c r="B1023" s="2" t="s">
        <v>1768</v>
      </c>
      <c r="C1023" s="2" t="s">
        <v>1769</v>
      </c>
      <c r="D1023" s="2" t="s">
        <v>1777</v>
      </c>
      <c r="E1023" s="2" t="s">
        <v>20</v>
      </c>
      <c r="F1023" s="2" t="s">
        <v>1783</v>
      </c>
      <c r="G1023" s="8" t="str">
        <f>IF(ISNA(VLOOKUP(B1023&amp;"|"&amp;C1023&amp;"|"&amp;D1023&amp;"|"&amp;E1023,QuestionTriggers!A:F,6,FALSE)),"","---&gt;")</f>
        <v/>
      </c>
      <c r="H1023" s="2" t="s">
        <v>1778</v>
      </c>
      <c r="I1023" s="2" t="s">
        <v>1779</v>
      </c>
      <c r="J1023" s="2" t="s">
        <v>1780</v>
      </c>
      <c r="K1023" s="2"/>
    </row>
    <row r="1024" spans="1:11" ht="26.4" hidden="1" x14ac:dyDescent="0.3">
      <c r="A1024" t="str">
        <f t="shared" si="15"/>
        <v>Paws|Francesca|JOB</v>
      </c>
      <c r="B1024" s="2" t="s">
        <v>1768</v>
      </c>
      <c r="C1024" s="2" t="s">
        <v>1769</v>
      </c>
      <c r="D1024" s="2" t="s">
        <v>1777</v>
      </c>
      <c r="E1024" s="2" t="s">
        <v>18</v>
      </c>
      <c r="F1024" s="2" t="s">
        <v>1782</v>
      </c>
      <c r="G1024" s="8" t="str">
        <f>IF(ISNA(VLOOKUP(B1024&amp;"|"&amp;C1024&amp;"|"&amp;D1024&amp;"|"&amp;E1024,QuestionTriggers!A:F,6,FALSE)),"","---&gt;")</f>
        <v/>
      </c>
      <c r="H1024" s="2" t="s">
        <v>1778</v>
      </c>
      <c r="I1024" s="2" t="s">
        <v>1779</v>
      </c>
      <c r="J1024" s="2" t="s">
        <v>1780</v>
      </c>
      <c r="K1024" s="2"/>
    </row>
    <row r="1025" spans="1:11" ht="26.4" hidden="1" x14ac:dyDescent="0.3">
      <c r="A1025" t="str">
        <f t="shared" si="15"/>
        <v>Paws|Francesca|LOOK</v>
      </c>
      <c r="B1025" s="2" t="s">
        <v>1768</v>
      </c>
      <c r="C1025" s="2" t="s">
        <v>1769</v>
      </c>
      <c r="D1025" s="2" t="s">
        <v>1777</v>
      </c>
      <c r="E1025" s="2" t="s">
        <v>16</v>
      </c>
      <c r="F1025" s="2" t="s">
        <v>1781</v>
      </c>
      <c r="G1025" s="8" t="str">
        <f>IF(ISNA(VLOOKUP(B1025&amp;"|"&amp;C1025&amp;"|"&amp;D1025&amp;"|"&amp;E1025,QuestionTriggers!A:F,6,FALSE)),"","---&gt;")</f>
        <v/>
      </c>
      <c r="H1025" s="2" t="s">
        <v>1778</v>
      </c>
      <c r="I1025" s="2" t="s">
        <v>1779</v>
      </c>
      <c r="J1025" s="2" t="s">
        <v>1780</v>
      </c>
      <c r="K1025" s="2"/>
    </row>
    <row r="1026" spans="1:11" ht="26.4" hidden="1" x14ac:dyDescent="0.3">
      <c r="A1026" t="str">
        <f t="shared" si="15"/>
        <v>Paws|Francesca|NAME</v>
      </c>
      <c r="B1026" s="2" t="s">
        <v>1768</v>
      </c>
      <c r="C1026" s="2" t="s">
        <v>1769</v>
      </c>
      <c r="D1026" s="2" t="s">
        <v>1777</v>
      </c>
      <c r="E1026" s="2" t="s">
        <v>12</v>
      </c>
      <c r="F1026" s="2" t="s">
        <v>1777</v>
      </c>
      <c r="G1026" s="8" t="str">
        <f>IF(ISNA(VLOOKUP(B1026&amp;"|"&amp;C1026&amp;"|"&amp;D1026&amp;"|"&amp;E1026,QuestionTriggers!A:F,6,FALSE)),"","---&gt;")</f>
        <v/>
      </c>
      <c r="H1026" s="2" t="s">
        <v>1778</v>
      </c>
      <c r="I1026" s="2" t="s">
        <v>1779</v>
      </c>
      <c r="J1026" s="2" t="s">
        <v>1780</v>
      </c>
      <c r="K1026" s="2"/>
    </row>
    <row r="1027" spans="1:11" ht="26.4" hidden="1" x14ac:dyDescent="0.3">
      <c r="A1027" t="str">
        <f t="shared" ref="A1027:A1090" si="16">C1027&amp;"|"&amp;D1027&amp;"|"&amp;E1027</f>
        <v>Paws|Francesca|SMIT</v>
      </c>
      <c r="B1027" s="2" t="s">
        <v>1768</v>
      </c>
      <c r="C1027" s="2" t="s">
        <v>1769</v>
      </c>
      <c r="D1027" s="2" t="s">
        <v>1777</v>
      </c>
      <c r="E1027" s="2" t="s">
        <v>1786</v>
      </c>
      <c r="F1027" s="2" t="s">
        <v>1787</v>
      </c>
      <c r="G1027" s="8" t="str">
        <f>IF(ISNA(VLOOKUP(B1027&amp;"|"&amp;C1027&amp;"|"&amp;D1027&amp;"|"&amp;E1027,QuestionTriggers!A:F,6,FALSE)),"","---&gt;")</f>
        <v>---&gt;</v>
      </c>
      <c r="H1027" s="2" t="s">
        <v>1778</v>
      </c>
      <c r="I1027" s="2" t="s">
        <v>1779</v>
      </c>
      <c r="J1027" s="2" t="s">
        <v>1780</v>
      </c>
      <c r="K1027" s="2"/>
    </row>
    <row r="1028" spans="1:11" ht="26.4" hidden="1" x14ac:dyDescent="0.3">
      <c r="A1028" t="str">
        <f t="shared" si="16"/>
        <v>Paws|Francesca|STAB</v>
      </c>
      <c r="B1028" s="2" t="s">
        <v>1768</v>
      </c>
      <c r="C1028" s="2" t="s">
        <v>1769</v>
      </c>
      <c r="D1028" s="2" t="s">
        <v>1777</v>
      </c>
      <c r="E1028" s="2" t="s">
        <v>1784</v>
      </c>
      <c r="F1028" s="2" t="s">
        <v>1785</v>
      </c>
      <c r="G1028" s="8" t="str">
        <f>IF(ISNA(VLOOKUP(B1028&amp;"|"&amp;C1028&amp;"|"&amp;D1028&amp;"|"&amp;E1028,QuestionTriggers!A:F,6,FALSE)),"","---&gt;")</f>
        <v/>
      </c>
      <c r="H1028" s="2" t="s">
        <v>1778</v>
      </c>
      <c r="I1028" s="2" t="s">
        <v>1779</v>
      </c>
      <c r="J1028" s="2" t="s">
        <v>1780</v>
      </c>
      <c r="K1028" s="2"/>
    </row>
    <row r="1029" spans="1:11" ht="39.6" hidden="1" x14ac:dyDescent="0.3">
      <c r="A1029" t="str">
        <f t="shared" si="16"/>
        <v>Paws|Jingles|HEALTH</v>
      </c>
      <c r="B1029" s="2" t="s">
        <v>1768</v>
      </c>
      <c r="C1029" s="2" t="s">
        <v>1769</v>
      </c>
      <c r="D1029" s="2" t="s">
        <v>1815</v>
      </c>
      <c r="E1029" s="2" t="s">
        <v>20</v>
      </c>
      <c r="F1029" s="2" t="s">
        <v>189</v>
      </c>
      <c r="G1029" s="8" t="str">
        <f>IF(ISNA(VLOOKUP(B1029&amp;"|"&amp;C1029&amp;"|"&amp;D1029&amp;"|"&amp;E1029,QuestionTriggers!A:F,6,FALSE)),"","---&gt;")</f>
        <v/>
      </c>
      <c r="H1029" s="2" t="s">
        <v>1442</v>
      </c>
      <c r="I1029" s="2" t="s">
        <v>177</v>
      </c>
      <c r="J1029" s="2" t="s">
        <v>1816</v>
      </c>
      <c r="K1029" s="2"/>
    </row>
    <row r="1030" spans="1:11" ht="39.6" hidden="1" x14ac:dyDescent="0.3">
      <c r="A1030" t="str">
        <f t="shared" si="16"/>
        <v>Paws|Jingles|JOB</v>
      </c>
      <c r="B1030" s="2" t="s">
        <v>1768</v>
      </c>
      <c r="C1030" s="2" t="s">
        <v>1769</v>
      </c>
      <c r="D1030" s="2" t="s">
        <v>1815</v>
      </c>
      <c r="E1030" s="2" t="s">
        <v>18</v>
      </c>
      <c r="F1030" s="2" t="s">
        <v>1818</v>
      </c>
      <c r="G1030" s="8" t="str">
        <f>IF(ISNA(VLOOKUP(B1030&amp;"|"&amp;C1030&amp;"|"&amp;D1030&amp;"|"&amp;E1030,QuestionTriggers!A:F,6,FALSE)),"","---&gt;")</f>
        <v/>
      </c>
      <c r="H1030" s="2" t="s">
        <v>1442</v>
      </c>
      <c r="I1030" s="2" t="s">
        <v>177</v>
      </c>
      <c r="J1030" s="2" t="s">
        <v>1816</v>
      </c>
      <c r="K1030" s="2"/>
    </row>
    <row r="1031" spans="1:11" ht="39.6" hidden="1" x14ac:dyDescent="0.3">
      <c r="A1031" t="str">
        <f t="shared" si="16"/>
        <v>Paws|Jingles|LOOK</v>
      </c>
      <c r="B1031" s="2" t="s">
        <v>1768</v>
      </c>
      <c r="C1031" s="2" t="s">
        <v>1769</v>
      </c>
      <c r="D1031" s="2" t="s">
        <v>1815</v>
      </c>
      <c r="E1031" s="2" t="s">
        <v>16</v>
      </c>
      <c r="F1031" s="2" t="s">
        <v>1817</v>
      </c>
      <c r="G1031" s="8" t="str">
        <f>IF(ISNA(VLOOKUP(B1031&amp;"|"&amp;C1031&amp;"|"&amp;D1031&amp;"|"&amp;E1031,QuestionTriggers!A:F,6,FALSE)),"","---&gt;")</f>
        <v/>
      </c>
      <c r="H1031" s="2" t="s">
        <v>1442</v>
      </c>
      <c r="I1031" s="2" t="s">
        <v>177</v>
      </c>
      <c r="J1031" s="2" t="s">
        <v>1816</v>
      </c>
      <c r="K1031" s="2"/>
    </row>
    <row r="1032" spans="1:11" ht="39.6" hidden="1" x14ac:dyDescent="0.3">
      <c r="A1032" t="str">
        <f t="shared" si="16"/>
        <v>Paws|Jingles|MAGI</v>
      </c>
      <c r="B1032" s="2" t="s">
        <v>1768</v>
      </c>
      <c r="C1032" s="2" t="s">
        <v>1769</v>
      </c>
      <c r="D1032" s="2" t="s">
        <v>1815</v>
      </c>
      <c r="E1032" s="2" t="s">
        <v>912</v>
      </c>
      <c r="F1032" s="2" t="s">
        <v>1819</v>
      </c>
      <c r="G1032" s="8" t="str">
        <f>IF(ISNA(VLOOKUP(B1032&amp;"|"&amp;C1032&amp;"|"&amp;D1032&amp;"|"&amp;E1032,QuestionTriggers!A:F,6,FALSE)),"","---&gt;")</f>
        <v/>
      </c>
      <c r="H1032" s="2" t="s">
        <v>1442</v>
      </c>
      <c r="I1032" s="2" t="s">
        <v>177</v>
      </c>
      <c r="J1032" s="2" t="s">
        <v>1816</v>
      </c>
      <c r="K1032" s="2"/>
    </row>
    <row r="1033" spans="1:11" ht="39.6" hidden="1" x14ac:dyDescent="0.3">
      <c r="A1033" t="str">
        <f t="shared" si="16"/>
        <v>Paws|Jingles|MAST</v>
      </c>
      <c r="B1033" s="2" t="s">
        <v>1768</v>
      </c>
      <c r="C1033" s="2" t="s">
        <v>1769</v>
      </c>
      <c r="D1033" s="2" t="s">
        <v>1815</v>
      </c>
      <c r="E1033" s="2" t="s">
        <v>1820</v>
      </c>
      <c r="F1033" s="2" t="s">
        <v>1821</v>
      </c>
      <c r="G1033" s="8" t="str">
        <f>IF(ISNA(VLOOKUP(B1033&amp;"|"&amp;C1033&amp;"|"&amp;D1033&amp;"|"&amp;E1033,QuestionTriggers!A:F,6,FALSE)),"","---&gt;")</f>
        <v>---&gt;</v>
      </c>
      <c r="H1033" s="2" t="s">
        <v>1442</v>
      </c>
      <c r="I1033" s="2" t="s">
        <v>177</v>
      </c>
      <c r="J1033" s="2" t="s">
        <v>1816</v>
      </c>
      <c r="K1033" s="2"/>
    </row>
    <row r="1034" spans="1:11" ht="39.6" hidden="1" x14ac:dyDescent="0.3">
      <c r="A1034" t="str">
        <f t="shared" si="16"/>
        <v>Paws|Jingles|NAME</v>
      </c>
      <c r="B1034" s="2" t="s">
        <v>1768</v>
      </c>
      <c r="C1034" s="2" t="s">
        <v>1769</v>
      </c>
      <c r="D1034" s="2" t="s">
        <v>1815</v>
      </c>
      <c r="E1034" s="2" t="s">
        <v>12</v>
      </c>
      <c r="F1034" s="2" t="s">
        <v>1815</v>
      </c>
      <c r="G1034" s="8" t="str">
        <f>IF(ISNA(VLOOKUP(B1034&amp;"|"&amp;C1034&amp;"|"&amp;D1034&amp;"|"&amp;E1034,QuestionTriggers!A:F,6,FALSE)),"","---&gt;")</f>
        <v/>
      </c>
      <c r="H1034" s="2" t="s">
        <v>1442</v>
      </c>
      <c r="I1034" s="2" t="s">
        <v>177</v>
      </c>
      <c r="J1034" s="2" t="s">
        <v>1816</v>
      </c>
      <c r="K1034" s="2"/>
    </row>
    <row r="1035" spans="1:11" ht="26.4" hidden="1" x14ac:dyDescent="0.3">
      <c r="A1035" t="str">
        <f t="shared" si="16"/>
        <v>Paws|Lady Tessa|HEALTH</v>
      </c>
      <c r="B1035" s="2" t="s">
        <v>1768</v>
      </c>
      <c r="C1035" s="2" t="s">
        <v>1769</v>
      </c>
      <c r="D1035" s="2" t="s">
        <v>1863</v>
      </c>
      <c r="E1035" s="2" t="s">
        <v>20</v>
      </c>
      <c r="F1035" s="2" t="s">
        <v>93</v>
      </c>
      <c r="G1035" s="8" t="str">
        <f>IF(ISNA(VLOOKUP(B1035&amp;"|"&amp;C1035&amp;"|"&amp;D1035&amp;"|"&amp;E1035,QuestionTriggers!A:F,6,FALSE)),"","---&gt;")</f>
        <v/>
      </c>
      <c r="H1035" s="2" t="s">
        <v>1856</v>
      </c>
      <c r="I1035" s="2" t="s">
        <v>1864</v>
      </c>
      <c r="J1035" s="2" t="s">
        <v>197</v>
      </c>
      <c r="K1035" s="2"/>
    </row>
    <row r="1036" spans="1:11" ht="26.4" hidden="1" x14ac:dyDescent="0.3">
      <c r="A1036" t="str">
        <f t="shared" si="16"/>
        <v>Paws|Lady Tessa|JOB</v>
      </c>
      <c r="B1036" s="2" t="s">
        <v>1768</v>
      </c>
      <c r="C1036" s="2" t="s">
        <v>1769</v>
      </c>
      <c r="D1036" s="2" t="s">
        <v>1863</v>
      </c>
      <c r="E1036" s="2" t="s">
        <v>18</v>
      </c>
      <c r="F1036" s="2" t="s">
        <v>1859</v>
      </c>
      <c r="G1036" s="8" t="str">
        <f>IF(ISNA(VLOOKUP(B1036&amp;"|"&amp;C1036&amp;"|"&amp;D1036&amp;"|"&amp;E1036,QuestionTriggers!A:F,6,FALSE)),"","---&gt;")</f>
        <v/>
      </c>
      <c r="H1036" s="2" t="s">
        <v>1856</v>
      </c>
      <c r="I1036" s="2" t="s">
        <v>1864</v>
      </c>
      <c r="J1036" s="2" t="s">
        <v>197</v>
      </c>
      <c r="K1036" s="2"/>
    </row>
    <row r="1037" spans="1:11" ht="26.4" hidden="1" x14ac:dyDescent="0.3">
      <c r="A1037" t="str">
        <f t="shared" si="16"/>
        <v>Paws|Lady Tessa|KEEP</v>
      </c>
      <c r="B1037" s="2" t="s">
        <v>1768</v>
      </c>
      <c r="C1037" s="2" t="s">
        <v>1769</v>
      </c>
      <c r="D1037" s="2" t="s">
        <v>1863</v>
      </c>
      <c r="E1037" s="2" t="s">
        <v>1860</v>
      </c>
      <c r="F1037" s="2" t="s">
        <v>1866</v>
      </c>
      <c r="G1037" s="8" t="str">
        <f>IF(ISNA(VLOOKUP(B1037&amp;"|"&amp;C1037&amp;"|"&amp;D1037&amp;"|"&amp;E1037,QuestionTriggers!A:F,6,FALSE)),"","---&gt;")</f>
        <v/>
      </c>
      <c r="H1037" s="2" t="s">
        <v>1856</v>
      </c>
      <c r="I1037" s="2" t="s">
        <v>1864</v>
      </c>
      <c r="J1037" s="2" t="s">
        <v>197</v>
      </c>
      <c r="K1037" s="2"/>
    </row>
    <row r="1038" spans="1:11" ht="26.4" hidden="1" x14ac:dyDescent="0.3">
      <c r="A1038" t="str">
        <f t="shared" si="16"/>
        <v>Paws|Lady Tessa|LOOK</v>
      </c>
      <c r="B1038" s="2" t="s">
        <v>1768</v>
      </c>
      <c r="C1038" s="2" t="s">
        <v>1769</v>
      </c>
      <c r="D1038" s="2" t="s">
        <v>1863</v>
      </c>
      <c r="E1038" s="2" t="s">
        <v>16</v>
      </c>
      <c r="F1038" s="2" t="s">
        <v>1865</v>
      </c>
      <c r="G1038" s="8" t="str">
        <f>IF(ISNA(VLOOKUP(B1038&amp;"|"&amp;C1038&amp;"|"&amp;D1038&amp;"|"&amp;E1038,QuestionTriggers!A:F,6,FALSE)),"","---&gt;")</f>
        <v/>
      </c>
      <c r="H1038" s="2" t="s">
        <v>1856</v>
      </c>
      <c r="I1038" s="2" t="s">
        <v>1864</v>
      </c>
      <c r="J1038" s="2" t="s">
        <v>197</v>
      </c>
      <c r="K1038" s="2"/>
    </row>
    <row r="1039" spans="1:11" ht="26.4" hidden="1" x14ac:dyDescent="0.3">
      <c r="A1039" t="str">
        <f t="shared" si="16"/>
        <v>Paws|Lady Tessa|MYST</v>
      </c>
      <c r="B1039" s="2" t="s">
        <v>1768</v>
      </c>
      <c r="C1039" s="2" t="s">
        <v>1769</v>
      </c>
      <c r="D1039" s="2" t="s">
        <v>1863</v>
      </c>
      <c r="E1039" s="2" t="s">
        <v>1235</v>
      </c>
      <c r="F1039" s="2" t="s">
        <v>1862</v>
      </c>
      <c r="G1039" s="8" t="str">
        <f>IF(ISNA(VLOOKUP(B1039&amp;"|"&amp;C1039&amp;"|"&amp;D1039&amp;"|"&amp;E1039,QuestionTriggers!A:F,6,FALSE)),"","---&gt;")</f>
        <v>---&gt;</v>
      </c>
      <c r="H1039" s="2" t="s">
        <v>1856</v>
      </c>
      <c r="I1039" s="2" t="s">
        <v>1864</v>
      </c>
      <c r="J1039" s="2" t="s">
        <v>197</v>
      </c>
      <c r="K1039" s="2"/>
    </row>
    <row r="1040" spans="1:11" ht="26.4" hidden="1" x14ac:dyDescent="0.3">
      <c r="A1040" t="str">
        <f t="shared" si="16"/>
        <v>Paws|Lady Tessa|NAME</v>
      </c>
      <c r="B1040" s="2" t="s">
        <v>1768</v>
      </c>
      <c r="C1040" s="2" t="s">
        <v>1769</v>
      </c>
      <c r="D1040" s="2" t="s">
        <v>1863</v>
      </c>
      <c r="E1040" s="2" t="s">
        <v>12</v>
      </c>
      <c r="F1040" s="2" t="s">
        <v>1863</v>
      </c>
      <c r="G1040" s="8" t="str">
        <f>IF(ISNA(VLOOKUP(B1040&amp;"|"&amp;C1040&amp;"|"&amp;D1040&amp;"|"&amp;E1040,QuestionTriggers!A:F,6,FALSE)),"","---&gt;")</f>
        <v/>
      </c>
      <c r="H1040" s="2" t="s">
        <v>1856</v>
      </c>
      <c r="I1040" s="2" t="s">
        <v>1864</v>
      </c>
      <c r="J1040" s="2" t="s">
        <v>197</v>
      </c>
      <c r="K1040" s="2"/>
    </row>
    <row r="1041" spans="1:11" hidden="1" x14ac:dyDescent="0.3">
      <c r="A1041" t="str">
        <f t="shared" si="16"/>
        <v>Paws|Little Jon|BRIT</v>
      </c>
      <c r="B1041" s="2" t="s">
        <v>1768</v>
      </c>
      <c r="C1041" s="2" t="s">
        <v>1769</v>
      </c>
      <c r="D1041" s="2" t="s">
        <v>1876</v>
      </c>
      <c r="E1041" s="2" t="s">
        <v>261</v>
      </c>
      <c r="F1041" s="2" t="s">
        <v>1883</v>
      </c>
      <c r="G1041" s="8" t="str">
        <f>IF(ISNA(VLOOKUP(B1041&amp;"|"&amp;C1041&amp;"|"&amp;D1041&amp;"|"&amp;E1041,QuestionTriggers!A:F,6,FALSE)),"","---&gt;")</f>
        <v/>
      </c>
      <c r="H1041" s="2" t="s">
        <v>1877</v>
      </c>
      <c r="I1041" s="2" t="s">
        <v>1878</v>
      </c>
      <c r="J1041" s="2" t="s">
        <v>1879</v>
      </c>
      <c r="K1041" s="2"/>
    </row>
    <row r="1042" spans="1:11" hidden="1" x14ac:dyDescent="0.3">
      <c r="A1042" t="str">
        <f t="shared" si="16"/>
        <v>Paws|Little Jon|EART</v>
      </c>
      <c r="B1042" s="2" t="s">
        <v>1768</v>
      </c>
      <c r="C1042" s="2" t="s">
        <v>1769</v>
      </c>
      <c r="D1042" s="2" t="s">
        <v>1876</v>
      </c>
      <c r="E1042" s="2" t="s">
        <v>1884</v>
      </c>
      <c r="F1042" s="2" t="s">
        <v>1885</v>
      </c>
      <c r="G1042" s="8" t="str">
        <f>IF(ISNA(VLOOKUP(B1042&amp;"|"&amp;C1042&amp;"|"&amp;D1042&amp;"|"&amp;E1042,QuestionTriggers!A:F,6,FALSE)),"","---&gt;")</f>
        <v>---&gt;</v>
      </c>
      <c r="H1042" s="2" t="s">
        <v>1877</v>
      </c>
      <c r="I1042" s="2" t="s">
        <v>1878</v>
      </c>
      <c r="J1042" s="2" t="s">
        <v>1879</v>
      </c>
      <c r="K1042" s="2"/>
    </row>
    <row r="1043" spans="1:11" hidden="1" x14ac:dyDescent="0.3">
      <c r="A1043" t="str">
        <f t="shared" si="16"/>
        <v>Paws|Little Jon|HEALTH</v>
      </c>
      <c r="B1043" s="2" t="s">
        <v>1768</v>
      </c>
      <c r="C1043" s="2" t="s">
        <v>1769</v>
      </c>
      <c r="D1043" s="2" t="s">
        <v>1876</v>
      </c>
      <c r="E1043" s="2" t="s">
        <v>20</v>
      </c>
      <c r="F1043" s="2" t="s">
        <v>1882</v>
      </c>
      <c r="G1043" s="8" t="str">
        <f>IF(ISNA(VLOOKUP(B1043&amp;"|"&amp;C1043&amp;"|"&amp;D1043&amp;"|"&amp;E1043,QuestionTriggers!A:F,6,FALSE)),"","---&gt;")</f>
        <v/>
      </c>
      <c r="H1043" s="2" t="s">
        <v>1877</v>
      </c>
      <c r="I1043" s="2" t="s">
        <v>1878</v>
      </c>
      <c r="J1043" s="2" t="s">
        <v>1879</v>
      </c>
      <c r="K1043" s="2"/>
    </row>
    <row r="1044" spans="1:11" hidden="1" x14ac:dyDescent="0.3">
      <c r="A1044" t="str">
        <f t="shared" si="16"/>
        <v>Paws|Little Jon|JOB</v>
      </c>
      <c r="B1044" s="2" t="s">
        <v>1768</v>
      </c>
      <c r="C1044" s="2" t="s">
        <v>1769</v>
      </c>
      <c r="D1044" s="2" t="s">
        <v>1876</v>
      </c>
      <c r="E1044" s="2" t="s">
        <v>18</v>
      </c>
      <c r="F1044" s="2" t="s">
        <v>1881</v>
      </c>
      <c r="G1044" s="8" t="str">
        <f>IF(ISNA(VLOOKUP(B1044&amp;"|"&amp;C1044&amp;"|"&amp;D1044&amp;"|"&amp;E1044,QuestionTriggers!A:F,6,FALSE)),"","---&gt;")</f>
        <v/>
      </c>
      <c r="H1044" s="2" t="s">
        <v>1877</v>
      </c>
      <c r="I1044" s="2" t="s">
        <v>1878</v>
      </c>
      <c r="J1044" s="2" t="s">
        <v>1879</v>
      </c>
      <c r="K1044" s="2"/>
    </row>
    <row r="1045" spans="1:11" hidden="1" x14ac:dyDescent="0.3">
      <c r="A1045" t="str">
        <f t="shared" si="16"/>
        <v>Paws|Little Jon|LOOK</v>
      </c>
      <c r="B1045" s="2" t="s">
        <v>1768</v>
      </c>
      <c r="C1045" s="2" t="s">
        <v>1769</v>
      </c>
      <c r="D1045" s="2" t="s">
        <v>1876</v>
      </c>
      <c r="E1045" s="2" t="s">
        <v>16</v>
      </c>
      <c r="F1045" s="2" t="s">
        <v>1880</v>
      </c>
      <c r="G1045" s="8" t="str">
        <f>IF(ISNA(VLOOKUP(B1045&amp;"|"&amp;C1045&amp;"|"&amp;D1045&amp;"|"&amp;E1045,QuestionTriggers!A:F,6,FALSE)),"","---&gt;")</f>
        <v/>
      </c>
      <c r="H1045" s="2" t="s">
        <v>1877</v>
      </c>
      <c r="I1045" s="2" t="s">
        <v>1878</v>
      </c>
      <c r="J1045" s="2" t="s">
        <v>1879</v>
      </c>
      <c r="K1045" s="2"/>
    </row>
    <row r="1046" spans="1:11" hidden="1" x14ac:dyDescent="0.3">
      <c r="A1046" t="str">
        <f t="shared" si="16"/>
        <v>Paws|Little Jon|NAME</v>
      </c>
      <c r="B1046" s="2" t="s">
        <v>1768</v>
      </c>
      <c r="C1046" s="2" t="s">
        <v>1769</v>
      </c>
      <c r="D1046" s="2" t="s">
        <v>1876</v>
      </c>
      <c r="E1046" s="2" t="s">
        <v>12</v>
      </c>
      <c r="F1046" s="2" t="s">
        <v>1876</v>
      </c>
      <c r="G1046" s="8" t="str">
        <f>IF(ISNA(VLOOKUP(B1046&amp;"|"&amp;C1046&amp;"|"&amp;D1046&amp;"|"&amp;E1046,QuestionTriggers!A:F,6,FALSE)),"","---&gt;")</f>
        <v/>
      </c>
      <c r="H1046" s="2" t="s">
        <v>1877</v>
      </c>
      <c r="I1046" s="2" t="s">
        <v>1878</v>
      </c>
      <c r="J1046" s="2" t="s">
        <v>1879</v>
      </c>
      <c r="K1046" s="2"/>
    </row>
    <row r="1047" spans="1:11" hidden="1" x14ac:dyDescent="0.3">
      <c r="A1047" t="str">
        <f t="shared" si="16"/>
        <v>Paws|Pix|HEALTH</v>
      </c>
      <c r="B1047" s="2" t="s">
        <v>1768</v>
      </c>
      <c r="C1047" s="2" t="s">
        <v>1769</v>
      </c>
      <c r="D1047" s="2" t="s">
        <v>1852</v>
      </c>
      <c r="E1047" s="2" t="s">
        <v>20</v>
      </c>
      <c r="F1047" s="2" t="s">
        <v>21</v>
      </c>
      <c r="G1047" s="8" t="str">
        <f>IF(ISNA(VLOOKUP(B1047&amp;"|"&amp;C1047&amp;"|"&amp;D1047&amp;"|"&amp;E1047,QuestionTriggers!A:F,6,FALSE)),"","---&gt;")</f>
        <v>---&gt;</v>
      </c>
      <c r="H1047" s="2" t="s">
        <v>529</v>
      </c>
      <c r="I1047" s="2" t="s">
        <v>177</v>
      </c>
      <c r="J1047" s="2" t="s">
        <v>881</v>
      </c>
      <c r="K1047" s="2"/>
    </row>
    <row r="1048" spans="1:11" hidden="1" x14ac:dyDescent="0.3">
      <c r="A1048" t="str">
        <f t="shared" si="16"/>
        <v>Paws|Pix|JOB</v>
      </c>
      <c r="B1048" s="2" t="s">
        <v>1768</v>
      </c>
      <c r="C1048" s="2" t="s">
        <v>1769</v>
      </c>
      <c r="D1048" s="2" t="s">
        <v>1852</v>
      </c>
      <c r="E1048" s="2" t="s">
        <v>18</v>
      </c>
      <c r="F1048" s="2" t="s">
        <v>1854</v>
      </c>
      <c r="G1048" s="8" t="str">
        <f>IF(ISNA(VLOOKUP(B1048&amp;"|"&amp;C1048&amp;"|"&amp;D1048&amp;"|"&amp;E1048,QuestionTriggers!A:F,6,FALSE)),"","---&gt;")</f>
        <v/>
      </c>
      <c r="H1048" s="2" t="s">
        <v>529</v>
      </c>
      <c r="I1048" s="2" t="s">
        <v>177</v>
      </c>
      <c r="J1048" s="2" t="s">
        <v>881</v>
      </c>
      <c r="K1048" s="2"/>
    </row>
    <row r="1049" spans="1:11" hidden="1" x14ac:dyDescent="0.3">
      <c r="A1049" t="str">
        <f t="shared" si="16"/>
        <v>Paws|Pix|LOOK</v>
      </c>
      <c r="B1049" s="2" t="s">
        <v>1768</v>
      </c>
      <c r="C1049" s="2" t="s">
        <v>1769</v>
      </c>
      <c r="D1049" s="2" t="s">
        <v>1852</v>
      </c>
      <c r="E1049" s="2" t="s">
        <v>16</v>
      </c>
      <c r="F1049" s="2" t="s">
        <v>1853</v>
      </c>
      <c r="G1049" s="8" t="str">
        <f>IF(ISNA(VLOOKUP(B1049&amp;"|"&amp;C1049&amp;"|"&amp;D1049&amp;"|"&amp;E1049,QuestionTriggers!A:F,6,FALSE)),"","---&gt;")</f>
        <v/>
      </c>
      <c r="H1049" s="2" t="s">
        <v>529</v>
      </c>
      <c r="I1049" s="2" t="s">
        <v>177</v>
      </c>
      <c r="J1049" s="2" t="s">
        <v>881</v>
      </c>
      <c r="K1049" s="2"/>
    </row>
    <row r="1050" spans="1:11" hidden="1" x14ac:dyDescent="0.3">
      <c r="A1050" t="str">
        <f t="shared" si="16"/>
        <v>Paws|Pix|NAME</v>
      </c>
      <c r="B1050" s="2" t="s">
        <v>1768</v>
      </c>
      <c r="C1050" s="2" t="s">
        <v>1769</v>
      </c>
      <c r="D1050" s="2" t="s">
        <v>1852</v>
      </c>
      <c r="E1050" s="2" t="s">
        <v>12</v>
      </c>
      <c r="F1050" s="2" t="s">
        <v>1852</v>
      </c>
      <c r="G1050" s="8" t="str">
        <f>IF(ISNA(VLOOKUP(B1050&amp;"|"&amp;C1050&amp;"|"&amp;D1050&amp;"|"&amp;E1050,QuestionTriggers!A:F,6,FALSE)),"","---&gt;")</f>
        <v/>
      </c>
      <c r="H1050" s="2" t="s">
        <v>529</v>
      </c>
      <c r="I1050" s="2" t="s">
        <v>177</v>
      </c>
      <c r="J1050" s="2" t="s">
        <v>881</v>
      </c>
      <c r="K1050" s="2"/>
    </row>
    <row r="1051" spans="1:11" hidden="1" x14ac:dyDescent="0.3">
      <c r="A1051" t="str">
        <f t="shared" si="16"/>
        <v>Paws|Sal|ALE</v>
      </c>
      <c r="B1051" s="2" t="s">
        <v>1768</v>
      </c>
      <c r="C1051" s="2" t="s">
        <v>1769</v>
      </c>
      <c r="D1051" s="2" t="s">
        <v>1804</v>
      </c>
      <c r="E1051" s="2" t="s">
        <v>1811</v>
      </c>
      <c r="F1051" s="2" t="s">
        <v>1812</v>
      </c>
      <c r="G1051" s="8" t="str">
        <f>IF(ISNA(VLOOKUP(B1051&amp;"|"&amp;C1051&amp;"|"&amp;D1051&amp;"|"&amp;E1051,QuestionTriggers!A:F,6,FALSE)),"","---&gt;")</f>
        <v/>
      </c>
      <c r="H1051" s="2" t="s">
        <v>1805</v>
      </c>
      <c r="I1051" s="2" t="s">
        <v>1806</v>
      </c>
      <c r="J1051" s="2" t="s">
        <v>1807</v>
      </c>
      <c r="K1051" s="2"/>
    </row>
    <row r="1052" spans="1:11" hidden="1" x14ac:dyDescent="0.3">
      <c r="A1052" t="str">
        <f t="shared" si="16"/>
        <v>Paws|Sal|BREW</v>
      </c>
      <c r="B1052" s="2" t="s">
        <v>1768</v>
      </c>
      <c r="C1052" s="2" t="s">
        <v>1769</v>
      </c>
      <c r="D1052" s="2" t="s">
        <v>1804</v>
      </c>
      <c r="E1052" s="2" t="s">
        <v>1813</v>
      </c>
      <c r="F1052" s="2" t="s">
        <v>1814</v>
      </c>
      <c r="G1052" s="8" t="str">
        <f>IF(ISNA(VLOOKUP(B1052&amp;"|"&amp;C1052&amp;"|"&amp;D1052&amp;"|"&amp;E1052,QuestionTriggers!A:F,6,FALSE)),"","---&gt;")</f>
        <v>---&gt;</v>
      </c>
      <c r="H1052" s="2" t="s">
        <v>1805</v>
      </c>
      <c r="I1052" s="2" t="s">
        <v>1806</v>
      </c>
      <c r="J1052" s="2" t="s">
        <v>1807</v>
      </c>
      <c r="K1052" s="2"/>
    </row>
    <row r="1053" spans="1:11" hidden="1" x14ac:dyDescent="0.3">
      <c r="A1053" t="str">
        <f t="shared" si="16"/>
        <v>Paws|Sal|HEALTH</v>
      </c>
      <c r="B1053" s="2" t="s">
        <v>1768</v>
      </c>
      <c r="C1053" s="2" t="s">
        <v>1769</v>
      </c>
      <c r="D1053" s="2" t="s">
        <v>1804</v>
      </c>
      <c r="E1053" s="2" t="s">
        <v>20</v>
      </c>
      <c r="F1053" s="2" t="s">
        <v>1810</v>
      </c>
      <c r="G1053" s="8" t="str">
        <f>IF(ISNA(VLOOKUP(B1053&amp;"|"&amp;C1053&amp;"|"&amp;D1053&amp;"|"&amp;E1053,QuestionTriggers!A:F,6,FALSE)),"","---&gt;")</f>
        <v/>
      </c>
      <c r="H1053" s="2" t="s">
        <v>1805</v>
      </c>
      <c r="I1053" s="2" t="s">
        <v>1806</v>
      </c>
      <c r="J1053" s="2" t="s">
        <v>1807</v>
      </c>
      <c r="K1053" s="2"/>
    </row>
    <row r="1054" spans="1:11" hidden="1" x14ac:dyDescent="0.3">
      <c r="A1054" t="str">
        <f t="shared" si="16"/>
        <v>Paws|Sal|JOB</v>
      </c>
      <c r="B1054" s="2" t="s">
        <v>1768</v>
      </c>
      <c r="C1054" s="2" t="s">
        <v>1769</v>
      </c>
      <c r="D1054" s="2" t="s">
        <v>1804</v>
      </c>
      <c r="E1054" s="2" t="s">
        <v>18</v>
      </c>
      <c r="F1054" s="2" t="s">
        <v>1809</v>
      </c>
      <c r="G1054" s="8" t="str">
        <f>IF(ISNA(VLOOKUP(B1054&amp;"|"&amp;C1054&amp;"|"&amp;D1054&amp;"|"&amp;E1054,QuestionTriggers!A:F,6,FALSE)),"","---&gt;")</f>
        <v/>
      </c>
      <c r="H1054" s="2" t="s">
        <v>1805</v>
      </c>
      <c r="I1054" s="2" t="s">
        <v>1806</v>
      </c>
      <c r="J1054" s="2" t="s">
        <v>1807</v>
      </c>
      <c r="K1054" s="2"/>
    </row>
    <row r="1055" spans="1:11" hidden="1" x14ac:dyDescent="0.3">
      <c r="A1055" t="str">
        <f t="shared" si="16"/>
        <v>Paws|Sal|LOOK</v>
      </c>
      <c r="B1055" s="2" t="s">
        <v>1768</v>
      </c>
      <c r="C1055" s="2" t="s">
        <v>1769</v>
      </c>
      <c r="D1055" s="2" t="s">
        <v>1804</v>
      </c>
      <c r="E1055" s="2" t="s">
        <v>16</v>
      </c>
      <c r="F1055" s="2" t="s">
        <v>1808</v>
      </c>
      <c r="G1055" s="8" t="str">
        <f>IF(ISNA(VLOOKUP(B1055&amp;"|"&amp;C1055&amp;"|"&amp;D1055&amp;"|"&amp;E1055,QuestionTriggers!A:F,6,FALSE)),"","---&gt;")</f>
        <v/>
      </c>
      <c r="H1055" s="2" t="s">
        <v>1805</v>
      </c>
      <c r="I1055" s="2" t="s">
        <v>1806</v>
      </c>
      <c r="J1055" s="2" t="s">
        <v>1807</v>
      </c>
      <c r="K1055" s="2"/>
    </row>
    <row r="1056" spans="1:11" hidden="1" x14ac:dyDescent="0.3">
      <c r="A1056" t="str">
        <f t="shared" si="16"/>
        <v>Paws|Sal|NAME</v>
      </c>
      <c r="B1056" s="2" t="s">
        <v>1768</v>
      </c>
      <c r="C1056" s="2" t="s">
        <v>1769</v>
      </c>
      <c r="D1056" s="2" t="s">
        <v>1804</v>
      </c>
      <c r="E1056" s="2" t="s">
        <v>12</v>
      </c>
      <c r="F1056" s="2" t="s">
        <v>1804</v>
      </c>
      <c r="G1056" s="8" t="str">
        <f>IF(ISNA(VLOOKUP(B1056&amp;"|"&amp;C1056&amp;"|"&amp;D1056&amp;"|"&amp;E1056,QuestionTriggers!A:F,6,FALSE)),"","---&gt;")</f>
        <v/>
      </c>
      <c r="H1056" s="2" t="s">
        <v>1805</v>
      </c>
      <c r="I1056" s="2" t="s">
        <v>1806</v>
      </c>
      <c r="J1056" s="2" t="s">
        <v>1807</v>
      </c>
      <c r="K1056" s="2"/>
    </row>
    <row r="1057" spans="1:11" hidden="1" x14ac:dyDescent="0.3">
      <c r="A1057" t="str">
        <f t="shared" si="16"/>
        <v>Paws|Sir Hobie|FAIT</v>
      </c>
      <c r="B1057" s="2" t="s">
        <v>1768</v>
      </c>
      <c r="C1057" s="2" t="s">
        <v>1769</v>
      </c>
      <c r="D1057" s="2" t="s">
        <v>1822</v>
      </c>
      <c r="E1057" s="2" t="s">
        <v>1829</v>
      </c>
      <c r="F1057" s="2" t="s">
        <v>1830</v>
      </c>
      <c r="G1057" s="8" t="str">
        <f>IF(ISNA(VLOOKUP(B1057&amp;"|"&amp;C1057&amp;"|"&amp;D1057&amp;"|"&amp;E1057,QuestionTriggers!A:F,6,FALSE)),"","---&gt;")</f>
        <v/>
      </c>
      <c r="H1057" s="2" t="s">
        <v>1823</v>
      </c>
      <c r="I1057" s="2" t="s">
        <v>1824</v>
      </c>
      <c r="J1057" s="2" t="s">
        <v>1825</v>
      </c>
      <c r="K1057" s="2"/>
    </row>
    <row r="1058" spans="1:11" hidden="1" x14ac:dyDescent="0.3">
      <c r="A1058" t="str">
        <f t="shared" si="16"/>
        <v>Paws|Sir Hobie|HEALTH</v>
      </c>
      <c r="B1058" s="2" t="s">
        <v>1768</v>
      </c>
      <c r="C1058" s="2" t="s">
        <v>1769</v>
      </c>
      <c r="D1058" s="2" t="s">
        <v>1822</v>
      </c>
      <c r="E1058" s="2" t="s">
        <v>20</v>
      </c>
      <c r="F1058" s="2" t="s">
        <v>1828</v>
      </c>
      <c r="G1058" s="8" t="str">
        <f>IF(ISNA(VLOOKUP(B1058&amp;"|"&amp;C1058&amp;"|"&amp;D1058&amp;"|"&amp;E1058,QuestionTriggers!A:F,6,FALSE)),"","---&gt;")</f>
        <v/>
      </c>
      <c r="H1058" s="2" t="s">
        <v>1823</v>
      </c>
      <c r="I1058" s="2" t="s">
        <v>1824</v>
      </c>
      <c r="J1058" s="2" t="s">
        <v>1825</v>
      </c>
      <c r="K1058" s="2"/>
    </row>
    <row r="1059" spans="1:11" hidden="1" x14ac:dyDescent="0.3">
      <c r="A1059" t="str">
        <f t="shared" si="16"/>
        <v>Paws|Sir Hobie|JOB</v>
      </c>
      <c r="B1059" s="2" t="s">
        <v>1768</v>
      </c>
      <c r="C1059" s="2" t="s">
        <v>1769</v>
      </c>
      <c r="D1059" s="2" t="s">
        <v>1822</v>
      </c>
      <c r="E1059" s="2" t="s">
        <v>18</v>
      </c>
      <c r="F1059" s="2" t="s">
        <v>1827</v>
      </c>
      <c r="G1059" s="8" t="str">
        <f>IF(ISNA(VLOOKUP(B1059&amp;"|"&amp;C1059&amp;"|"&amp;D1059&amp;"|"&amp;E1059,QuestionTriggers!A:F,6,FALSE)),"","---&gt;")</f>
        <v/>
      </c>
      <c r="H1059" s="2" t="s">
        <v>1823</v>
      </c>
      <c r="I1059" s="2" t="s">
        <v>1824</v>
      </c>
      <c r="J1059" s="2" t="s">
        <v>1825</v>
      </c>
      <c r="K1059" s="2"/>
    </row>
    <row r="1060" spans="1:11" hidden="1" x14ac:dyDescent="0.3">
      <c r="A1060" t="str">
        <f t="shared" si="16"/>
        <v>Paws|Sir Hobie|LOOK</v>
      </c>
      <c r="B1060" s="2" t="s">
        <v>1768</v>
      </c>
      <c r="C1060" s="2" t="s">
        <v>1769</v>
      </c>
      <c r="D1060" s="2" t="s">
        <v>1822</v>
      </c>
      <c r="E1060" s="2" t="s">
        <v>16</v>
      </c>
      <c r="F1060" s="2" t="s">
        <v>1826</v>
      </c>
      <c r="G1060" s="8" t="str">
        <f>IF(ISNA(VLOOKUP(B1060&amp;"|"&amp;C1060&amp;"|"&amp;D1060&amp;"|"&amp;E1060,QuestionTriggers!A:F,6,FALSE)),"","---&gt;")</f>
        <v/>
      </c>
      <c r="H1060" s="2" t="s">
        <v>1823</v>
      </c>
      <c r="I1060" s="2" t="s">
        <v>1824</v>
      </c>
      <c r="J1060" s="2" t="s">
        <v>1825</v>
      </c>
      <c r="K1060" s="2"/>
    </row>
    <row r="1061" spans="1:11" hidden="1" x14ac:dyDescent="0.3">
      <c r="A1061" t="str">
        <f t="shared" si="16"/>
        <v>Paws|Sir Hobie|NAME</v>
      </c>
      <c r="B1061" s="2" t="s">
        <v>1768</v>
      </c>
      <c r="C1061" s="2" t="s">
        <v>1769</v>
      </c>
      <c r="D1061" s="2" t="s">
        <v>1822</v>
      </c>
      <c r="E1061" s="2" t="s">
        <v>12</v>
      </c>
      <c r="F1061" s="2" t="s">
        <v>1822</v>
      </c>
      <c r="G1061" s="8" t="str">
        <f>IF(ISNA(VLOOKUP(B1061&amp;"|"&amp;C1061&amp;"|"&amp;D1061&amp;"|"&amp;E1061,QuestionTriggers!A:F,6,FALSE)),"","---&gt;")</f>
        <v/>
      </c>
      <c r="H1061" s="2" t="s">
        <v>1823</v>
      </c>
      <c r="I1061" s="2" t="s">
        <v>1824</v>
      </c>
      <c r="J1061" s="2" t="s">
        <v>1825</v>
      </c>
      <c r="K1061" s="2"/>
    </row>
    <row r="1062" spans="1:11" hidden="1" x14ac:dyDescent="0.3">
      <c r="A1062" t="str">
        <f t="shared" si="16"/>
        <v>Paws|Sir Hobie|QUES</v>
      </c>
      <c r="B1062" s="2" t="s">
        <v>1768</v>
      </c>
      <c r="C1062" s="2" t="s">
        <v>1769</v>
      </c>
      <c r="D1062" s="2" t="s">
        <v>1822</v>
      </c>
      <c r="E1062" s="2" t="s">
        <v>259</v>
      </c>
      <c r="F1062" s="2" t="s">
        <v>1831</v>
      </c>
      <c r="G1062" s="8" t="str">
        <f>IF(ISNA(VLOOKUP(B1062&amp;"|"&amp;C1062&amp;"|"&amp;D1062&amp;"|"&amp;E1062,QuestionTriggers!A:F,6,FALSE)),"","---&gt;")</f>
        <v>---&gt;</v>
      </c>
      <c r="H1062" s="2" t="s">
        <v>1823</v>
      </c>
      <c r="I1062" s="2" t="s">
        <v>1824</v>
      </c>
      <c r="J1062" s="2" t="s">
        <v>1825</v>
      </c>
      <c r="K1062" s="2"/>
    </row>
    <row r="1063" spans="1:11" ht="26.4" hidden="1" x14ac:dyDescent="0.3">
      <c r="A1063" t="str">
        <f t="shared" si="16"/>
        <v>Paws|Sir Simon|HEALTH</v>
      </c>
      <c r="B1063" s="2" t="s">
        <v>1768</v>
      </c>
      <c r="C1063" s="2" t="s">
        <v>1769</v>
      </c>
      <c r="D1063" s="2" t="s">
        <v>1855</v>
      </c>
      <c r="E1063" s="2" t="s">
        <v>20</v>
      </c>
      <c r="F1063" s="2" t="s">
        <v>1369</v>
      </c>
      <c r="G1063" s="8" t="str">
        <f>IF(ISNA(VLOOKUP(B1063&amp;"|"&amp;C1063&amp;"|"&amp;D1063&amp;"|"&amp;E1063,QuestionTriggers!A:F,6,FALSE)),"","---&gt;")</f>
        <v/>
      </c>
      <c r="H1063" s="2" t="s">
        <v>1856</v>
      </c>
      <c r="I1063" s="2" t="s">
        <v>1857</v>
      </c>
      <c r="J1063" s="2" t="s">
        <v>197</v>
      </c>
      <c r="K1063" s="2"/>
    </row>
    <row r="1064" spans="1:11" ht="26.4" hidden="1" x14ac:dyDescent="0.3">
      <c r="A1064" t="str">
        <f t="shared" si="16"/>
        <v>Paws|Sir Simon|JOB</v>
      </c>
      <c r="B1064" s="2" t="s">
        <v>1768</v>
      </c>
      <c r="C1064" s="2" t="s">
        <v>1769</v>
      </c>
      <c r="D1064" s="2" t="s">
        <v>1855</v>
      </c>
      <c r="E1064" s="2" t="s">
        <v>18</v>
      </c>
      <c r="F1064" s="2" t="s">
        <v>1859</v>
      </c>
      <c r="G1064" s="8" t="str">
        <f>IF(ISNA(VLOOKUP(B1064&amp;"|"&amp;C1064&amp;"|"&amp;D1064&amp;"|"&amp;E1064,QuestionTriggers!A:F,6,FALSE)),"","---&gt;")</f>
        <v/>
      </c>
      <c r="H1064" s="2" t="s">
        <v>1856</v>
      </c>
      <c r="I1064" s="2" t="s">
        <v>1857</v>
      </c>
      <c r="J1064" s="2" t="s">
        <v>197</v>
      </c>
      <c r="K1064" s="2"/>
    </row>
    <row r="1065" spans="1:11" ht="26.4" hidden="1" x14ac:dyDescent="0.3">
      <c r="A1065" t="str">
        <f t="shared" si="16"/>
        <v>Paws|Sir Simon|KEEP</v>
      </c>
      <c r="B1065" s="2" t="s">
        <v>1768</v>
      </c>
      <c r="C1065" s="2" t="s">
        <v>1769</v>
      </c>
      <c r="D1065" s="2" t="s">
        <v>1855</v>
      </c>
      <c r="E1065" s="2" t="s">
        <v>1860</v>
      </c>
      <c r="F1065" s="2" t="s">
        <v>1861</v>
      </c>
      <c r="G1065" s="8" t="str">
        <f>IF(ISNA(VLOOKUP(B1065&amp;"|"&amp;C1065&amp;"|"&amp;D1065&amp;"|"&amp;E1065,QuestionTriggers!A:F,6,FALSE)),"","---&gt;")</f>
        <v/>
      </c>
      <c r="H1065" s="2" t="s">
        <v>1856</v>
      </c>
      <c r="I1065" s="2" t="s">
        <v>1857</v>
      </c>
      <c r="J1065" s="2" t="s">
        <v>197</v>
      </c>
      <c r="K1065" s="2"/>
    </row>
    <row r="1066" spans="1:11" ht="26.4" hidden="1" x14ac:dyDescent="0.3">
      <c r="A1066" t="str">
        <f t="shared" si="16"/>
        <v>Paws|Sir Simon|LOOK</v>
      </c>
      <c r="B1066" s="2" t="s">
        <v>1768</v>
      </c>
      <c r="C1066" s="2" t="s">
        <v>1769</v>
      </c>
      <c r="D1066" s="2" t="s">
        <v>1855</v>
      </c>
      <c r="E1066" s="2" t="s">
        <v>16</v>
      </c>
      <c r="F1066" s="2" t="s">
        <v>1858</v>
      </c>
      <c r="G1066" s="8" t="str">
        <f>IF(ISNA(VLOOKUP(B1066&amp;"|"&amp;C1066&amp;"|"&amp;D1066&amp;"|"&amp;E1066,QuestionTriggers!A:F,6,FALSE)),"","---&gt;")</f>
        <v/>
      </c>
      <c r="H1066" s="2" t="s">
        <v>1856</v>
      </c>
      <c r="I1066" s="2" t="s">
        <v>1857</v>
      </c>
      <c r="J1066" s="2" t="s">
        <v>197</v>
      </c>
      <c r="K1066" s="2"/>
    </row>
    <row r="1067" spans="1:11" ht="26.4" hidden="1" x14ac:dyDescent="0.3">
      <c r="A1067" t="str">
        <f t="shared" si="16"/>
        <v>Paws|Sir Simon|MYST</v>
      </c>
      <c r="B1067" s="2" t="s">
        <v>1768</v>
      </c>
      <c r="C1067" s="2" t="s">
        <v>1769</v>
      </c>
      <c r="D1067" s="2" t="s">
        <v>1855</v>
      </c>
      <c r="E1067" s="2" t="s">
        <v>1235</v>
      </c>
      <c r="F1067" s="2" t="s">
        <v>1862</v>
      </c>
      <c r="G1067" s="8" t="str">
        <f>IF(ISNA(VLOOKUP(B1067&amp;"|"&amp;C1067&amp;"|"&amp;D1067&amp;"|"&amp;E1067,QuestionTriggers!A:F,6,FALSE)),"","---&gt;")</f>
        <v>---&gt;</v>
      </c>
      <c r="H1067" s="2" t="s">
        <v>1856</v>
      </c>
      <c r="I1067" s="2" t="s">
        <v>1857</v>
      </c>
      <c r="J1067" s="2" t="s">
        <v>197</v>
      </c>
      <c r="K1067" s="2"/>
    </row>
    <row r="1068" spans="1:11" ht="26.4" hidden="1" x14ac:dyDescent="0.3">
      <c r="A1068" t="str">
        <f t="shared" si="16"/>
        <v>Paws|Sir Simon|NAME</v>
      </c>
      <c r="B1068" s="2" t="s">
        <v>1768</v>
      </c>
      <c r="C1068" s="2" t="s">
        <v>1769</v>
      </c>
      <c r="D1068" s="2" t="s">
        <v>1855</v>
      </c>
      <c r="E1068" s="2" t="s">
        <v>12</v>
      </c>
      <c r="F1068" s="2" t="s">
        <v>1855</v>
      </c>
      <c r="G1068" s="8" t="str">
        <f>IF(ISNA(VLOOKUP(B1068&amp;"|"&amp;C1068&amp;"|"&amp;D1068&amp;"|"&amp;E1068,QuestionTriggers!A:F,6,FALSE)),"","---&gt;")</f>
        <v/>
      </c>
      <c r="H1068" s="2" t="s">
        <v>1856</v>
      </c>
      <c r="I1068" s="2" t="s">
        <v>1857</v>
      </c>
      <c r="J1068" s="2" t="s">
        <v>197</v>
      </c>
      <c r="K1068" s="2"/>
    </row>
    <row r="1069" spans="1:11" hidden="1" x14ac:dyDescent="0.3">
      <c r="A1069" t="str">
        <f t="shared" si="16"/>
        <v>Paws|Smith the Horse|HEALTH</v>
      </c>
      <c r="B1069" s="3" t="s">
        <v>1768</v>
      </c>
      <c r="C1069" s="3" t="s">
        <v>1769</v>
      </c>
      <c r="D1069" s="3" t="s">
        <v>1886</v>
      </c>
      <c r="E1069" s="3" t="s">
        <v>20</v>
      </c>
      <c r="F1069" s="3" t="s">
        <v>1889</v>
      </c>
      <c r="G1069" s="8" t="str">
        <f>IF(ISNA(VLOOKUP(B1069&amp;"|"&amp;C1069&amp;"|"&amp;D1069&amp;"|"&amp;E1069,QuestionTriggers!A:F,6,FALSE)),"","---&gt;")</f>
        <v/>
      </c>
      <c r="H1069" s="3"/>
      <c r="I1069" s="3"/>
      <c r="J1069" s="3"/>
      <c r="K1069" s="3"/>
    </row>
    <row r="1070" spans="1:11" hidden="1" x14ac:dyDescent="0.3">
      <c r="A1070" t="str">
        <f t="shared" si="16"/>
        <v>Paws|Smith the Horse|JOB</v>
      </c>
      <c r="B1070" s="3" t="s">
        <v>1768</v>
      </c>
      <c r="C1070" s="3" t="s">
        <v>1769</v>
      </c>
      <c r="D1070" s="3" t="s">
        <v>1886</v>
      </c>
      <c r="E1070" s="3" t="s">
        <v>18</v>
      </c>
      <c r="F1070" s="3" t="s">
        <v>844</v>
      </c>
      <c r="G1070" s="8" t="str">
        <f>IF(ISNA(VLOOKUP(B1070&amp;"|"&amp;C1070&amp;"|"&amp;D1070&amp;"|"&amp;E1070,QuestionTriggers!A:F,6,FALSE)),"","---&gt;")</f>
        <v/>
      </c>
      <c r="H1070" s="3"/>
      <c r="I1070" s="3"/>
      <c r="J1070" s="3"/>
      <c r="K1070" s="3"/>
    </row>
    <row r="1071" spans="1:11" hidden="1" x14ac:dyDescent="0.3">
      <c r="A1071" t="str">
        <f t="shared" si="16"/>
        <v>Paws|Smith the Horse|LOOK</v>
      </c>
      <c r="B1071" s="3" t="s">
        <v>1768</v>
      </c>
      <c r="C1071" s="3" t="s">
        <v>1769</v>
      </c>
      <c r="D1071" s="3" t="s">
        <v>1886</v>
      </c>
      <c r="E1071" s="3" t="s">
        <v>16</v>
      </c>
      <c r="F1071" s="3" t="s">
        <v>1888</v>
      </c>
      <c r="G1071" s="8" t="str">
        <f>IF(ISNA(VLOOKUP(B1071&amp;"|"&amp;C1071&amp;"|"&amp;D1071&amp;"|"&amp;E1071,QuestionTriggers!A:F,6,FALSE)),"","---&gt;")</f>
        <v/>
      </c>
      <c r="H1071" s="3"/>
      <c r="I1071" s="3"/>
      <c r="J1071" s="3"/>
      <c r="K1071" s="3"/>
    </row>
    <row r="1072" spans="1:11" hidden="1" x14ac:dyDescent="0.3">
      <c r="A1072" t="str">
        <f t="shared" si="16"/>
        <v>Paws|Smith the Horse|NAME</v>
      </c>
      <c r="B1072" s="3" t="s">
        <v>1768</v>
      </c>
      <c r="C1072" s="3" t="s">
        <v>1769</v>
      </c>
      <c r="D1072" s="3" t="s">
        <v>1886</v>
      </c>
      <c r="E1072" s="3" t="s">
        <v>12</v>
      </c>
      <c r="F1072" s="3" t="s">
        <v>1887</v>
      </c>
      <c r="G1072" s="8" t="str">
        <f>IF(ISNA(VLOOKUP(B1072&amp;"|"&amp;C1072&amp;"|"&amp;D1072&amp;"|"&amp;E1072,QuestionTriggers!A:F,6,FALSE)),"","---&gt;")</f>
        <v/>
      </c>
      <c r="H1072" s="3"/>
      <c r="I1072" s="3"/>
      <c r="J1072" s="3"/>
      <c r="K1072" s="3"/>
    </row>
    <row r="1073" spans="1:11" hidden="1" x14ac:dyDescent="0.3">
      <c r="A1073" t="str">
        <f t="shared" si="16"/>
        <v>Paws|Sven|AXE</v>
      </c>
      <c r="B1073" s="2" t="s">
        <v>1768</v>
      </c>
      <c r="C1073" s="2" t="s">
        <v>1769</v>
      </c>
      <c r="D1073" s="2" t="s">
        <v>1788</v>
      </c>
      <c r="E1073" s="2" t="s">
        <v>1796</v>
      </c>
      <c r="F1073" s="2" t="s">
        <v>1797</v>
      </c>
      <c r="G1073" s="8" t="str">
        <f>IF(ISNA(VLOOKUP(B1073&amp;"|"&amp;C1073&amp;"|"&amp;D1073&amp;"|"&amp;E1073,QuestionTriggers!A:F,6,FALSE)),"","---&gt;")</f>
        <v>---&gt;</v>
      </c>
      <c r="H1073" s="2" t="s">
        <v>1789</v>
      </c>
      <c r="I1073" s="2" t="s">
        <v>1790</v>
      </c>
      <c r="J1073" s="2" t="s">
        <v>1791</v>
      </c>
      <c r="K1073" s="2"/>
    </row>
    <row r="1074" spans="1:11" hidden="1" x14ac:dyDescent="0.3">
      <c r="A1074" t="str">
        <f t="shared" si="16"/>
        <v>Paws|Sven|HEALTH</v>
      </c>
      <c r="B1074" s="2" t="s">
        <v>1768</v>
      </c>
      <c r="C1074" s="2" t="s">
        <v>1769</v>
      </c>
      <c r="D1074" s="2" t="s">
        <v>1788</v>
      </c>
      <c r="E1074" s="2" t="s">
        <v>20</v>
      </c>
      <c r="F1074" s="2" t="s">
        <v>1153</v>
      </c>
      <c r="G1074" s="8" t="str">
        <f>IF(ISNA(VLOOKUP(B1074&amp;"|"&amp;C1074&amp;"|"&amp;D1074&amp;"|"&amp;E1074,QuestionTriggers!A:F,6,FALSE)),"","---&gt;")</f>
        <v/>
      </c>
      <c r="H1074" s="2" t="s">
        <v>1789</v>
      </c>
      <c r="I1074" s="2" t="s">
        <v>1790</v>
      </c>
      <c r="J1074" s="2" t="s">
        <v>1791</v>
      </c>
      <c r="K1074" s="2"/>
    </row>
    <row r="1075" spans="1:11" hidden="1" x14ac:dyDescent="0.3">
      <c r="A1075" t="str">
        <f t="shared" si="16"/>
        <v>Paws|Sven|JOB</v>
      </c>
      <c r="B1075" s="2" t="s">
        <v>1768</v>
      </c>
      <c r="C1075" s="2" t="s">
        <v>1769</v>
      </c>
      <c r="D1075" s="2" t="s">
        <v>1788</v>
      </c>
      <c r="E1075" s="2" t="s">
        <v>18</v>
      </c>
      <c r="F1075" s="2" t="s">
        <v>1793</v>
      </c>
      <c r="G1075" s="8" t="str">
        <f>IF(ISNA(VLOOKUP(B1075&amp;"|"&amp;C1075&amp;"|"&amp;D1075&amp;"|"&amp;E1075,QuestionTriggers!A:F,6,FALSE)),"","---&gt;")</f>
        <v/>
      </c>
      <c r="H1075" s="2" t="s">
        <v>1789</v>
      </c>
      <c r="I1075" s="2" t="s">
        <v>1790</v>
      </c>
      <c r="J1075" s="2" t="s">
        <v>1791</v>
      </c>
      <c r="K1075" s="2"/>
    </row>
    <row r="1076" spans="1:11" hidden="1" x14ac:dyDescent="0.3">
      <c r="A1076" t="str">
        <f t="shared" si="16"/>
        <v>Paws|Sven|LOOK</v>
      </c>
      <c r="B1076" s="2" t="s">
        <v>1768</v>
      </c>
      <c r="C1076" s="2" t="s">
        <v>1769</v>
      </c>
      <c r="D1076" s="2" t="s">
        <v>1788</v>
      </c>
      <c r="E1076" s="2" t="s">
        <v>16</v>
      </c>
      <c r="F1076" s="2" t="s">
        <v>1792</v>
      </c>
      <c r="G1076" s="8" t="str">
        <f>IF(ISNA(VLOOKUP(B1076&amp;"|"&amp;C1076&amp;"|"&amp;D1076&amp;"|"&amp;E1076,QuestionTriggers!A:F,6,FALSE)),"","---&gt;")</f>
        <v/>
      </c>
      <c r="H1076" s="2" t="s">
        <v>1789</v>
      </c>
      <c r="I1076" s="2" t="s">
        <v>1790</v>
      </c>
      <c r="J1076" s="2" t="s">
        <v>1791</v>
      </c>
      <c r="K1076" s="2"/>
    </row>
    <row r="1077" spans="1:11" hidden="1" x14ac:dyDescent="0.3">
      <c r="A1077" t="str">
        <f t="shared" si="16"/>
        <v>Paws|Sven|LUMB</v>
      </c>
      <c r="B1077" s="2" t="s">
        <v>1768</v>
      </c>
      <c r="C1077" s="2" t="s">
        <v>1769</v>
      </c>
      <c r="D1077" s="2" t="s">
        <v>1788</v>
      </c>
      <c r="E1077" s="2" t="s">
        <v>1794</v>
      </c>
      <c r="F1077" s="2" t="s">
        <v>1795</v>
      </c>
      <c r="G1077" s="8" t="str">
        <f>IF(ISNA(VLOOKUP(B1077&amp;"|"&amp;C1077&amp;"|"&amp;D1077&amp;"|"&amp;E1077,QuestionTriggers!A:F,6,FALSE)),"","---&gt;")</f>
        <v/>
      </c>
      <c r="H1077" s="2" t="s">
        <v>1789</v>
      </c>
      <c r="I1077" s="2" t="s">
        <v>1790</v>
      </c>
      <c r="J1077" s="2" t="s">
        <v>1791</v>
      </c>
      <c r="K1077" s="2"/>
    </row>
    <row r="1078" spans="1:11" hidden="1" x14ac:dyDescent="0.3">
      <c r="A1078" t="str">
        <f t="shared" si="16"/>
        <v>Paws|Sven|NAME</v>
      </c>
      <c r="B1078" s="2" t="s">
        <v>1768</v>
      </c>
      <c r="C1078" s="2" t="s">
        <v>1769</v>
      </c>
      <c r="D1078" s="2" t="s">
        <v>1788</v>
      </c>
      <c r="E1078" s="2" t="s">
        <v>12</v>
      </c>
      <c r="F1078" s="2" t="s">
        <v>1788</v>
      </c>
      <c r="G1078" s="8" t="str">
        <f>IF(ISNA(VLOOKUP(B1078&amp;"|"&amp;C1078&amp;"|"&amp;D1078&amp;"|"&amp;E1078,QuestionTriggers!A:F,6,FALSE)),"","---&gt;")</f>
        <v/>
      </c>
      <c r="H1078" s="2" t="s">
        <v>1789</v>
      </c>
      <c r="I1078" s="2" t="s">
        <v>1790</v>
      </c>
      <c r="J1078" s="2" t="s">
        <v>1791</v>
      </c>
      <c r="K1078" s="2"/>
    </row>
    <row r="1079" spans="1:11" hidden="1" x14ac:dyDescent="0.3">
      <c r="A1079" t="str">
        <f t="shared" si="16"/>
        <v>Paws|Wheatpin|HEALTH</v>
      </c>
      <c r="B1079" s="2" t="s">
        <v>1768</v>
      </c>
      <c r="C1079" s="2" t="s">
        <v>1769</v>
      </c>
      <c r="D1079" s="2" t="s">
        <v>1842</v>
      </c>
      <c r="E1079" s="2" t="s">
        <v>20</v>
      </c>
      <c r="F1079" s="2" t="s">
        <v>189</v>
      </c>
      <c r="G1079" s="8" t="str">
        <f>IF(ISNA(VLOOKUP(B1079&amp;"|"&amp;C1079&amp;"|"&amp;D1079&amp;"|"&amp;E1079,QuestionTriggers!A:F,6,FALSE)),"","---&gt;")</f>
        <v/>
      </c>
      <c r="H1079" s="2" t="s">
        <v>1843</v>
      </c>
      <c r="I1079" s="2" t="s">
        <v>1541</v>
      </c>
      <c r="J1079" s="2" t="s">
        <v>475</v>
      </c>
      <c r="K1079" s="2"/>
    </row>
    <row r="1080" spans="1:11" hidden="1" x14ac:dyDescent="0.3">
      <c r="A1080" t="str">
        <f t="shared" si="16"/>
        <v>Paws|Wheatpin|JOB</v>
      </c>
      <c r="B1080" s="2" t="s">
        <v>1768</v>
      </c>
      <c r="C1080" s="2" t="s">
        <v>1769</v>
      </c>
      <c r="D1080" s="2" t="s">
        <v>1842</v>
      </c>
      <c r="E1080" s="2" t="s">
        <v>18</v>
      </c>
      <c r="F1080" s="2" t="s">
        <v>1844</v>
      </c>
      <c r="G1080" s="8" t="str">
        <f>IF(ISNA(VLOOKUP(B1080&amp;"|"&amp;C1080&amp;"|"&amp;D1080&amp;"|"&amp;E1080,QuestionTriggers!A:F,6,FALSE)),"","---&gt;")</f>
        <v/>
      </c>
      <c r="H1080" s="2" t="s">
        <v>1843</v>
      </c>
      <c r="I1080" s="2" t="s">
        <v>1541</v>
      </c>
      <c r="J1080" s="2" t="s">
        <v>475</v>
      </c>
      <c r="K1080" s="2"/>
    </row>
    <row r="1081" spans="1:11" hidden="1" x14ac:dyDescent="0.3">
      <c r="A1081" t="str">
        <f t="shared" si="16"/>
        <v>Paws|Wheatpin|LOOK</v>
      </c>
      <c r="B1081" s="2" t="s">
        <v>1768</v>
      </c>
      <c r="C1081" s="2" t="s">
        <v>1769</v>
      </c>
      <c r="D1081" s="2" t="s">
        <v>1842</v>
      </c>
      <c r="E1081" s="2" t="s">
        <v>16</v>
      </c>
      <c r="F1081" s="2" t="s">
        <v>762</v>
      </c>
      <c r="G1081" s="8" t="str">
        <f>IF(ISNA(VLOOKUP(B1081&amp;"|"&amp;C1081&amp;"|"&amp;D1081&amp;"|"&amp;E1081,QuestionTriggers!A:F,6,FALSE)),"","---&gt;")</f>
        <v/>
      </c>
      <c r="H1081" s="2" t="s">
        <v>1843</v>
      </c>
      <c r="I1081" s="2" t="s">
        <v>1541</v>
      </c>
      <c r="J1081" s="2" t="s">
        <v>475</v>
      </c>
      <c r="K1081" s="2"/>
    </row>
    <row r="1082" spans="1:11" hidden="1" x14ac:dyDescent="0.3">
      <c r="A1082" t="str">
        <f t="shared" si="16"/>
        <v>Paws|Wheatpin|NAME</v>
      </c>
      <c r="B1082" s="2" t="s">
        <v>1768</v>
      </c>
      <c r="C1082" s="2" t="s">
        <v>1769</v>
      </c>
      <c r="D1082" s="2" t="s">
        <v>1842</v>
      </c>
      <c r="E1082" s="2" t="s">
        <v>12</v>
      </c>
      <c r="F1082" s="2" t="s">
        <v>1842</v>
      </c>
      <c r="G1082" s="8" t="str">
        <f>IF(ISNA(VLOOKUP(B1082&amp;"|"&amp;C1082&amp;"|"&amp;D1082&amp;"|"&amp;E1082,QuestionTriggers!A:F,6,FALSE)),"","---&gt;")</f>
        <v/>
      </c>
      <c r="H1082" s="2" t="s">
        <v>1843</v>
      </c>
      <c r="I1082" s="2" t="s">
        <v>1541</v>
      </c>
      <c r="J1082" s="2" t="s">
        <v>475</v>
      </c>
      <c r="K1082" s="2"/>
    </row>
    <row r="1083" spans="1:11" hidden="1" x14ac:dyDescent="0.3">
      <c r="A1083" t="str">
        <f t="shared" si="16"/>
        <v>Paws|Wheatpin|RUNE</v>
      </c>
      <c r="B1083" s="2" t="s">
        <v>1768</v>
      </c>
      <c r="C1083" s="2" t="s">
        <v>1769</v>
      </c>
      <c r="D1083" s="2" t="s">
        <v>1842</v>
      </c>
      <c r="E1083" s="2" t="s">
        <v>847</v>
      </c>
      <c r="F1083" s="2" t="s">
        <v>1845</v>
      </c>
      <c r="G1083" s="8" t="str">
        <f>IF(ISNA(VLOOKUP(B1083&amp;"|"&amp;C1083&amp;"|"&amp;D1083&amp;"|"&amp;E1083,QuestionTriggers!A:F,6,FALSE)),"","---&gt;")</f>
        <v>---&gt;</v>
      </c>
      <c r="H1083" s="2" t="s">
        <v>1843</v>
      </c>
      <c r="I1083" s="2" t="s">
        <v>1541</v>
      </c>
      <c r="J1083" s="2" t="s">
        <v>475</v>
      </c>
      <c r="K1083" s="2"/>
    </row>
    <row r="1084" spans="1:11" hidden="1" x14ac:dyDescent="0.3">
      <c r="A1084" t="str">
        <f t="shared" si="16"/>
        <v>Paws|Wilmoore|GUAR</v>
      </c>
      <c r="B1084" s="2" t="s">
        <v>1768</v>
      </c>
      <c r="C1084" s="2" t="s">
        <v>1769</v>
      </c>
      <c r="D1084" s="2" t="s">
        <v>1770</v>
      </c>
      <c r="E1084" s="2" t="s">
        <v>34</v>
      </c>
      <c r="F1084" s="2" t="s">
        <v>1774</v>
      </c>
      <c r="G1084" s="8" t="str">
        <f>IF(ISNA(VLOOKUP(B1084&amp;"|"&amp;C1084&amp;"|"&amp;D1084&amp;"|"&amp;E1084,QuestionTriggers!A:F,6,FALSE)),"","---&gt;")</f>
        <v/>
      </c>
      <c r="H1084" s="2" t="s">
        <v>1771</v>
      </c>
      <c r="I1084" s="2" t="s">
        <v>1772</v>
      </c>
      <c r="J1084" s="2" t="s">
        <v>177</v>
      </c>
      <c r="K1084" s="2"/>
    </row>
    <row r="1085" spans="1:11" hidden="1" x14ac:dyDescent="0.3">
      <c r="A1085" t="str">
        <f t="shared" si="16"/>
        <v>Paws|Wilmoore|HEALTH</v>
      </c>
      <c r="B1085" s="2" t="s">
        <v>1768</v>
      </c>
      <c r="C1085" s="2" t="s">
        <v>1769</v>
      </c>
      <c r="D1085" s="2" t="s">
        <v>1770</v>
      </c>
      <c r="E1085" s="2" t="s">
        <v>20</v>
      </c>
      <c r="F1085" s="2" t="s">
        <v>616</v>
      </c>
      <c r="G1085" s="8" t="str">
        <f>IF(ISNA(VLOOKUP(B1085&amp;"|"&amp;C1085&amp;"|"&amp;D1085&amp;"|"&amp;E1085,QuestionTriggers!A:F,6,FALSE)),"","---&gt;")</f>
        <v/>
      </c>
      <c r="H1085" s="2" t="s">
        <v>1771</v>
      </c>
      <c r="I1085" s="2" t="s">
        <v>1772</v>
      </c>
      <c r="J1085" s="2" t="s">
        <v>177</v>
      </c>
      <c r="K1085" s="2"/>
    </row>
    <row r="1086" spans="1:11" hidden="1" x14ac:dyDescent="0.3">
      <c r="A1086" t="str">
        <f t="shared" si="16"/>
        <v>Paws|Wilmoore|JOB</v>
      </c>
      <c r="B1086" s="2" t="s">
        <v>1768</v>
      </c>
      <c r="C1086" s="2" t="s">
        <v>1769</v>
      </c>
      <c r="D1086" s="2" t="s">
        <v>1770</v>
      </c>
      <c r="E1086" s="2" t="s">
        <v>18</v>
      </c>
      <c r="F1086" s="2" t="s">
        <v>1773</v>
      </c>
      <c r="G1086" s="8" t="str">
        <f>IF(ISNA(VLOOKUP(B1086&amp;"|"&amp;C1086&amp;"|"&amp;D1086&amp;"|"&amp;E1086,QuestionTriggers!A:F,6,FALSE)),"","---&gt;")</f>
        <v/>
      </c>
      <c r="H1086" s="2" t="s">
        <v>1771</v>
      </c>
      <c r="I1086" s="2" t="s">
        <v>1772</v>
      </c>
      <c r="J1086" s="2" t="s">
        <v>177</v>
      </c>
      <c r="K1086" s="2"/>
    </row>
    <row r="1087" spans="1:11" hidden="1" x14ac:dyDescent="0.3">
      <c r="A1087" t="str">
        <f t="shared" si="16"/>
        <v>Paws|Wilmoore|LOOK</v>
      </c>
      <c r="B1087" s="2" t="s">
        <v>1768</v>
      </c>
      <c r="C1087" s="2" t="s">
        <v>1769</v>
      </c>
      <c r="D1087" s="2" t="s">
        <v>1770</v>
      </c>
      <c r="E1087" s="2" t="s">
        <v>16</v>
      </c>
      <c r="F1087" s="2" t="s">
        <v>585</v>
      </c>
      <c r="G1087" s="8" t="str">
        <f>IF(ISNA(VLOOKUP(B1087&amp;"|"&amp;C1087&amp;"|"&amp;D1087&amp;"|"&amp;E1087,QuestionTriggers!A:F,6,FALSE)),"","---&gt;")</f>
        <v/>
      </c>
      <c r="H1087" s="2" t="s">
        <v>1771</v>
      </c>
      <c r="I1087" s="2" t="s">
        <v>1772</v>
      </c>
      <c r="J1087" s="2" t="s">
        <v>177</v>
      </c>
      <c r="K1087" s="2"/>
    </row>
    <row r="1088" spans="1:11" hidden="1" x14ac:dyDescent="0.3">
      <c r="A1088" t="str">
        <f t="shared" si="16"/>
        <v>Paws|Wilmoore|NAME</v>
      </c>
      <c r="B1088" s="2" t="s">
        <v>1768</v>
      </c>
      <c r="C1088" s="2" t="s">
        <v>1769</v>
      </c>
      <c r="D1088" s="2" t="s">
        <v>1770</v>
      </c>
      <c r="E1088" s="2" t="s">
        <v>12</v>
      </c>
      <c r="F1088" s="2" t="s">
        <v>1770</v>
      </c>
      <c r="G1088" s="8" t="str">
        <f>IF(ISNA(VLOOKUP(B1088&amp;"|"&amp;C1088&amp;"|"&amp;D1088&amp;"|"&amp;E1088,QuestionTriggers!A:F,6,FALSE)),"","---&gt;")</f>
        <v/>
      </c>
      <c r="H1088" s="2" t="s">
        <v>1771</v>
      </c>
      <c r="I1088" s="2" t="s">
        <v>1772</v>
      </c>
      <c r="J1088" s="2" t="s">
        <v>177</v>
      </c>
      <c r="K1088" s="2"/>
    </row>
    <row r="1089" spans="1:11" hidden="1" x14ac:dyDescent="0.3">
      <c r="A1089" t="str">
        <f t="shared" si="16"/>
        <v>Paws|Wilmoore|TROU</v>
      </c>
      <c r="B1089" s="2" t="s">
        <v>1768</v>
      </c>
      <c r="C1089" s="2" t="s">
        <v>1769</v>
      </c>
      <c r="D1089" s="2" t="s">
        <v>1770</v>
      </c>
      <c r="E1089" s="2" t="s">
        <v>1775</v>
      </c>
      <c r="F1089" s="2" t="s">
        <v>1776</v>
      </c>
      <c r="G1089" s="8" t="str">
        <f>IF(ISNA(VLOOKUP(B1089&amp;"|"&amp;C1089&amp;"|"&amp;D1089&amp;"|"&amp;E1089,QuestionTriggers!A:F,6,FALSE)),"","---&gt;")</f>
        <v>---&gt;</v>
      </c>
      <c r="H1089" s="2" t="s">
        <v>1771</v>
      </c>
      <c r="I1089" s="2" t="s">
        <v>1772</v>
      </c>
      <c r="J1089" s="2" t="s">
        <v>177</v>
      </c>
      <c r="K1089" s="2"/>
    </row>
    <row r="1090" spans="1:11" hidden="1" x14ac:dyDescent="0.3">
      <c r="A1090" t="str">
        <f t="shared" si="16"/>
        <v>Paws|Zair the Wise|CODE</v>
      </c>
      <c r="B1090" s="2" t="s">
        <v>1768</v>
      </c>
      <c r="C1090" s="2" t="s">
        <v>1769</v>
      </c>
      <c r="D1090" s="2" t="s">
        <v>1798</v>
      </c>
      <c r="E1090" s="2" t="s">
        <v>607</v>
      </c>
      <c r="F1090" s="2" t="s">
        <v>1802</v>
      </c>
      <c r="G1090" s="8" t="str">
        <f>IF(ISNA(VLOOKUP(B1090&amp;"|"&amp;C1090&amp;"|"&amp;D1090&amp;"|"&amp;E1090,QuestionTriggers!A:F,6,FALSE)),"","---&gt;")</f>
        <v/>
      </c>
      <c r="H1090" s="2" t="s">
        <v>1799</v>
      </c>
      <c r="I1090" s="2" t="s">
        <v>1107</v>
      </c>
      <c r="J1090" s="2" t="s">
        <v>101</v>
      </c>
      <c r="K1090" s="2"/>
    </row>
    <row r="1091" spans="1:11" hidden="1" x14ac:dyDescent="0.3">
      <c r="A1091" t="str">
        <f t="shared" ref="A1091:A1154" si="17">C1091&amp;"|"&amp;D1091&amp;"|"&amp;E1091</f>
        <v>Paws|Zair the Wise|HEALTH</v>
      </c>
      <c r="B1091" s="2" t="s">
        <v>1768</v>
      </c>
      <c r="C1091" s="2" t="s">
        <v>1769</v>
      </c>
      <c r="D1091" s="2" t="s">
        <v>1798</v>
      </c>
      <c r="E1091" s="2" t="s">
        <v>20</v>
      </c>
      <c r="F1091" s="2" t="s">
        <v>93</v>
      </c>
      <c r="G1091" s="8" t="str">
        <f>IF(ISNA(VLOOKUP(B1091&amp;"|"&amp;C1091&amp;"|"&amp;D1091&amp;"|"&amp;E1091,QuestionTriggers!A:F,6,FALSE)),"","---&gt;")</f>
        <v/>
      </c>
      <c r="H1091" s="2" t="s">
        <v>1799</v>
      </c>
      <c r="I1091" s="2" t="s">
        <v>1107</v>
      </c>
      <c r="J1091" s="2" t="s">
        <v>101</v>
      </c>
      <c r="K1091" s="2"/>
    </row>
    <row r="1092" spans="1:11" hidden="1" x14ac:dyDescent="0.3">
      <c r="A1092" t="str">
        <f t="shared" si="17"/>
        <v>Paws|Zair the Wise|JOB</v>
      </c>
      <c r="B1092" s="2" t="s">
        <v>1768</v>
      </c>
      <c r="C1092" s="2" t="s">
        <v>1769</v>
      </c>
      <c r="D1092" s="2" t="s">
        <v>1798</v>
      </c>
      <c r="E1092" s="2" t="s">
        <v>18</v>
      </c>
      <c r="F1092" s="2" t="s">
        <v>1801</v>
      </c>
      <c r="G1092" s="8" t="str">
        <f>IF(ISNA(VLOOKUP(B1092&amp;"|"&amp;C1092&amp;"|"&amp;D1092&amp;"|"&amp;E1092,QuestionTriggers!A:F,6,FALSE)),"","---&gt;")</f>
        <v/>
      </c>
      <c r="H1092" s="2" t="s">
        <v>1799</v>
      </c>
      <c r="I1092" s="2" t="s">
        <v>1107</v>
      </c>
      <c r="J1092" s="2" t="s">
        <v>101</v>
      </c>
      <c r="K1092" s="2"/>
    </row>
    <row r="1093" spans="1:11" hidden="1" x14ac:dyDescent="0.3">
      <c r="A1093" t="str">
        <f t="shared" si="17"/>
        <v>Paws|Zair the Wise|LOOK</v>
      </c>
      <c r="B1093" s="2" t="s">
        <v>1768</v>
      </c>
      <c r="C1093" s="2" t="s">
        <v>1769</v>
      </c>
      <c r="D1093" s="2" t="s">
        <v>1798</v>
      </c>
      <c r="E1093" s="2" t="s">
        <v>16</v>
      </c>
      <c r="F1093" s="2" t="s">
        <v>1800</v>
      </c>
      <c r="G1093" s="8" t="str">
        <f>IF(ISNA(VLOOKUP(B1093&amp;"|"&amp;C1093&amp;"|"&amp;D1093&amp;"|"&amp;E1093,QuestionTriggers!A:F,6,FALSE)),"","---&gt;")</f>
        <v/>
      </c>
      <c r="H1093" s="2" t="s">
        <v>1799</v>
      </c>
      <c r="I1093" s="2" t="s">
        <v>1107</v>
      </c>
      <c r="J1093" s="2" t="s">
        <v>101</v>
      </c>
      <c r="K1093" s="2"/>
    </row>
    <row r="1094" spans="1:11" hidden="1" x14ac:dyDescent="0.3">
      <c r="A1094" t="str">
        <f t="shared" si="17"/>
        <v>Paws|Zair the Wise|NAME</v>
      </c>
      <c r="B1094" s="2" t="s">
        <v>1768</v>
      </c>
      <c r="C1094" s="2" t="s">
        <v>1769</v>
      </c>
      <c r="D1094" s="2" t="s">
        <v>1798</v>
      </c>
      <c r="E1094" s="2" t="s">
        <v>12</v>
      </c>
      <c r="F1094" s="2" t="s">
        <v>1798</v>
      </c>
      <c r="G1094" s="8" t="str">
        <f>IF(ISNA(VLOOKUP(B1094&amp;"|"&amp;C1094&amp;"|"&amp;D1094&amp;"|"&amp;E1094,QuestionTriggers!A:F,6,FALSE)),"","---&gt;")</f>
        <v/>
      </c>
      <c r="H1094" s="2" t="s">
        <v>1799</v>
      </c>
      <c r="I1094" s="2" t="s">
        <v>1107</v>
      </c>
      <c r="J1094" s="2" t="s">
        <v>101</v>
      </c>
      <c r="K1094" s="2"/>
    </row>
    <row r="1095" spans="1:11" ht="26.4" hidden="1" x14ac:dyDescent="0.3">
      <c r="A1095" t="str">
        <f t="shared" si="17"/>
        <v>Paws|Zair the Wise|WORD</v>
      </c>
      <c r="B1095" s="2" t="s">
        <v>1768</v>
      </c>
      <c r="C1095" s="2" t="s">
        <v>1769</v>
      </c>
      <c r="D1095" s="2" t="s">
        <v>1798</v>
      </c>
      <c r="E1095" s="2" t="s">
        <v>286</v>
      </c>
      <c r="F1095" s="2" t="s">
        <v>1803</v>
      </c>
      <c r="G1095" s="8" t="str">
        <f>IF(ISNA(VLOOKUP(B1095&amp;"|"&amp;C1095&amp;"|"&amp;D1095&amp;"|"&amp;E1095,QuestionTriggers!A:F,6,FALSE)),"","---&gt;")</f>
        <v>---&gt;</v>
      </c>
      <c r="H1095" s="2" t="s">
        <v>1799</v>
      </c>
      <c r="I1095" s="2" t="s">
        <v>1107</v>
      </c>
      <c r="J1095" s="2" t="s">
        <v>101</v>
      </c>
      <c r="K1095" s="2"/>
    </row>
    <row r="1096" spans="1:11" hidden="1" x14ac:dyDescent="0.3">
      <c r="A1096" t="str">
        <f t="shared" si="17"/>
        <v>Serpent’s Hold|Baronial Guard|CAST</v>
      </c>
      <c r="B1096" s="2" t="s">
        <v>9</v>
      </c>
      <c r="C1096" s="2" t="s">
        <v>574</v>
      </c>
      <c r="D1096" s="2" t="s">
        <v>631</v>
      </c>
      <c r="E1096" s="2" t="s">
        <v>36</v>
      </c>
      <c r="F1096" s="2" t="s">
        <v>640</v>
      </c>
      <c r="G1096" s="8" t="str">
        <f>IF(ISNA(VLOOKUP(B1096&amp;"|"&amp;C1096&amp;"|"&amp;D1096&amp;"|"&amp;E1096,QuestionTriggers!A:F,6,FALSE)),"","---&gt;")</f>
        <v>---&gt;</v>
      </c>
      <c r="H1096" s="2" t="s">
        <v>633</v>
      </c>
      <c r="I1096" s="2" t="s">
        <v>634</v>
      </c>
      <c r="J1096" s="2" t="s">
        <v>635</v>
      </c>
      <c r="K1096" s="2"/>
    </row>
    <row r="1097" spans="1:11" hidden="1" x14ac:dyDescent="0.3">
      <c r="A1097" t="str">
        <f t="shared" si="17"/>
        <v>Serpent’s Hold|Baronial Guard|HEALTH</v>
      </c>
      <c r="B1097" s="2" t="s">
        <v>9</v>
      </c>
      <c r="C1097" s="2" t="s">
        <v>574</v>
      </c>
      <c r="D1097" s="2" t="s">
        <v>631</v>
      </c>
      <c r="E1097" s="2" t="s">
        <v>20</v>
      </c>
      <c r="F1097" s="2" t="s">
        <v>474</v>
      </c>
      <c r="G1097" s="8" t="str">
        <f>IF(ISNA(VLOOKUP(B1097&amp;"|"&amp;C1097&amp;"|"&amp;D1097&amp;"|"&amp;E1097,QuestionTriggers!A:F,6,FALSE)),"","---&gt;")</f>
        <v/>
      </c>
      <c r="H1097" s="2" t="s">
        <v>633</v>
      </c>
      <c r="I1097" s="2" t="s">
        <v>634</v>
      </c>
      <c r="J1097" s="2" t="s">
        <v>635</v>
      </c>
      <c r="K1097" s="2"/>
    </row>
    <row r="1098" spans="1:11" hidden="1" x14ac:dyDescent="0.3">
      <c r="A1098" t="str">
        <f t="shared" si="17"/>
        <v>Serpent’s Hold|Baronial Guard|JOB</v>
      </c>
      <c r="B1098" s="2" t="s">
        <v>9</v>
      </c>
      <c r="C1098" s="2" t="s">
        <v>574</v>
      </c>
      <c r="D1098" s="2" t="s">
        <v>631</v>
      </c>
      <c r="E1098" s="2" t="s">
        <v>18</v>
      </c>
      <c r="F1098" s="2" t="s">
        <v>637</v>
      </c>
      <c r="G1098" s="8" t="str">
        <f>IF(ISNA(VLOOKUP(B1098&amp;"|"&amp;C1098&amp;"|"&amp;D1098&amp;"|"&amp;E1098,QuestionTriggers!A:F,6,FALSE)),"","---&gt;")</f>
        <v/>
      </c>
      <c r="H1098" s="2" t="s">
        <v>633</v>
      </c>
      <c r="I1098" s="2" t="s">
        <v>634</v>
      </c>
      <c r="J1098" s="2" t="s">
        <v>635</v>
      </c>
      <c r="K1098" s="2"/>
    </row>
    <row r="1099" spans="1:11" hidden="1" x14ac:dyDescent="0.3">
      <c r="A1099" t="str">
        <f t="shared" si="17"/>
        <v>Serpent’s Hold|Baronial Guard|LOOK</v>
      </c>
      <c r="B1099" s="2" t="s">
        <v>9</v>
      </c>
      <c r="C1099" s="2" t="s">
        <v>574</v>
      </c>
      <c r="D1099" s="2" t="s">
        <v>631</v>
      </c>
      <c r="E1099" s="2" t="s">
        <v>16</v>
      </c>
      <c r="F1099" s="2" t="s">
        <v>636</v>
      </c>
      <c r="G1099" s="8" t="str">
        <f>IF(ISNA(VLOOKUP(B1099&amp;"|"&amp;C1099&amp;"|"&amp;D1099&amp;"|"&amp;E1099,QuestionTriggers!A:F,6,FALSE)),"","---&gt;")</f>
        <v/>
      </c>
      <c r="H1099" s="2" t="s">
        <v>633</v>
      </c>
      <c r="I1099" s="2" t="s">
        <v>634</v>
      </c>
      <c r="J1099" s="2" t="s">
        <v>635</v>
      </c>
      <c r="K1099" s="2"/>
    </row>
    <row r="1100" spans="1:11" hidden="1" x14ac:dyDescent="0.3">
      <c r="A1100" t="str">
        <f t="shared" si="17"/>
        <v>Serpent’s Hold|Baronial Guard|LORD</v>
      </c>
      <c r="B1100" s="2" t="s">
        <v>9</v>
      </c>
      <c r="C1100" s="2" t="s">
        <v>574</v>
      </c>
      <c r="D1100" s="2" t="s">
        <v>631</v>
      </c>
      <c r="E1100" s="2" t="s">
        <v>638</v>
      </c>
      <c r="F1100" s="2" t="s">
        <v>639</v>
      </c>
      <c r="G1100" s="8" t="str">
        <f>IF(ISNA(VLOOKUP(B1100&amp;"|"&amp;C1100&amp;"|"&amp;D1100&amp;"|"&amp;E1100,QuestionTriggers!A:F,6,FALSE)),"","---&gt;")</f>
        <v/>
      </c>
      <c r="H1100" s="2" t="s">
        <v>633</v>
      </c>
      <c r="I1100" s="2" t="s">
        <v>634</v>
      </c>
      <c r="J1100" s="2" t="s">
        <v>635</v>
      </c>
      <c r="K1100" s="2"/>
    </row>
    <row r="1101" spans="1:11" hidden="1" x14ac:dyDescent="0.3">
      <c r="A1101" t="str">
        <f t="shared" si="17"/>
        <v>Serpent’s Hold|Baronial Guard|NAME</v>
      </c>
      <c r="B1101" s="2" t="s">
        <v>9</v>
      </c>
      <c r="C1101" s="2" t="s">
        <v>574</v>
      </c>
      <c r="D1101" s="2" t="s">
        <v>631</v>
      </c>
      <c r="E1101" s="2" t="s">
        <v>12</v>
      </c>
      <c r="F1101" s="2" t="s">
        <v>632</v>
      </c>
      <c r="G1101" s="8" t="str">
        <f>IF(ISNA(VLOOKUP(B1101&amp;"|"&amp;C1101&amp;"|"&amp;D1101&amp;"|"&amp;E1101,QuestionTriggers!A:F,6,FALSE)),"","---&gt;")</f>
        <v/>
      </c>
      <c r="H1101" s="2" t="s">
        <v>633</v>
      </c>
      <c r="I1101" s="2" t="s">
        <v>634</v>
      </c>
      <c r="J1101" s="2" t="s">
        <v>635</v>
      </c>
      <c r="K1101" s="2"/>
    </row>
    <row r="1102" spans="1:11" hidden="1" x14ac:dyDescent="0.3">
      <c r="A1102" t="str">
        <f t="shared" si="17"/>
        <v>Serpent’s Hold|Durham|DUNG</v>
      </c>
      <c r="B1102" s="2" t="s">
        <v>9</v>
      </c>
      <c r="C1102" s="2" t="s">
        <v>574</v>
      </c>
      <c r="D1102" s="2" t="s">
        <v>656</v>
      </c>
      <c r="E1102" s="2" t="s">
        <v>619</v>
      </c>
      <c r="F1102" s="2" t="s">
        <v>663</v>
      </c>
      <c r="G1102" s="8" t="str">
        <f>IF(ISNA(VLOOKUP(B1102&amp;"|"&amp;C1102&amp;"|"&amp;D1102&amp;"|"&amp;E1102,QuestionTriggers!A:F,6,FALSE)),"","---&gt;")</f>
        <v>---&gt;</v>
      </c>
      <c r="H1102" s="2" t="s">
        <v>548</v>
      </c>
      <c r="I1102" s="2" t="s">
        <v>657</v>
      </c>
      <c r="J1102" s="2" t="s">
        <v>658</v>
      </c>
      <c r="K1102" s="2"/>
    </row>
    <row r="1103" spans="1:11" hidden="1" x14ac:dyDescent="0.3">
      <c r="A1103" t="str">
        <f t="shared" si="17"/>
        <v>Serpent’s Hold|Durham|HEALTH</v>
      </c>
      <c r="B1103" s="2" t="s">
        <v>9</v>
      </c>
      <c r="C1103" s="2" t="s">
        <v>574</v>
      </c>
      <c r="D1103" s="2" t="s">
        <v>656</v>
      </c>
      <c r="E1103" s="2" t="s">
        <v>20</v>
      </c>
      <c r="F1103" s="2" t="s">
        <v>661</v>
      </c>
      <c r="G1103" s="8" t="str">
        <f>IF(ISNA(VLOOKUP(B1103&amp;"|"&amp;C1103&amp;"|"&amp;D1103&amp;"|"&amp;E1103,QuestionTriggers!A:F,6,FALSE)),"","---&gt;")</f>
        <v/>
      </c>
      <c r="H1103" s="2" t="s">
        <v>548</v>
      </c>
      <c r="I1103" s="2" t="s">
        <v>657</v>
      </c>
      <c r="J1103" s="2" t="s">
        <v>658</v>
      </c>
      <c r="K1103" s="2"/>
    </row>
    <row r="1104" spans="1:11" hidden="1" x14ac:dyDescent="0.3">
      <c r="A1104" t="str">
        <f t="shared" si="17"/>
        <v>Serpent’s Hold|Durham|JOB</v>
      </c>
      <c r="B1104" s="2" t="s">
        <v>9</v>
      </c>
      <c r="C1104" s="2" t="s">
        <v>574</v>
      </c>
      <c r="D1104" s="2" t="s">
        <v>656</v>
      </c>
      <c r="E1104" s="2" t="s">
        <v>18</v>
      </c>
      <c r="F1104" s="2" t="s">
        <v>660</v>
      </c>
      <c r="G1104" s="8" t="str">
        <f>IF(ISNA(VLOOKUP(B1104&amp;"|"&amp;C1104&amp;"|"&amp;D1104&amp;"|"&amp;E1104,QuestionTriggers!A:F,6,FALSE)),"","---&gt;")</f>
        <v/>
      </c>
      <c r="H1104" s="2" t="s">
        <v>548</v>
      </c>
      <c r="I1104" s="2" t="s">
        <v>657</v>
      </c>
      <c r="J1104" s="2" t="s">
        <v>658</v>
      </c>
      <c r="K1104" s="2"/>
    </row>
    <row r="1105" spans="1:11" hidden="1" x14ac:dyDescent="0.3">
      <c r="A1105" t="str">
        <f t="shared" si="17"/>
        <v>Serpent’s Hold|Durham|LOOK</v>
      </c>
      <c r="B1105" s="2" t="s">
        <v>9</v>
      </c>
      <c r="C1105" s="2" t="s">
        <v>574</v>
      </c>
      <c r="D1105" s="2" t="s">
        <v>656</v>
      </c>
      <c r="E1105" s="2" t="s">
        <v>16</v>
      </c>
      <c r="F1105" s="2" t="s">
        <v>659</v>
      </c>
      <c r="G1105" s="8" t="str">
        <f>IF(ISNA(VLOOKUP(B1105&amp;"|"&amp;C1105&amp;"|"&amp;D1105&amp;"|"&amp;E1105,QuestionTriggers!A:F,6,FALSE)),"","---&gt;")</f>
        <v/>
      </c>
      <c r="H1105" s="2" t="s">
        <v>548</v>
      </c>
      <c r="I1105" s="2" t="s">
        <v>657</v>
      </c>
      <c r="J1105" s="2" t="s">
        <v>658</v>
      </c>
      <c r="K1105" s="2"/>
    </row>
    <row r="1106" spans="1:11" hidden="1" x14ac:dyDescent="0.3">
      <c r="A1106" t="str">
        <f t="shared" si="17"/>
        <v>Serpent’s Hold|Durham|NAME</v>
      </c>
      <c r="B1106" s="2" t="s">
        <v>9</v>
      </c>
      <c r="C1106" s="2" t="s">
        <v>574</v>
      </c>
      <c r="D1106" s="2" t="s">
        <v>656</v>
      </c>
      <c r="E1106" s="2" t="s">
        <v>12</v>
      </c>
      <c r="F1106" s="2" t="s">
        <v>656</v>
      </c>
      <c r="G1106" s="8" t="str">
        <f>IF(ISNA(VLOOKUP(B1106&amp;"|"&amp;C1106&amp;"|"&amp;D1106&amp;"|"&amp;E1106,QuestionTriggers!A:F,6,FALSE)),"","---&gt;")</f>
        <v/>
      </c>
      <c r="H1106" s="2" t="s">
        <v>548</v>
      </c>
      <c r="I1106" s="2" t="s">
        <v>657</v>
      </c>
      <c r="J1106" s="2" t="s">
        <v>658</v>
      </c>
      <c r="K1106" s="2"/>
    </row>
    <row r="1107" spans="1:11" hidden="1" x14ac:dyDescent="0.3">
      <c r="A1107" t="str">
        <f t="shared" si="17"/>
        <v>Serpent’s Hold|Durham|QUES</v>
      </c>
      <c r="B1107" s="2" t="s">
        <v>9</v>
      </c>
      <c r="C1107" s="2" t="s">
        <v>574</v>
      </c>
      <c r="D1107" s="2" t="s">
        <v>656</v>
      </c>
      <c r="E1107" s="2" t="s">
        <v>259</v>
      </c>
      <c r="F1107" s="2" t="s">
        <v>662</v>
      </c>
      <c r="G1107" s="8" t="str">
        <f>IF(ISNA(VLOOKUP(B1107&amp;"|"&amp;C1107&amp;"|"&amp;D1107&amp;"|"&amp;E1107,QuestionTriggers!A:F,6,FALSE)),"","---&gt;")</f>
        <v/>
      </c>
      <c r="H1107" s="2" t="s">
        <v>548</v>
      </c>
      <c r="I1107" s="2" t="s">
        <v>657</v>
      </c>
      <c r="J1107" s="2" t="s">
        <v>658</v>
      </c>
      <c r="K1107" s="2"/>
    </row>
    <row r="1108" spans="1:11" ht="26.4" hidden="1" x14ac:dyDescent="0.3">
      <c r="A1108" t="str">
        <f t="shared" si="17"/>
        <v>Serpent’s Hold|Garam|BELL</v>
      </c>
      <c r="B1108" s="2" t="s">
        <v>9</v>
      </c>
      <c r="C1108" s="2" t="s">
        <v>574</v>
      </c>
      <c r="D1108" s="2" t="s">
        <v>648</v>
      </c>
      <c r="E1108" s="2" t="s">
        <v>654</v>
      </c>
      <c r="F1108" s="2" t="s">
        <v>655</v>
      </c>
      <c r="G1108" s="8" t="str">
        <f>IF(ISNA(VLOOKUP(B1108&amp;"|"&amp;C1108&amp;"|"&amp;D1108&amp;"|"&amp;E1108,QuestionTriggers!A:F,6,FALSE)),"","---&gt;")</f>
        <v>---&gt;</v>
      </c>
      <c r="H1108" s="2" t="s">
        <v>611</v>
      </c>
      <c r="I1108" s="2" t="s">
        <v>177</v>
      </c>
      <c r="J1108" s="2" t="s">
        <v>649</v>
      </c>
      <c r="K1108" s="2"/>
    </row>
    <row r="1109" spans="1:11" hidden="1" x14ac:dyDescent="0.3">
      <c r="A1109" t="str">
        <f t="shared" si="17"/>
        <v>Serpent’s Hold|Garam|COUR</v>
      </c>
      <c r="B1109" s="2" t="s">
        <v>9</v>
      </c>
      <c r="C1109" s="2" t="s">
        <v>574</v>
      </c>
      <c r="D1109" s="2" t="s">
        <v>648</v>
      </c>
      <c r="E1109" s="2" t="s">
        <v>237</v>
      </c>
      <c r="F1109" s="2" t="s">
        <v>653</v>
      </c>
      <c r="G1109" s="8" t="str">
        <f>IF(ISNA(VLOOKUP(B1109&amp;"|"&amp;C1109&amp;"|"&amp;D1109&amp;"|"&amp;E1109,QuestionTriggers!A:F,6,FALSE)),"","---&gt;")</f>
        <v/>
      </c>
      <c r="H1109" s="2" t="s">
        <v>611</v>
      </c>
      <c r="I1109" s="2" t="s">
        <v>177</v>
      </c>
      <c r="J1109" s="2" t="s">
        <v>649</v>
      </c>
      <c r="K1109" s="2"/>
    </row>
    <row r="1110" spans="1:11" hidden="1" x14ac:dyDescent="0.3">
      <c r="A1110" t="str">
        <f t="shared" si="17"/>
        <v>Serpent’s Hold|Garam|HEALTH</v>
      </c>
      <c r="B1110" s="2" t="s">
        <v>9</v>
      </c>
      <c r="C1110" s="2" t="s">
        <v>574</v>
      </c>
      <c r="D1110" s="2" t="s">
        <v>648</v>
      </c>
      <c r="E1110" s="2" t="s">
        <v>20</v>
      </c>
      <c r="F1110" s="2" t="s">
        <v>652</v>
      </c>
      <c r="G1110" s="8" t="str">
        <f>IF(ISNA(VLOOKUP(B1110&amp;"|"&amp;C1110&amp;"|"&amp;D1110&amp;"|"&amp;E1110,QuestionTriggers!A:F,6,FALSE)),"","---&gt;")</f>
        <v/>
      </c>
      <c r="H1110" s="2" t="s">
        <v>611</v>
      </c>
      <c r="I1110" s="2" t="s">
        <v>177</v>
      </c>
      <c r="J1110" s="2" t="s">
        <v>649</v>
      </c>
      <c r="K1110" s="2"/>
    </row>
    <row r="1111" spans="1:11" hidden="1" x14ac:dyDescent="0.3">
      <c r="A1111" t="str">
        <f t="shared" si="17"/>
        <v>Serpent’s Hold|Garam|JOB</v>
      </c>
      <c r="B1111" s="2" t="s">
        <v>9</v>
      </c>
      <c r="C1111" s="2" t="s">
        <v>574</v>
      </c>
      <c r="D1111" s="2" t="s">
        <v>648</v>
      </c>
      <c r="E1111" s="2" t="s">
        <v>18</v>
      </c>
      <c r="F1111" s="2" t="s">
        <v>651</v>
      </c>
      <c r="G1111" s="8" t="str">
        <f>IF(ISNA(VLOOKUP(B1111&amp;"|"&amp;C1111&amp;"|"&amp;D1111&amp;"|"&amp;E1111,QuestionTriggers!A:F,6,FALSE)),"","---&gt;")</f>
        <v/>
      </c>
      <c r="H1111" s="2" t="s">
        <v>611</v>
      </c>
      <c r="I1111" s="2" t="s">
        <v>177</v>
      </c>
      <c r="J1111" s="2" t="s">
        <v>649</v>
      </c>
      <c r="K1111" s="2"/>
    </row>
    <row r="1112" spans="1:11" hidden="1" x14ac:dyDescent="0.3">
      <c r="A1112" t="str">
        <f t="shared" si="17"/>
        <v>Serpent’s Hold|Garam|LOOK</v>
      </c>
      <c r="B1112" s="2" t="s">
        <v>9</v>
      </c>
      <c r="C1112" s="2" t="s">
        <v>574</v>
      </c>
      <c r="D1112" s="2" t="s">
        <v>648</v>
      </c>
      <c r="E1112" s="2" t="s">
        <v>16</v>
      </c>
      <c r="F1112" s="2" t="s">
        <v>650</v>
      </c>
      <c r="G1112" s="8" t="str">
        <f>IF(ISNA(VLOOKUP(B1112&amp;"|"&amp;C1112&amp;"|"&amp;D1112&amp;"|"&amp;E1112,QuestionTriggers!A:F,6,FALSE)),"","---&gt;")</f>
        <v/>
      </c>
      <c r="H1112" s="2" t="s">
        <v>611</v>
      </c>
      <c r="I1112" s="2" t="s">
        <v>177</v>
      </c>
      <c r="J1112" s="2" t="s">
        <v>649</v>
      </c>
      <c r="K1112" s="2"/>
    </row>
    <row r="1113" spans="1:11" hidden="1" x14ac:dyDescent="0.3">
      <c r="A1113" t="str">
        <f t="shared" si="17"/>
        <v>Serpent’s Hold|Garam|NAME</v>
      </c>
      <c r="B1113" s="2" t="s">
        <v>9</v>
      </c>
      <c r="C1113" s="2" t="s">
        <v>574</v>
      </c>
      <c r="D1113" s="2" t="s">
        <v>648</v>
      </c>
      <c r="E1113" s="2" t="s">
        <v>12</v>
      </c>
      <c r="F1113" s="2" t="s">
        <v>648</v>
      </c>
      <c r="G1113" s="8" t="str">
        <f>IF(ISNA(VLOOKUP(B1113&amp;"|"&amp;C1113&amp;"|"&amp;D1113&amp;"|"&amp;E1113,QuestionTriggers!A:F,6,FALSE)),"","---&gt;")</f>
        <v/>
      </c>
      <c r="H1113" s="2" t="s">
        <v>611</v>
      </c>
      <c r="I1113" s="2" t="s">
        <v>177</v>
      </c>
      <c r="J1113" s="2" t="s">
        <v>649</v>
      </c>
      <c r="K1113" s="2"/>
    </row>
    <row r="1114" spans="1:11" hidden="1" x14ac:dyDescent="0.3">
      <c r="A1114" t="str">
        <f t="shared" si="17"/>
        <v>Serpent’s Hold|Gate guard|GATE</v>
      </c>
      <c r="B1114" s="2" t="s">
        <v>9</v>
      </c>
      <c r="C1114" s="2" t="s">
        <v>574</v>
      </c>
      <c r="D1114" s="2" t="s">
        <v>580</v>
      </c>
      <c r="E1114" s="2" t="s">
        <v>504</v>
      </c>
      <c r="F1114" s="2" t="s">
        <v>588</v>
      </c>
      <c r="G1114" s="8" t="str">
        <f>IF(ISNA(VLOOKUP(B1114&amp;"|"&amp;C1114&amp;"|"&amp;D1114&amp;"|"&amp;E1114,QuestionTriggers!A:F,6,FALSE)),"","---&gt;")</f>
        <v/>
      </c>
      <c r="H1114" s="2" t="s">
        <v>582</v>
      </c>
      <c r="I1114" s="2" t="s">
        <v>583</v>
      </c>
      <c r="J1114" s="2" t="s">
        <v>584</v>
      </c>
      <c r="K1114" s="2"/>
    </row>
    <row r="1115" spans="1:11" hidden="1" x14ac:dyDescent="0.3">
      <c r="A1115" t="str">
        <f t="shared" si="17"/>
        <v>Serpent’s Hold|Gate guard|GUAR</v>
      </c>
      <c r="B1115" s="2" t="s">
        <v>9</v>
      </c>
      <c r="C1115" s="2" t="s">
        <v>574</v>
      </c>
      <c r="D1115" s="2" t="s">
        <v>580</v>
      </c>
      <c r="E1115" s="2" t="s">
        <v>34</v>
      </c>
      <c r="F1115" s="2" t="s">
        <v>589</v>
      </c>
      <c r="G1115" s="8" t="str">
        <f>IF(ISNA(VLOOKUP(B1115&amp;"|"&amp;C1115&amp;"|"&amp;D1115&amp;"|"&amp;E1115,QuestionTriggers!A:F,6,FALSE)),"","---&gt;")</f>
        <v>---&gt;</v>
      </c>
      <c r="H1115" s="2" t="s">
        <v>582</v>
      </c>
      <c r="I1115" s="2" t="s">
        <v>583</v>
      </c>
      <c r="J1115" s="2" t="s">
        <v>584</v>
      </c>
      <c r="K1115" s="2"/>
    </row>
    <row r="1116" spans="1:11" hidden="1" x14ac:dyDescent="0.3">
      <c r="A1116" t="str">
        <f t="shared" si="17"/>
        <v>Serpent’s Hold|Gate guard|HEALTH</v>
      </c>
      <c r="B1116" s="2" t="s">
        <v>9</v>
      </c>
      <c r="C1116" s="2" t="s">
        <v>574</v>
      </c>
      <c r="D1116" s="2" t="s">
        <v>580</v>
      </c>
      <c r="E1116" s="2" t="s">
        <v>20</v>
      </c>
      <c r="F1116" s="2" t="s">
        <v>587</v>
      </c>
      <c r="G1116" s="8" t="str">
        <f>IF(ISNA(VLOOKUP(B1116&amp;"|"&amp;C1116&amp;"|"&amp;D1116&amp;"|"&amp;E1116,QuestionTriggers!A:F,6,FALSE)),"","---&gt;")</f>
        <v/>
      </c>
      <c r="H1116" s="2" t="s">
        <v>582</v>
      </c>
      <c r="I1116" s="2" t="s">
        <v>583</v>
      </c>
      <c r="J1116" s="2" t="s">
        <v>584</v>
      </c>
      <c r="K1116" s="2"/>
    </row>
    <row r="1117" spans="1:11" hidden="1" x14ac:dyDescent="0.3">
      <c r="A1117" t="str">
        <f t="shared" si="17"/>
        <v>Serpent’s Hold|Gate guard|JOB</v>
      </c>
      <c r="B1117" s="2" t="s">
        <v>9</v>
      </c>
      <c r="C1117" s="2" t="s">
        <v>574</v>
      </c>
      <c r="D1117" s="2" t="s">
        <v>580</v>
      </c>
      <c r="E1117" s="2" t="s">
        <v>18</v>
      </c>
      <c r="F1117" s="2" t="s">
        <v>586</v>
      </c>
      <c r="G1117" s="8" t="str">
        <f>IF(ISNA(VLOOKUP(B1117&amp;"|"&amp;C1117&amp;"|"&amp;D1117&amp;"|"&amp;E1117,QuestionTriggers!A:F,6,FALSE)),"","---&gt;")</f>
        <v/>
      </c>
      <c r="H1117" s="2" t="s">
        <v>582</v>
      </c>
      <c r="I1117" s="2" t="s">
        <v>583</v>
      </c>
      <c r="J1117" s="2" t="s">
        <v>584</v>
      </c>
      <c r="K1117" s="2"/>
    </row>
    <row r="1118" spans="1:11" hidden="1" x14ac:dyDescent="0.3">
      <c r="A1118" t="str">
        <f t="shared" si="17"/>
        <v>Serpent’s Hold|Gate guard|LOOK</v>
      </c>
      <c r="B1118" s="2" t="s">
        <v>9</v>
      </c>
      <c r="C1118" s="2" t="s">
        <v>574</v>
      </c>
      <c r="D1118" s="2" t="s">
        <v>580</v>
      </c>
      <c r="E1118" s="2" t="s">
        <v>16</v>
      </c>
      <c r="F1118" s="2" t="s">
        <v>585</v>
      </c>
      <c r="G1118" s="8" t="str">
        <f>IF(ISNA(VLOOKUP(B1118&amp;"|"&amp;C1118&amp;"|"&amp;D1118&amp;"|"&amp;E1118,QuestionTriggers!A:F,6,FALSE)),"","---&gt;")</f>
        <v/>
      </c>
      <c r="H1118" s="2" t="s">
        <v>582</v>
      </c>
      <c r="I1118" s="2" t="s">
        <v>583</v>
      </c>
      <c r="J1118" s="2" t="s">
        <v>584</v>
      </c>
      <c r="K1118" s="2"/>
    </row>
    <row r="1119" spans="1:11" hidden="1" x14ac:dyDescent="0.3">
      <c r="A1119" t="str">
        <f t="shared" si="17"/>
        <v>Serpent’s Hold|Gate guard|NAME</v>
      </c>
      <c r="B1119" s="2" t="s">
        <v>9</v>
      </c>
      <c r="C1119" s="2" t="s">
        <v>574</v>
      </c>
      <c r="D1119" s="2" t="s">
        <v>580</v>
      </c>
      <c r="E1119" s="2" t="s">
        <v>12</v>
      </c>
      <c r="F1119" s="2" t="s">
        <v>581</v>
      </c>
      <c r="G1119" s="8" t="str">
        <f>IF(ISNA(VLOOKUP(B1119&amp;"|"&amp;C1119&amp;"|"&amp;D1119&amp;"|"&amp;E1119,QuestionTriggers!A:F,6,FALSE)),"","---&gt;")</f>
        <v/>
      </c>
      <c r="H1119" s="2" t="s">
        <v>582</v>
      </c>
      <c r="I1119" s="2" t="s">
        <v>583</v>
      </c>
      <c r="J1119" s="2" t="s">
        <v>584</v>
      </c>
      <c r="K1119" s="2"/>
    </row>
    <row r="1120" spans="1:11" hidden="1" x14ac:dyDescent="0.3">
      <c r="A1120" t="str">
        <f t="shared" si="17"/>
        <v>Serpent’s Hold|Lassorn|HEALTH</v>
      </c>
      <c r="B1120" s="2" t="s">
        <v>9</v>
      </c>
      <c r="C1120" s="2" t="s">
        <v>574</v>
      </c>
      <c r="D1120" s="2" t="s">
        <v>590</v>
      </c>
      <c r="E1120" s="2" t="s">
        <v>20</v>
      </c>
      <c r="F1120" s="2" t="s">
        <v>595</v>
      </c>
      <c r="G1120" s="8" t="str">
        <f>IF(ISNA(VLOOKUP(B1120&amp;"|"&amp;C1120&amp;"|"&amp;D1120&amp;"|"&amp;E1120,QuestionTriggers!A:F,6,FALSE)),"","---&gt;")</f>
        <v/>
      </c>
      <c r="H1120" s="2" t="s">
        <v>591</v>
      </c>
      <c r="I1120" s="2" t="s">
        <v>592</v>
      </c>
      <c r="J1120" s="2" t="s">
        <v>592</v>
      </c>
      <c r="K1120" s="2"/>
    </row>
    <row r="1121" spans="1:11" hidden="1" x14ac:dyDescent="0.3">
      <c r="A1121" t="str">
        <f t="shared" si="17"/>
        <v>Serpent’s Hold|Lassorn|JOB</v>
      </c>
      <c r="B1121" s="2" t="s">
        <v>9</v>
      </c>
      <c r="C1121" s="2" t="s">
        <v>574</v>
      </c>
      <c r="D1121" s="2" t="s">
        <v>590</v>
      </c>
      <c r="E1121" s="2" t="s">
        <v>18</v>
      </c>
      <c r="F1121" s="2" t="s">
        <v>594</v>
      </c>
      <c r="G1121" s="8" t="str">
        <f>IF(ISNA(VLOOKUP(B1121&amp;"|"&amp;C1121&amp;"|"&amp;D1121&amp;"|"&amp;E1121,QuestionTriggers!A:F,6,FALSE)),"","---&gt;")</f>
        <v/>
      </c>
      <c r="H1121" s="2" t="s">
        <v>591</v>
      </c>
      <c r="I1121" s="2" t="s">
        <v>592</v>
      </c>
      <c r="J1121" s="2" t="s">
        <v>592</v>
      </c>
      <c r="K1121" s="2"/>
    </row>
    <row r="1122" spans="1:11" hidden="1" x14ac:dyDescent="0.3">
      <c r="A1122" t="str">
        <f t="shared" si="17"/>
        <v>Serpent’s Hold|Lassorn|LOOK</v>
      </c>
      <c r="B1122" s="2" t="s">
        <v>9</v>
      </c>
      <c r="C1122" s="2" t="s">
        <v>574</v>
      </c>
      <c r="D1122" s="2" t="s">
        <v>590</v>
      </c>
      <c r="E1122" s="2" t="s">
        <v>16</v>
      </c>
      <c r="F1122" s="2" t="s">
        <v>593</v>
      </c>
      <c r="G1122" s="8" t="str">
        <f>IF(ISNA(VLOOKUP(B1122&amp;"|"&amp;C1122&amp;"|"&amp;D1122&amp;"|"&amp;E1122,QuestionTriggers!A:F,6,FALSE)),"","---&gt;")</f>
        <v/>
      </c>
      <c r="H1122" s="2" t="s">
        <v>591</v>
      </c>
      <c r="I1122" s="2" t="s">
        <v>592</v>
      </c>
      <c r="J1122" s="2" t="s">
        <v>592</v>
      </c>
      <c r="K1122" s="2"/>
    </row>
    <row r="1123" spans="1:11" hidden="1" x14ac:dyDescent="0.3">
      <c r="A1123" t="str">
        <f t="shared" si="17"/>
        <v>Serpent’s Hold|Lassorn|NAME</v>
      </c>
      <c r="B1123" s="2" t="s">
        <v>9</v>
      </c>
      <c r="C1123" s="2" t="s">
        <v>574</v>
      </c>
      <c r="D1123" s="2" t="s">
        <v>590</v>
      </c>
      <c r="E1123" s="2" t="s">
        <v>12</v>
      </c>
      <c r="F1123" s="2" t="s">
        <v>590</v>
      </c>
      <c r="G1123" s="8" t="str">
        <f>IF(ISNA(VLOOKUP(B1123&amp;"|"&amp;C1123&amp;"|"&amp;D1123&amp;"|"&amp;E1123,QuestionTriggers!A:F,6,FALSE)),"","---&gt;")</f>
        <v/>
      </c>
      <c r="H1123" s="2" t="s">
        <v>591</v>
      </c>
      <c r="I1123" s="2" t="s">
        <v>592</v>
      </c>
      <c r="J1123" s="2" t="s">
        <v>592</v>
      </c>
      <c r="K1123" s="2"/>
    </row>
    <row r="1124" spans="1:11" hidden="1" x14ac:dyDescent="0.3">
      <c r="A1124" t="str">
        <f t="shared" si="17"/>
        <v>Serpent’s Hold|Lassorn|SHIP</v>
      </c>
      <c r="B1124" s="2" t="s">
        <v>9</v>
      </c>
      <c r="C1124" s="2" t="s">
        <v>574</v>
      </c>
      <c r="D1124" s="2" t="s">
        <v>590</v>
      </c>
      <c r="E1124" s="2" t="s">
        <v>596</v>
      </c>
      <c r="F1124" s="2" t="s">
        <v>597</v>
      </c>
      <c r="G1124" s="8" t="str">
        <f>IF(ISNA(VLOOKUP(B1124&amp;"|"&amp;C1124&amp;"|"&amp;D1124&amp;"|"&amp;E1124,QuestionTriggers!A:F,6,FALSE)),"","---&gt;")</f>
        <v/>
      </c>
      <c r="H1124" s="2" t="s">
        <v>591</v>
      </c>
      <c r="I1124" s="2" t="s">
        <v>592</v>
      </c>
      <c r="J1124" s="2" t="s">
        <v>592</v>
      </c>
      <c r="K1124" s="2"/>
    </row>
    <row r="1125" spans="1:11" hidden="1" x14ac:dyDescent="0.3">
      <c r="A1125" t="str">
        <f t="shared" si="17"/>
        <v>Serpent’s Hold|Lassorn|WHEE</v>
      </c>
      <c r="B1125" s="2" t="s">
        <v>9</v>
      </c>
      <c r="C1125" s="2" t="s">
        <v>574</v>
      </c>
      <c r="D1125" s="2" t="s">
        <v>590</v>
      </c>
      <c r="E1125" s="2" t="s">
        <v>598</v>
      </c>
      <c r="F1125" s="2" t="s">
        <v>599</v>
      </c>
      <c r="G1125" s="8" t="str">
        <f>IF(ISNA(VLOOKUP(B1125&amp;"|"&amp;C1125&amp;"|"&amp;D1125&amp;"|"&amp;E1125,QuestionTriggers!A:F,6,FALSE)),"","---&gt;")</f>
        <v>---&gt;</v>
      </c>
      <c r="H1125" s="2" t="s">
        <v>591</v>
      </c>
      <c r="I1125" s="2" t="s">
        <v>592</v>
      </c>
      <c r="J1125" s="2" t="s">
        <v>592</v>
      </c>
      <c r="K1125" s="2"/>
    </row>
    <row r="1126" spans="1:11" hidden="1" x14ac:dyDescent="0.3">
      <c r="A1126" t="str">
        <f t="shared" si="17"/>
        <v>Serpent’s Hold|Lori|DURH</v>
      </c>
      <c r="B1126" s="2" t="s">
        <v>9</v>
      </c>
      <c r="C1126" s="2" t="s">
        <v>574</v>
      </c>
      <c r="D1126" s="2" t="s">
        <v>664</v>
      </c>
      <c r="E1126" s="2" t="s">
        <v>673</v>
      </c>
      <c r="F1126" s="2" t="s">
        <v>674</v>
      </c>
      <c r="G1126" s="8" t="str">
        <f>IF(ISNA(VLOOKUP(B1126&amp;"|"&amp;C1126&amp;"|"&amp;D1126&amp;"|"&amp;E1126,QuestionTriggers!A:F,6,FALSE)),"","---&gt;")</f>
        <v>---&gt;</v>
      </c>
      <c r="H1126" s="2" t="s">
        <v>665</v>
      </c>
      <c r="I1126" s="2" t="s">
        <v>666</v>
      </c>
      <c r="J1126" s="2" t="s">
        <v>667</v>
      </c>
      <c r="K1126" s="2"/>
    </row>
    <row r="1127" spans="1:11" hidden="1" x14ac:dyDescent="0.3">
      <c r="A1127" t="str">
        <f t="shared" si="17"/>
        <v>Serpent’s Hold|Lori|GARA</v>
      </c>
      <c r="B1127" s="2" t="s">
        <v>9</v>
      </c>
      <c r="C1127" s="2" t="s">
        <v>574</v>
      </c>
      <c r="D1127" s="2" t="s">
        <v>664</v>
      </c>
      <c r="E1127" s="2" t="s">
        <v>671</v>
      </c>
      <c r="F1127" s="2" t="s">
        <v>672</v>
      </c>
      <c r="G1127" s="8" t="str">
        <f>IF(ISNA(VLOOKUP(B1127&amp;"|"&amp;C1127&amp;"|"&amp;D1127&amp;"|"&amp;E1127,QuestionTriggers!A:F,6,FALSE)),"","---&gt;")</f>
        <v/>
      </c>
      <c r="H1127" s="2" t="s">
        <v>665</v>
      </c>
      <c r="I1127" s="2" t="s">
        <v>666</v>
      </c>
      <c r="J1127" s="2" t="s">
        <v>667</v>
      </c>
      <c r="K1127" s="2"/>
    </row>
    <row r="1128" spans="1:11" hidden="1" x14ac:dyDescent="0.3">
      <c r="A1128" t="str">
        <f t="shared" si="17"/>
        <v>Serpent’s Hold|Lori|HEALTH</v>
      </c>
      <c r="B1128" s="2" t="s">
        <v>9</v>
      </c>
      <c r="C1128" s="2" t="s">
        <v>574</v>
      </c>
      <c r="D1128" s="2" t="s">
        <v>664</v>
      </c>
      <c r="E1128" s="2" t="s">
        <v>20</v>
      </c>
      <c r="F1128" s="2" t="s">
        <v>670</v>
      </c>
      <c r="G1128" s="8" t="str">
        <f>IF(ISNA(VLOOKUP(B1128&amp;"|"&amp;C1128&amp;"|"&amp;D1128&amp;"|"&amp;E1128,QuestionTriggers!A:F,6,FALSE)),"","---&gt;")</f>
        <v/>
      </c>
      <c r="H1128" s="2" t="s">
        <v>665</v>
      </c>
      <c r="I1128" s="2" t="s">
        <v>666</v>
      </c>
      <c r="J1128" s="2" t="s">
        <v>667</v>
      </c>
      <c r="K1128" s="2"/>
    </row>
    <row r="1129" spans="1:11" hidden="1" x14ac:dyDescent="0.3">
      <c r="A1129" t="str">
        <f t="shared" si="17"/>
        <v>Serpent’s Hold|Lori|JOB</v>
      </c>
      <c r="B1129" s="2" t="s">
        <v>9</v>
      </c>
      <c r="C1129" s="2" t="s">
        <v>574</v>
      </c>
      <c r="D1129" s="2" t="s">
        <v>664</v>
      </c>
      <c r="E1129" s="2" t="s">
        <v>18</v>
      </c>
      <c r="F1129" s="2" t="s">
        <v>669</v>
      </c>
      <c r="G1129" s="8" t="str">
        <f>IF(ISNA(VLOOKUP(B1129&amp;"|"&amp;C1129&amp;"|"&amp;D1129&amp;"|"&amp;E1129,QuestionTriggers!A:F,6,FALSE)),"","---&gt;")</f>
        <v/>
      </c>
      <c r="H1129" s="2" t="s">
        <v>665</v>
      </c>
      <c r="I1129" s="2" t="s">
        <v>666</v>
      </c>
      <c r="J1129" s="2" t="s">
        <v>667</v>
      </c>
      <c r="K1129" s="2"/>
    </row>
    <row r="1130" spans="1:11" hidden="1" x14ac:dyDescent="0.3">
      <c r="A1130" t="str">
        <f t="shared" si="17"/>
        <v>Serpent’s Hold|Lori|LOOK</v>
      </c>
      <c r="B1130" s="2" t="s">
        <v>9</v>
      </c>
      <c r="C1130" s="2" t="s">
        <v>574</v>
      </c>
      <c r="D1130" s="2" t="s">
        <v>664</v>
      </c>
      <c r="E1130" s="2" t="s">
        <v>16</v>
      </c>
      <c r="F1130" s="2" t="s">
        <v>668</v>
      </c>
      <c r="G1130" s="8" t="str">
        <f>IF(ISNA(VLOOKUP(B1130&amp;"|"&amp;C1130&amp;"|"&amp;D1130&amp;"|"&amp;E1130,QuestionTriggers!A:F,6,FALSE)),"","---&gt;")</f>
        <v/>
      </c>
      <c r="H1130" s="2" t="s">
        <v>665</v>
      </c>
      <c r="I1130" s="2" t="s">
        <v>666</v>
      </c>
      <c r="J1130" s="2" t="s">
        <v>667</v>
      </c>
      <c r="K1130" s="2"/>
    </row>
    <row r="1131" spans="1:11" hidden="1" x14ac:dyDescent="0.3">
      <c r="A1131" t="str">
        <f t="shared" si="17"/>
        <v>Serpent’s Hold|Lori|NAME</v>
      </c>
      <c r="B1131" s="2" t="s">
        <v>9</v>
      </c>
      <c r="C1131" s="2" t="s">
        <v>574</v>
      </c>
      <c r="D1131" s="2" t="s">
        <v>664</v>
      </c>
      <c r="E1131" s="2" t="s">
        <v>12</v>
      </c>
      <c r="F1131" s="2" t="s">
        <v>664</v>
      </c>
      <c r="G1131" s="8" t="str">
        <f>IF(ISNA(VLOOKUP(B1131&amp;"|"&amp;C1131&amp;"|"&amp;D1131&amp;"|"&amp;E1131,QuestionTriggers!A:F,6,FALSE)),"","---&gt;")</f>
        <v/>
      </c>
      <c r="H1131" s="2" t="s">
        <v>665</v>
      </c>
      <c r="I1131" s="2" t="s">
        <v>666</v>
      </c>
      <c r="J1131" s="2" t="s">
        <v>667</v>
      </c>
      <c r="K1131" s="2"/>
    </row>
    <row r="1132" spans="1:11" hidden="1" x14ac:dyDescent="0.3">
      <c r="A1132" t="str">
        <f t="shared" si="17"/>
        <v>Serpent’s Hold|Michelle|HEAL</v>
      </c>
      <c r="B1132" s="2" t="s">
        <v>9</v>
      </c>
      <c r="C1132" s="2" t="s">
        <v>574</v>
      </c>
      <c r="D1132" s="2" t="s">
        <v>705</v>
      </c>
      <c r="E1132" s="2" t="s">
        <v>213</v>
      </c>
      <c r="F1132" s="2" t="s">
        <v>712</v>
      </c>
      <c r="G1132" s="8" t="str">
        <f>IF(ISNA(VLOOKUP(B1132&amp;"|"&amp;C1132&amp;"|"&amp;D1132&amp;"|"&amp;E1132,QuestionTriggers!A:F,6,FALSE)),"","---&gt;")</f>
        <v>---&gt;</v>
      </c>
      <c r="H1132" s="2" t="s">
        <v>205</v>
      </c>
      <c r="I1132" s="2" t="s">
        <v>706</v>
      </c>
      <c r="J1132" s="2" t="s">
        <v>707</v>
      </c>
      <c r="K1132" s="2"/>
    </row>
    <row r="1133" spans="1:11" hidden="1" x14ac:dyDescent="0.3">
      <c r="A1133" t="str">
        <f t="shared" si="17"/>
        <v>Serpent’s Hold|Michelle|HEALTH</v>
      </c>
      <c r="B1133" s="2" t="s">
        <v>9</v>
      </c>
      <c r="C1133" s="2" t="s">
        <v>574</v>
      </c>
      <c r="D1133" s="2" t="s">
        <v>705</v>
      </c>
      <c r="E1133" s="2" t="s">
        <v>20</v>
      </c>
      <c r="F1133" s="2" t="s">
        <v>284</v>
      </c>
      <c r="G1133" s="8" t="str">
        <f>IF(ISNA(VLOOKUP(B1133&amp;"|"&amp;C1133&amp;"|"&amp;D1133&amp;"|"&amp;E1133,QuestionTriggers!A:F,6,FALSE)),"","---&gt;")</f>
        <v/>
      </c>
      <c r="H1133" s="2" t="s">
        <v>205</v>
      </c>
      <c r="I1133" s="2" t="s">
        <v>706</v>
      </c>
      <c r="J1133" s="2" t="s">
        <v>707</v>
      </c>
      <c r="K1133" s="2"/>
    </row>
    <row r="1134" spans="1:11" hidden="1" x14ac:dyDescent="0.3">
      <c r="A1134" t="str">
        <f t="shared" si="17"/>
        <v>Serpent’s Hold|Michelle|JOB</v>
      </c>
      <c r="B1134" s="2" t="s">
        <v>9</v>
      </c>
      <c r="C1134" s="2" t="s">
        <v>574</v>
      </c>
      <c r="D1134" s="2" t="s">
        <v>705</v>
      </c>
      <c r="E1134" s="2" t="s">
        <v>18</v>
      </c>
      <c r="F1134" s="2" t="s">
        <v>709</v>
      </c>
      <c r="G1134" s="8" t="str">
        <f>IF(ISNA(VLOOKUP(B1134&amp;"|"&amp;C1134&amp;"|"&amp;D1134&amp;"|"&amp;E1134,QuestionTriggers!A:F,6,FALSE)),"","---&gt;")</f>
        <v/>
      </c>
      <c r="H1134" s="2" t="s">
        <v>205</v>
      </c>
      <c r="I1134" s="2" t="s">
        <v>706</v>
      </c>
      <c r="J1134" s="2" t="s">
        <v>707</v>
      </c>
      <c r="K1134" s="2"/>
    </row>
    <row r="1135" spans="1:11" hidden="1" x14ac:dyDescent="0.3">
      <c r="A1135" t="str">
        <f t="shared" si="17"/>
        <v>Serpent’s Hold|Michelle|LOOK</v>
      </c>
      <c r="B1135" s="2" t="s">
        <v>9</v>
      </c>
      <c r="C1135" s="2" t="s">
        <v>574</v>
      </c>
      <c r="D1135" s="2" t="s">
        <v>705</v>
      </c>
      <c r="E1135" s="2" t="s">
        <v>16</v>
      </c>
      <c r="F1135" s="2" t="s">
        <v>708</v>
      </c>
      <c r="G1135" s="8" t="str">
        <f>IF(ISNA(VLOOKUP(B1135&amp;"|"&amp;C1135&amp;"|"&amp;D1135&amp;"|"&amp;E1135,QuestionTriggers!A:F,6,FALSE)),"","---&gt;")</f>
        <v/>
      </c>
      <c r="H1135" s="2" t="s">
        <v>205</v>
      </c>
      <c r="I1135" s="2" t="s">
        <v>706</v>
      </c>
      <c r="J1135" s="2" t="s">
        <v>707</v>
      </c>
      <c r="K1135" s="2"/>
    </row>
    <row r="1136" spans="1:11" hidden="1" x14ac:dyDescent="0.3">
      <c r="A1136" t="str">
        <f t="shared" si="17"/>
        <v>Serpent’s Hold|Michelle|NAME</v>
      </c>
      <c r="B1136" s="2" t="s">
        <v>9</v>
      </c>
      <c r="C1136" s="2" t="s">
        <v>574</v>
      </c>
      <c r="D1136" s="2" t="s">
        <v>705</v>
      </c>
      <c r="E1136" s="2" t="s">
        <v>12</v>
      </c>
      <c r="F1136" s="2" t="s">
        <v>705</v>
      </c>
      <c r="G1136" s="8" t="str">
        <f>IF(ISNA(VLOOKUP(B1136&amp;"|"&amp;C1136&amp;"|"&amp;D1136&amp;"|"&amp;E1136,QuestionTriggers!A:F,6,FALSE)),"","---&gt;")</f>
        <v/>
      </c>
      <c r="H1136" s="2" t="s">
        <v>205</v>
      </c>
      <c r="I1136" s="2" t="s">
        <v>706</v>
      </c>
      <c r="J1136" s="2" t="s">
        <v>707</v>
      </c>
      <c r="K1136" s="2"/>
    </row>
    <row r="1137" spans="1:11" hidden="1" x14ac:dyDescent="0.3">
      <c r="A1137" t="str">
        <f t="shared" si="17"/>
        <v>Serpent’s Hold|Michelle|SENT</v>
      </c>
      <c r="B1137" s="2" t="s">
        <v>9</v>
      </c>
      <c r="C1137" s="2" t="s">
        <v>574</v>
      </c>
      <c r="D1137" s="2" t="s">
        <v>705</v>
      </c>
      <c r="E1137" s="2" t="s">
        <v>710</v>
      </c>
      <c r="F1137" s="2" t="s">
        <v>711</v>
      </c>
      <c r="G1137" s="8" t="str">
        <f>IF(ISNA(VLOOKUP(B1137&amp;"|"&amp;C1137&amp;"|"&amp;D1137&amp;"|"&amp;E1137,QuestionTriggers!A:F,6,FALSE)),"","---&gt;")</f>
        <v/>
      </c>
      <c r="H1137" s="2" t="s">
        <v>205</v>
      </c>
      <c r="I1137" s="2" t="s">
        <v>706</v>
      </c>
      <c r="J1137" s="2" t="s">
        <v>707</v>
      </c>
      <c r="K1137" s="2"/>
    </row>
    <row r="1138" spans="1:11" ht="26.4" hidden="1" x14ac:dyDescent="0.3">
      <c r="A1138" t="str">
        <f t="shared" si="17"/>
        <v>Serpent’s Hold|Noxum|HEALTH</v>
      </c>
      <c r="B1138" s="2" t="s">
        <v>9</v>
      </c>
      <c r="C1138" s="2" t="s">
        <v>574</v>
      </c>
      <c r="D1138" s="2" t="s">
        <v>695</v>
      </c>
      <c r="E1138" s="2" t="s">
        <v>20</v>
      </c>
      <c r="F1138" s="2" t="s">
        <v>701</v>
      </c>
      <c r="G1138" s="8" t="str">
        <f>IF(ISNA(VLOOKUP(B1138&amp;"|"&amp;C1138&amp;"|"&amp;D1138&amp;"|"&amp;E1138,QuestionTriggers!A:F,6,FALSE)),"","---&gt;")</f>
        <v/>
      </c>
      <c r="H1138" s="2" t="s">
        <v>696</v>
      </c>
      <c r="I1138" s="2" t="s">
        <v>697</v>
      </c>
      <c r="J1138" s="2" t="s">
        <v>698</v>
      </c>
      <c r="K1138" s="2"/>
    </row>
    <row r="1139" spans="1:11" ht="26.4" hidden="1" x14ac:dyDescent="0.3">
      <c r="A1139" t="str">
        <f t="shared" si="17"/>
        <v>Serpent’s Hold|Noxum|JOB</v>
      </c>
      <c r="B1139" s="2" t="s">
        <v>9</v>
      </c>
      <c r="C1139" s="2" t="s">
        <v>574</v>
      </c>
      <c r="D1139" s="2" t="s">
        <v>695</v>
      </c>
      <c r="E1139" s="2" t="s">
        <v>18</v>
      </c>
      <c r="F1139" s="2" t="s">
        <v>700</v>
      </c>
      <c r="G1139" s="8" t="str">
        <f>IF(ISNA(VLOOKUP(B1139&amp;"|"&amp;C1139&amp;"|"&amp;D1139&amp;"|"&amp;E1139,QuestionTriggers!A:F,6,FALSE)),"","---&gt;")</f>
        <v/>
      </c>
      <c r="H1139" s="2" t="s">
        <v>696</v>
      </c>
      <c r="I1139" s="2" t="s">
        <v>697</v>
      </c>
      <c r="J1139" s="2" t="s">
        <v>698</v>
      </c>
      <c r="K1139" s="2"/>
    </row>
    <row r="1140" spans="1:11" ht="26.4" hidden="1" x14ac:dyDescent="0.3">
      <c r="A1140" t="str">
        <f t="shared" si="17"/>
        <v>Serpent’s Hold|Noxum|LOOK</v>
      </c>
      <c r="B1140" s="2" t="s">
        <v>9</v>
      </c>
      <c r="C1140" s="2" t="s">
        <v>574</v>
      </c>
      <c r="D1140" s="2" t="s">
        <v>695</v>
      </c>
      <c r="E1140" s="2" t="s">
        <v>16</v>
      </c>
      <c r="F1140" s="2" t="s">
        <v>699</v>
      </c>
      <c r="G1140" s="8" t="str">
        <f>IF(ISNA(VLOOKUP(B1140&amp;"|"&amp;C1140&amp;"|"&amp;D1140&amp;"|"&amp;E1140,QuestionTriggers!A:F,6,FALSE)),"","---&gt;")</f>
        <v/>
      </c>
      <c r="H1140" s="2" t="s">
        <v>696</v>
      </c>
      <c r="I1140" s="2" t="s">
        <v>697</v>
      </c>
      <c r="J1140" s="2" t="s">
        <v>698</v>
      </c>
      <c r="K1140" s="2"/>
    </row>
    <row r="1141" spans="1:11" ht="26.4" hidden="1" x14ac:dyDescent="0.3">
      <c r="A1141" t="str">
        <f t="shared" si="17"/>
        <v>Serpent’s Hold|Noxum|NAME</v>
      </c>
      <c r="B1141" s="2" t="s">
        <v>9</v>
      </c>
      <c r="C1141" s="2" t="s">
        <v>574</v>
      </c>
      <c r="D1141" s="2" t="s">
        <v>695</v>
      </c>
      <c r="E1141" s="2" t="s">
        <v>12</v>
      </c>
      <c r="F1141" s="2" t="s">
        <v>695</v>
      </c>
      <c r="G1141" s="8" t="str">
        <f>IF(ISNA(VLOOKUP(B1141&amp;"|"&amp;C1141&amp;"|"&amp;D1141&amp;"|"&amp;E1141,QuestionTriggers!A:F,6,FALSE)),"","---&gt;")</f>
        <v/>
      </c>
      <c r="H1141" s="2" t="s">
        <v>696</v>
      </c>
      <c r="I1141" s="2" t="s">
        <v>697</v>
      </c>
      <c r="J1141" s="2" t="s">
        <v>698</v>
      </c>
      <c r="K1141" s="2"/>
    </row>
    <row r="1142" spans="1:11" ht="26.4" hidden="1" x14ac:dyDescent="0.3">
      <c r="A1142" t="str">
        <f t="shared" si="17"/>
        <v>Serpent’s Hold|Noxum|SEAS</v>
      </c>
      <c r="B1142" s="2" t="s">
        <v>9</v>
      </c>
      <c r="C1142" s="2" t="s">
        <v>574</v>
      </c>
      <c r="D1142" s="2" t="s">
        <v>695</v>
      </c>
      <c r="E1142" s="2" t="s">
        <v>702</v>
      </c>
      <c r="F1142" s="2" t="s">
        <v>703</v>
      </c>
      <c r="G1142" s="8" t="str">
        <f>IF(ISNA(VLOOKUP(B1142&amp;"|"&amp;C1142&amp;"|"&amp;D1142&amp;"|"&amp;E1142,QuestionTriggers!A:F,6,FALSE)),"","---&gt;")</f>
        <v/>
      </c>
      <c r="H1142" s="2" t="s">
        <v>696</v>
      </c>
      <c r="I1142" s="2" t="s">
        <v>697</v>
      </c>
      <c r="J1142" s="2" t="s">
        <v>698</v>
      </c>
      <c r="K1142" s="2"/>
    </row>
    <row r="1143" spans="1:11" ht="26.4" hidden="1" x14ac:dyDescent="0.3">
      <c r="A1143" t="str">
        <f t="shared" si="17"/>
        <v>Serpent’s Hold|Noxum|SHIP</v>
      </c>
      <c r="B1143" s="2" t="s">
        <v>9</v>
      </c>
      <c r="C1143" s="2" t="s">
        <v>574</v>
      </c>
      <c r="D1143" s="2" t="s">
        <v>695</v>
      </c>
      <c r="E1143" s="2" t="s">
        <v>596</v>
      </c>
      <c r="F1143" s="2" t="s">
        <v>704</v>
      </c>
      <c r="G1143" s="8" t="str">
        <f>IF(ISNA(VLOOKUP(B1143&amp;"|"&amp;C1143&amp;"|"&amp;D1143&amp;"|"&amp;E1143,QuestionTriggers!A:F,6,FALSE)),"","---&gt;")</f>
        <v>---&gt;</v>
      </c>
      <c r="H1143" s="2" t="s">
        <v>696</v>
      </c>
      <c r="I1143" s="2" t="s">
        <v>697</v>
      </c>
      <c r="J1143" s="2" t="s">
        <v>698</v>
      </c>
      <c r="K1143" s="2"/>
    </row>
    <row r="1144" spans="1:11" ht="26.4" hidden="1" x14ac:dyDescent="0.3">
      <c r="A1144" t="str">
        <f t="shared" si="17"/>
        <v>Serpent’s Hold|Ranger|DUNG</v>
      </c>
      <c r="B1144" s="2" t="s">
        <v>9</v>
      </c>
      <c r="C1144" s="2" t="s">
        <v>574</v>
      </c>
      <c r="D1144" s="2" t="s">
        <v>609</v>
      </c>
      <c r="E1144" s="2" t="s">
        <v>619</v>
      </c>
      <c r="F1144" s="2" t="s">
        <v>620</v>
      </c>
      <c r="G1144" s="8" t="str">
        <f>IF(ISNA(VLOOKUP(B1144&amp;"|"&amp;C1144&amp;"|"&amp;D1144&amp;"|"&amp;E1144,QuestionTriggers!A:F,6,FALSE)),"","---&gt;")</f>
        <v>---&gt;</v>
      </c>
      <c r="H1144" s="2" t="s">
        <v>611</v>
      </c>
      <c r="I1144" s="2" t="s">
        <v>612</v>
      </c>
      <c r="J1144" s="2" t="s">
        <v>613</v>
      </c>
      <c r="K1144" s="2"/>
    </row>
    <row r="1145" spans="1:11" ht="26.4" hidden="1" x14ac:dyDescent="0.3">
      <c r="A1145" t="str">
        <f t="shared" si="17"/>
        <v>Serpent’s Hold|Ranger|HEALTH</v>
      </c>
      <c r="B1145" s="2" t="s">
        <v>9</v>
      </c>
      <c r="C1145" s="2" t="s">
        <v>574</v>
      </c>
      <c r="D1145" s="2" t="s">
        <v>609</v>
      </c>
      <c r="E1145" s="2" t="s">
        <v>20</v>
      </c>
      <c r="F1145" s="2" t="s">
        <v>616</v>
      </c>
      <c r="G1145" s="8" t="str">
        <f>IF(ISNA(VLOOKUP(B1145&amp;"|"&amp;C1145&amp;"|"&amp;D1145&amp;"|"&amp;E1145,QuestionTriggers!A:F,6,FALSE)),"","---&gt;")</f>
        <v/>
      </c>
      <c r="H1145" s="2" t="s">
        <v>611</v>
      </c>
      <c r="I1145" s="2" t="s">
        <v>612</v>
      </c>
      <c r="J1145" s="2" t="s">
        <v>613</v>
      </c>
      <c r="K1145" s="2"/>
    </row>
    <row r="1146" spans="1:11" ht="26.4" hidden="1" x14ac:dyDescent="0.3">
      <c r="A1146" t="str">
        <f t="shared" si="17"/>
        <v>Serpent’s Hold|Ranger|JOB</v>
      </c>
      <c r="B1146" s="2" t="s">
        <v>9</v>
      </c>
      <c r="C1146" s="2" t="s">
        <v>574</v>
      </c>
      <c r="D1146" s="2" t="s">
        <v>609</v>
      </c>
      <c r="E1146" s="2" t="s">
        <v>18</v>
      </c>
      <c r="F1146" s="2" t="s">
        <v>615</v>
      </c>
      <c r="G1146" s="8" t="str">
        <f>IF(ISNA(VLOOKUP(B1146&amp;"|"&amp;C1146&amp;"|"&amp;D1146&amp;"|"&amp;E1146,QuestionTriggers!A:F,6,FALSE)),"","---&gt;")</f>
        <v/>
      </c>
      <c r="H1146" s="2" t="s">
        <v>611</v>
      </c>
      <c r="I1146" s="2" t="s">
        <v>612</v>
      </c>
      <c r="J1146" s="2" t="s">
        <v>613</v>
      </c>
      <c r="K1146" s="2"/>
    </row>
    <row r="1147" spans="1:11" ht="26.4" hidden="1" x14ac:dyDescent="0.3">
      <c r="A1147" t="str">
        <f t="shared" si="17"/>
        <v>Serpent’s Hold|Ranger|LOOK</v>
      </c>
      <c r="B1147" s="2" t="s">
        <v>9</v>
      </c>
      <c r="C1147" s="2" t="s">
        <v>574</v>
      </c>
      <c r="D1147" s="2" t="s">
        <v>609</v>
      </c>
      <c r="E1147" s="2" t="s">
        <v>16</v>
      </c>
      <c r="F1147" s="2" t="s">
        <v>614</v>
      </c>
      <c r="G1147" s="8" t="str">
        <f>IF(ISNA(VLOOKUP(B1147&amp;"|"&amp;C1147&amp;"|"&amp;D1147&amp;"|"&amp;E1147,QuestionTriggers!A:F,6,FALSE)),"","---&gt;")</f>
        <v/>
      </c>
      <c r="H1147" s="2" t="s">
        <v>611</v>
      </c>
      <c r="I1147" s="2" t="s">
        <v>612</v>
      </c>
      <c r="J1147" s="2" t="s">
        <v>613</v>
      </c>
      <c r="K1147" s="2"/>
    </row>
    <row r="1148" spans="1:11" ht="26.4" hidden="1" x14ac:dyDescent="0.3">
      <c r="A1148" t="str">
        <f t="shared" si="17"/>
        <v>Serpent’s Hold|Ranger|NAME</v>
      </c>
      <c r="B1148" s="2" t="s">
        <v>9</v>
      </c>
      <c r="C1148" s="2" t="s">
        <v>574</v>
      </c>
      <c r="D1148" s="2" t="s">
        <v>609</v>
      </c>
      <c r="E1148" s="2" t="s">
        <v>12</v>
      </c>
      <c r="F1148" s="2" t="s">
        <v>610</v>
      </c>
      <c r="G1148" s="8" t="str">
        <f>IF(ISNA(VLOOKUP(B1148&amp;"|"&amp;C1148&amp;"|"&amp;D1148&amp;"|"&amp;E1148,QuestionTriggers!A:F,6,FALSE)),"","---&gt;")</f>
        <v/>
      </c>
      <c r="H1148" s="2" t="s">
        <v>611</v>
      </c>
      <c r="I1148" s="2" t="s">
        <v>612</v>
      </c>
      <c r="J1148" s="2" t="s">
        <v>613</v>
      </c>
      <c r="K1148" s="2"/>
    </row>
    <row r="1149" spans="1:11" ht="26.4" hidden="1" x14ac:dyDescent="0.3">
      <c r="A1149" t="str">
        <f t="shared" si="17"/>
        <v>Serpent’s Hold|Ranger|TRAI</v>
      </c>
      <c r="B1149" s="2" t="s">
        <v>9</v>
      </c>
      <c r="C1149" s="2" t="s">
        <v>574</v>
      </c>
      <c r="D1149" s="2" t="s">
        <v>609</v>
      </c>
      <c r="E1149" s="2" t="s">
        <v>617</v>
      </c>
      <c r="F1149" s="2" t="s">
        <v>618</v>
      </c>
      <c r="G1149" s="8" t="str">
        <f>IF(ISNA(VLOOKUP(B1149&amp;"|"&amp;C1149&amp;"|"&amp;D1149&amp;"|"&amp;E1149,QuestionTriggers!A:F,6,FALSE)),"","---&gt;")</f>
        <v/>
      </c>
      <c r="H1149" s="2" t="s">
        <v>611</v>
      </c>
      <c r="I1149" s="2" t="s">
        <v>612</v>
      </c>
      <c r="J1149" s="2" t="s">
        <v>613</v>
      </c>
      <c r="K1149" s="2"/>
    </row>
    <row r="1150" spans="1:11" hidden="1" x14ac:dyDescent="0.3">
      <c r="A1150" t="str">
        <f t="shared" si="17"/>
        <v>Serpent’s Hold|Roark|ABYS</v>
      </c>
      <c r="B1150" s="2" t="s">
        <v>9</v>
      </c>
      <c r="C1150" s="2" t="s">
        <v>574</v>
      </c>
      <c r="D1150" s="2" t="s">
        <v>600</v>
      </c>
      <c r="E1150" s="2" t="s">
        <v>265</v>
      </c>
      <c r="F1150" s="2" t="s">
        <v>606</v>
      </c>
      <c r="G1150" s="8" t="str">
        <f>IF(ISNA(VLOOKUP(B1150&amp;"|"&amp;C1150&amp;"|"&amp;D1150&amp;"|"&amp;E1150,QuestionTriggers!A:F,6,FALSE)),"","---&gt;")</f>
        <v/>
      </c>
      <c r="H1150" s="2" t="s">
        <v>205</v>
      </c>
      <c r="I1150" s="2" t="s">
        <v>601</v>
      </c>
      <c r="J1150" s="2" t="s">
        <v>602</v>
      </c>
      <c r="K1150" s="2"/>
    </row>
    <row r="1151" spans="1:11" hidden="1" x14ac:dyDescent="0.3">
      <c r="A1151" t="str">
        <f t="shared" si="17"/>
        <v>Serpent’s Hold|Roark|CODE</v>
      </c>
      <c r="B1151" s="2" t="s">
        <v>9</v>
      </c>
      <c r="C1151" s="2" t="s">
        <v>574</v>
      </c>
      <c r="D1151" s="2" t="s">
        <v>600</v>
      </c>
      <c r="E1151" s="2" t="s">
        <v>607</v>
      </c>
      <c r="F1151" s="2" t="s">
        <v>608</v>
      </c>
      <c r="G1151" s="8" t="str">
        <f>IF(ISNA(VLOOKUP(B1151&amp;"|"&amp;C1151&amp;"|"&amp;D1151&amp;"|"&amp;E1151,QuestionTriggers!A:F,6,FALSE)),"","---&gt;")</f>
        <v>---&gt;</v>
      </c>
      <c r="H1151" s="2" t="s">
        <v>205</v>
      </c>
      <c r="I1151" s="2" t="s">
        <v>601</v>
      </c>
      <c r="J1151" s="2" t="s">
        <v>602</v>
      </c>
      <c r="K1151" s="2"/>
    </row>
    <row r="1152" spans="1:11" hidden="1" x14ac:dyDescent="0.3">
      <c r="A1152" t="str">
        <f t="shared" si="17"/>
        <v>Serpent’s Hold|Roark|HEALTH</v>
      </c>
      <c r="B1152" s="2" t="s">
        <v>9</v>
      </c>
      <c r="C1152" s="2" t="s">
        <v>574</v>
      </c>
      <c r="D1152" s="2" t="s">
        <v>600</v>
      </c>
      <c r="E1152" s="2" t="s">
        <v>20</v>
      </c>
      <c r="F1152" s="2" t="s">
        <v>605</v>
      </c>
      <c r="G1152" s="8" t="str">
        <f>IF(ISNA(VLOOKUP(B1152&amp;"|"&amp;C1152&amp;"|"&amp;D1152&amp;"|"&amp;E1152,QuestionTriggers!A:F,6,FALSE)),"","---&gt;")</f>
        <v/>
      </c>
      <c r="H1152" s="2" t="s">
        <v>205</v>
      </c>
      <c r="I1152" s="2" t="s">
        <v>601</v>
      </c>
      <c r="J1152" s="2" t="s">
        <v>602</v>
      </c>
      <c r="K1152" s="2"/>
    </row>
    <row r="1153" spans="1:11" hidden="1" x14ac:dyDescent="0.3">
      <c r="A1153" t="str">
        <f t="shared" si="17"/>
        <v>Serpent’s Hold|Roark|JOB</v>
      </c>
      <c r="B1153" s="2" t="s">
        <v>9</v>
      </c>
      <c r="C1153" s="2" t="s">
        <v>574</v>
      </c>
      <c r="D1153" s="2" t="s">
        <v>600</v>
      </c>
      <c r="E1153" s="2" t="s">
        <v>18</v>
      </c>
      <c r="F1153" s="2" t="s">
        <v>604</v>
      </c>
      <c r="G1153" s="8" t="str">
        <f>IF(ISNA(VLOOKUP(B1153&amp;"|"&amp;C1153&amp;"|"&amp;D1153&amp;"|"&amp;E1153,QuestionTriggers!A:F,6,FALSE)),"","---&gt;")</f>
        <v/>
      </c>
      <c r="H1153" s="2" t="s">
        <v>205</v>
      </c>
      <c r="I1153" s="2" t="s">
        <v>601</v>
      </c>
      <c r="J1153" s="2" t="s">
        <v>602</v>
      </c>
      <c r="K1153" s="2"/>
    </row>
    <row r="1154" spans="1:11" hidden="1" x14ac:dyDescent="0.3">
      <c r="A1154" t="str">
        <f t="shared" si="17"/>
        <v>Serpent’s Hold|Roark|LOOK</v>
      </c>
      <c r="B1154" s="2" t="s">
        <v>9</v>
      </c>
      <c r="C1154" s="2" t="s">
        <v>574</v>
      </c>
      <c r="D1154" s="2" t="s">
        <v>600</v>
      </c>
      <c r="E1154" s="2" t="s">
        <v>16</v>
      </c>
      <c r="F1154" s="2" t="s">
        <v>603</v>
      </c>
      <c r="G1154" s="8" t="str">
        <f>IF(ISNA(VLOOKUP(B1154&amp;"|"&amp;C1154&amp;"|"&amp;D1154&amp;"|"&amp;E1154,QuestionTriggers!A:F,6,FALSE)),"","---&gt;")</f>
        <v/>
      </c>
      <c r="H1154" s="2" t="s">
        <v>205</v>
      </c>
      <c r="I1154" s="2" t="s">
        <v>601</v>
      </c>
      <c r="J1154" s="2" t="s">
        <v>602</v>
      </c>
      <c r="K1154" s="2"/>
    </row>
    <row r="1155" spans="1:11" hidden="1" x14ac:dyDescent="0.3">
      <c r="A1155" t="str">
        <f t="shared" ref="A1155:A1218" si="18">C1155&amp;"|"&amp;D1155&amp;"|"&amp;E1155</f>
        <v>Serpent’s Hold|Roark|NAME</v>
      </c>
      <c r="B1155" s="2" t="s">
        <v>9</v>
      </c>
      <c r="C1155" s="2" t="s">
        <v>574</v>
      </c>
      <c r="D1155" s="2" t="s">
        <v>600</v>
      </c>
      <c r="E1155" s="2" t="s">
        <v>12</v>
      </c>
      <c r="F1155" s="2" t="s">
        <v>600</v>
      </c>
      <c r="G1155" s="8" t="str">
        <f>IF(ISNA(VLOOKUP(B1155&amp;"|"&amp;C1155&amp;"|"&amp;D1155&amp;"|"&amp;E1155,QuestionTriggers!A:F,6,FALSE)),"","---&gt;")</f>
        <v/>
      </c>
      <c r="H1155" s="2" t="s">
        <v>205</v>
      </c>
      <c r="I1155" s="2" t="s">
        <v>601</v>
      </c>
      <c r="J1155" s="2" t="s">
        <v>602</v>
      </c>
      <c r="K1155" s="2"/>
    </row>
    <row r="1156" spans="1:11" hidden="1" x14ac:dyDescent="0.3">
      <c r="A1156" t="str">
        <f t="shared" si="18"/>
        <v>Serpent’s Hold|Roderick|HAND</v>
      </c>
      <c r="B1156" s="2" t="s">
        <v>9</v>
      </c>
      <c r="C1156" s="2" t="s">
        <v>574</v>
      </c>
      <c r="D1156" s="2" t="s">
        <v>677</v>
      </c>
      <c r="E1156" s="2" t="s">
        <v>684</v>
      </c>
      <c r="F1156" s="2" t="s">
        <v>685</v>
      </c>
      <c r="G1156" s="8" t="str">
        <f>IF(ISNA(VLOOKUP(B1156&amp;"|"&amp;C1156&amp;"|"&amp;D1156&amp;"|"&amp;E1156,QuestionTriggers!A:F,6,FALSE)),"","---&gt;")</f>
        <v/>
      </c>
      <c r="H1156" s="2" t="s">
        <v>678</v>
      </c>
      <c r="I1156" s="2" t="s">
        <v>679</v>
      </c>
      <c r="J1156" s="2" t="s">
        <v>680</v>
      </c>
      <c r="K1156" s="2"/>
    </row>
    <row r="1157" spans="1:11" hidden="1" x14ac:dyDescent="0.3">
      <c r="A1157" t="str">
        <f t="shared" si="18"/>
        <v>Serpent’s Hold|Roderick|HEALTH</v>
      </c>
      <c r="B1157" s="2" t="s">
        <v>9</v>
      </c>
      <c r="C1157" s="2" t="s">
        <v>574</v>
      </c>
      <c r="D1157" s="2" t="s">
        <v>677</v>
      </c>
      <c r="E1157" s="2" t="s">
        <v>20</v>
      </c>
      <c r="F1157" s="2" t="s">
        <v>683</v>
      </c>
      <c r="G1157" s="8" t="str">
        <f>IF(ISNA(VLOOKUP(B1157&amp;"|"&amp;C1157&amp;"|"&amp;D1157&amp;"|"&amp;E1157,QuestionTriggers!A:F,6,FALSE)),"","---&gt;")</f>
        <v/>
      </c>
      <c r="H1157" s="2" t="s">
        <v>678</v>
      </c>
      <c r="I1157" s="2" t="s">
        <v>679</v>
      </c>
      <c r="J1157" s="2" t="s">
        <v>680</v>
      </c>
      <c r="K1157" s="2"/>
    </row>
    <row r="1158" spans="1:11" hidden="1" x14ac:dyDescent="0.3">
      <c r="A1158" t="str">
        <f t="shared" si="18"/>
        <v>Serpent’s Hold|Roderick|JOB</v>
      </c>
      <c r="B1158" s="2" t="s">
        <v>9</v>
      </c>
      <c r="C1158" s="2" t="s">
        <v>574</v>
      </c>
      <c r="D1158" s="2" t="s">
        <v>677</v>
      </c>
      <c r="E1158" s="2" t="s">
        <v>18</v>
      </c>
      <c r="F1158" s="2" t="s">
        <v>682</v>
      </c>
      <c r="G1158" s="8" t="str">
        <f>IF(ISNA(VLOOKUP(B1158&amp;"|"&amp;C1158&amp;"|"&amp;D1158&amp;"|"&amp;E1158,QuestionTriggers!A:F,6,FALSE)),"","---&gt;")</f>
        <v/>
      </c>
      <c r="H1158" s="2" t="s">
        <v>678</v>
      </c>
      <c r="I1158" s="2" t="s">
        <v>679</v>
      </c>
      <c r="J1158" s="2" t="s">
        <v>680</v>
      </c>
      <c r="K1158" s="2"/>
    </row>
    <row r="1159" spans="1:11" hidden="1" x14ac:dyDescent="0.3">
      <c r="A1159" t="str">
        <f t="shared" si="18"/>
        <v>Serpent’s Hold|Roderick|LOOK</v>
      </c>
      <c r="B1159" s="2" t="s">
        <v>9</v>
      </c>
      <c r="C1159" s="2" t="s">
        <v>574</v>
      </c>
      <c r="D1159" s="2" t="s">
        <v>677</v>
      </c>
      <c r="E1159" s="2" t="s">
        <v>16</v>
      </c>
      <c r="F1159" s="2" t="s">
        <v>681</v>
      </c>
      <c r="G1159" s="8" t="str">
        <f>IF(ISNA(VLOOKUP(B1159&amp;"|"&amp;C1159&amp;"|"&amp;D1159&amp;"|"&amp;E1159,QuestionTriggers!A:F,6,FALSE)),"","---&gt;")</f>
        <v/>
      </c>
      <c r="H1159" s="2" t="s">
        <v>678</v>
      </c>
      <c r="I1159" s="2" t="s">
        <v>679</v>
      </c>
      <c r="J1159" s="2" t="s">
        <v>680</v>
      </c>
      <c r="K1159" s="2"/>
    </row>
    <row r="1160" spans="1:11" hidden="1" x14ac:dyDescent="0.3">
      <c r="A1160" t="str">
        <f t="shared" si="18"/>
        <v>Serpent’s Hold|Roderick|NAME</v>
      </c>
      <c r="B1160" s="2" t="s">
        <v>9</v>
      </c>
      <c r="C1160" s="2" t="s">
        <v>574</v>
      </c>
      <c r="D1160" s="2" t="s">
        <v>677</v>
      </c>
      <c r="E1160" s="2" t="s">
        <v>12</v>
      </c>
      <c r="F1160" s="2" t="s">
        <v>677</v>
      </c>
      <c r="G1160" s="8" t="str">
        <f>IF(ISNA(VLOOKUP(B1160&amp;"|"&amp;C1160&amp;"|"&amp;D1160&amp;"|"&amp;E1160,QuestionTriggers!A:F,6,FALSE)),"","---&gt;")</f>
        <v/>
      </c>
      <c r="H1160" s="2" t="s">
        <v>678</v>
      </c>
      <c r="I1160" s="2" t="s">
        <v>679</v>
      </c>
      <c r="J1160" s="2" t="s">
        <v>680</v>
      </c>
      <c r="K1160" s="2"/>
    </row>
    <row r="1161" spans="1:11" ht="26.4" hidden="1" x14ac:dyDescent="0.3">
      <c r="A1161" t="str">
        <f t="shared" si="18"/>
        <v>Serpent’s Hold|Roderick|ORBS</v>
      </c>
      <c r="B1161" s="2" t="s">
        <v>9</v>
      </c>
      <c r="C1161" s="2" t="s">
        <v>574</v>
      </c>
      <c r="D1161" s="2" t="s">
        <v>677</v>
      </c>
      <c r="E1161" s="2" t="s">
        <v>686</v>
      </c>
      <c r="F1161" s="2" t="s">
        <v>687</v>
      </c>
      <c r="G1161" s="8" t="str">
        <f>IF(ISNA(VLOOKUP(B1161&amp;"|"&amp;C1161&amp;"|"&amp;D1161&amp;"|"&amp;E1161,QuestionTriggers!A:F,6,FALSE)),"","---&gt;")</f>
        <v>---&gt;</v>
      </c>
      <c r="H1161" s="2" t="s">
        <v>678</v>
      </c>
      <c r="I1161" s="2" t="s">
        <v>679</v>
      </c>
      <c r="J1161" s="2" t="s">
        <v>680</v>
      </c>
      <c r="K1161" s="2"/>
    </row>
    <row r="1162" spans="1:11" hidden="1" x14ac:dyDescent="0.3">
      <c r="A1162" t="str">
        <f t="shared" si="18"/>
        <v>Serpent’s Hold|Samuel|DURH</v>
      </c>
      <c r="B1162" s="2" t="s">
        <v>9</v>
      </c>
      <c r="C1162" s="2" t="s">
        <v>574</v>
      </c>
      <c r="D1162" s="2" t="s">
        <v>675</v>
      </c>
      <c r="E1162" s="2" t="s">
        <v>673</v>
      </c>
      <c r="F1162" s="2" t="s">
        <v>674</v>
      </c>
      <c r="G1162" s="8" t="str">
        <f>IF(ISNA(VLOOKUP(B1162&amp;"|"&amp;C1162&amp;"|"&amp;D1162&amp;"|"&amp;E1162,QuestionTriggers!A:F,6,FALSE)),"","---&gt;")</f>
        <v>---&gt;</v>
      </c>
      <c r="H1162" s="2" t="s">
        <v>665</v>
      </c>
      <c r="I1162" s="2" t="s">
        <v>666</v>
      </c>
      <c r="J1162" s="2" t="s">
        <v>667</v>
      </c>
      <c r="K1162" s="2"/>
    </row>
    <row r="1163" spans="1:11" hidden="1" x14ac:dyDescent="0.3">
      <c r="A1163" t="str">
        <f t="shared" si="18"/>
        <v>Serpent’s Hold|Samuel|GARA</v>
      </c>
      <c r="B1163" s="2" t="s">
        <v>9</v>
      </c>
      <c r="C1163" s="2" t="s">
        <v>574</v>
      </c>
      <c r="D1163" s="2" t="s">
        <v>675</v>
      </c>
      <c r="E1163" s="2" t="s">
        <v>671</v>
      </c>
      <c r="F1163" s="2" t="s">
        <v>672</v>
      </c>
      <c r="G1163" s="8" t="str">
        <f>IF(ISNA(VLOOKUP(B1163&amp;"|"&amp;C1163&amp;"|"&amp;D1163&amp;"|"&amp;E1163,QuestionTriggers!A:F,6,FALSE)),"","---&gt;")</f>
        <v/>
      </c>
      <c r="H1163" s="2" t="s">
        <v>665</v>
      </c>
      <c r="I1163" s="2" t="s">
        <v>666</v>
      </c>
      <c r="J1163" s="2" t="s">
        <v>667</v>
      </c>
      <c r="K1163" s="2"/>
    </row>
    <row r="1164" spans="1:11" hidden="1" x14ac:dyDescent="0.3">
      <c r="A1164" t="str">
        <f t="shared" si="18"/>
        <v>Serpent’s Hold|Samuel|HEALTH</v>
      </c>
      <c r="B1164" s="2" t="s">
        <v>9</v>
      </c>
      <c r="C1164" s="2" t="s">
        <v>574</v>
      </c>
      <c r="D1164" s="2" t="s">
        <v>675</v>
      </c>
      <c r="E1164" s="2" t="s">
        <v>20</v>
      </c>
      <c r="F1164" s="2" t="s">
        <v>670</v>
      </c>
      <c r="G1164" s="8" t="str">
        <f>IF(ISNA(VLOOKUP(B1164&amp;"|"&amp;C1164&amp;"|"&amp;D1164&amp;"|"&amp;E1164,QuestionTriggers!A:F,6,FALSE)),"","---&gt;")</f>
        <v/>
      </c>
      <c r="H1164" s="2" t="s">
        <v>665</v>
      </c>
      <c r="I1164" s="2" t="s">
        <v>666</v>
      </c>
      <c r="J1164" s="2" t="s">
        <v>667</v>
      </c>
      <c r="K1164" s="2"/>
    </row>
    <row r="1165" spans="1:11" hidden="1" x14ac:dyDescent="0.3">
      <c r="A1165" t="str">
        <f t="shared" si="18"/>
        <v>Serpent’s Hold|Samuel|JOB</v>
      </c>
      <c r="B1165" s="2" t="s">
        <v>9</v>
      </c>
      <c r="C1165" s="2" t="s">
        <v>574</v>
      </c>
      <c r="D1165" s="2" t="s">
        <v>675</v>
      </c>
      <c r="E1165" s="2" t="s">
        <v>18</v>
      </c>
      <c r="F1165" s="2" t="s">
        <v>669</v>
      </c>
      <c r="G1165" s="8" t="str">
        <f>IF(ISNA(VLOOKUP(B1165&amp;"|"&amp;C1165&amp;"|"&amp;D1165&amp;"|"&amp;E1165,QuestionTriggers!A:F,6,FALSE)),"","---&gt;")</f>
        <v/>
      </c>
      <c r="H1165" s="2" t="s">
        <v>665</v>
      </c>
      <c r="I1165" s="2" t="s">
        <v>666</v>
      </c>
      <c r="J1165" s="2" t="s">
        <v>667</v>
      </c>
      <c r="K1165" s="2"/>
    </row>
    <row r="1166" spans="1:11" hidden="1" x14ac:dyDescent="0.3">
      <c r="A1166" t="str">
        <f t="shared" si="18"/>
        <v>Serpent’s Hold|Samuel|LOOK</v>
      </c>
      <c r="B1166" s="2" t="s">
        <v>9</v>
      </c>
      <c r="C1166" s="2" t="s">
        <v>574</v>
      </c>
      <c r="D1166" s="2" t="s">
        <v>675</v>
      </c>
      <c r="E1166" s="2" t="s">
        <v>16</v>
      </c>
      <c r="F1166" s="2" t="s">
        <v>676</v>
      </c>
      <c r="G1166" s="8" t="str">
        <f>IF(ISNA(VLOOKUP(B1166&amp;"|"&amp;C1166&amp;"|"&amp;D1166&amp;"|"&amp;E1166,QuestionTriggers!A:F,6,FALSE)),"","---&gt;")</f>
        <v/>
      </c>
      <c r="H1166" s="2" t="s">
        <v>665</v>
      </c>
      <c r="I1166" s="2" t="s">
        <v>666</v>
      </c>
      <c r="J1166" s="2" t="s">
        <v>667</v>
      </c>
      <c r="K1166" s="2"/>
    </row>
    <row r="1167" spans="1:11" hidden="1" x14ac:dyDescent="0.3">
      <c r="A1167" t="str">
        <f t="shared" si="18"/>
        <v>Serpent’s Hold|Samuel|NAME</v>
      </c>
      <c r="B1167" s="2" t="s">
        <v>9</v>
      </c>
      <c r="C1167" s="2" t="s">
        <v>574</v>
      </c>
      <c r="D1167" s="2" t="s">
        <v>675</v>
      </c>
      <c r="E1167" s="2" t="s">
        <v>12</v>
      </c>
      <c r="F1167" s="2" t="s">
        <v>675</v>
      </c>
      <c r="G1167" s="8" t="str">
        <f>IF(ISNA(VLOOKUP(B1167&amp;"|"&amp;C1167&amp;"|"&amp;D1167&amp;"|"&amp;E1167,QuestionTriggers!A:F,6,FALSE)),"","---&gt;")</f>
        <v/>
      </c>
      <c r="H1167" s="2" t="s">
        <v>665</v>
      </c>
      <c r="I1167" s="2" t="s">
        <v>666</v>
      </c>
      <c r="J1167" s="2" t="s">
        <v>667</v>
      </c>
      <c r="K1167" s="2"/>
    </row>
    <row r="1168" spans="1:11" ht="26.4" hidden="1" x14ac:dyDescent="0.3">
      <c r="A1168" t="str">
        <f t="shared" si="18"/>
        <v>Serpent’s Hold|Sentri|HEALTH</v>
      </c>
      <c r="B1168" s="2" t="s">
        <v>9</v>
      </c>
      <c r="C1168" s="2" t="s">
        <v>574</v>
      </c>
      <c r="D1168" s="2" t="s">
        <v>575</v>
      </c>
      <c r="E1168" s="2" t="s">
        <v>20</v>
      </c>
      <c r="F1168" s="2" t="s">
        <v>284</v>
      </c>
      <c r="G1168" s="8" t="str">
        <f>IF(ISNA(VLOOKUP(B1168&amp;"|"&amp;C1168&amp;"|"&amp;D1168&amp;"|"&amp;E1168,QuestionTriggers!A:F,6,FALSE)),"","---&gt;")</f>
        <v/>
      </c>
      <c r="H1168" s="2" t="s">
        <v>576</v>
      </c>
      <c r="I1168" s="2" t="s">
        <v>312</v>
      </c>
      <c r="J1168" s="2" t="s">
        <v>577</v>
      </c>
      <c r="K1168" s="2"/>
    </row>
    <row r="1169" spans="1:11" ht="26.4" hidden="1" x14ac:dyDescent="0.3">
      <c r="A1169" t="str">
        <f t="shared" si="18"/>
        <v>Serpent’s Hold|Sentri|JOB</v>
      </c>
      <c r="B1169" s="2" t="s">
        <v>9</v>
      </c>
      <c r="C1169" s="2" t="s">
        <v>574</v>
      </c>
      <c r="D1169" s="2" t="s">
        <v>575</v>
      </c>
      <c r="E1169" s="2" t="s">
        <v>18</v>
      </c>
      <c r="F1169" s="2" t="s">
        <v>283</v>
      </c>
      <c r="G1169" s="8" t="str">
        <f>IF(ISNA(VLOOKUP(B1169&amp;"|"&amp;C1169&amp;"|"&amp;D1169&amp;"|"&amp;E1169,QuestionTriggers!A:F,6,FALSE)),"","---&gt;")</f>
        <v/>
      </c>
      <c r="H1169" s="2" t="s">
        <v>576</v>
      </c>
      <c r="I1169" s="2" t="s">
        <v>312</v>
      </c>
      <c r="J1169" s="2" t="s">
        <v>577</v>
      </c>
      <c r="K1169" s="2"/>
    </row>
    <row r="1170" spans="1:11" ht="26.4" hidden="1" x14ac:dyDescent="0.3">
      <c r="A1170" t="str">
        <f t="shared" si="18"/>
        <v>Serpent’s Hold|Sentri|LOOK</v>
      </c>
      <c r="B1170" s="2" t="s">
        <v>9</v>
      </c>
      <c r="C1170" s="2" t="s">
        <v>574</v>
      </c>
      <c r="D1170" s="2" t="s">
        <v>575</v>
      </c>
      <c r="E1170" s="2" t="s">
        <v>16</v>
      </c>
      <c r="F1170" s="2" t="s">
        <v>282</v>
      </c>
      <c r="G1170" s="8" t="str">
        <f>IF(ISNA(VLOOKUP(B1170&amp;"|"&amp;C1170&amp;"|"&amp;D1170&amp;"|"&amp;E1170,QuestionTriggers!A:F,6,FALSE)),"","---&gt;")</f>
        <v/>
      </c>
      <c r="H1170" s="2" t="s">
        <v>576</v>
      </c>
      <c r="I1170" s="2" t="s">
        <v>312</v>
      </c>
      <c r="J1170" s="2" t="s">
        <v>577</v>
      </c>
      <c r="K1170" s="2"/>
    </row>
    <row r="1171" spans="1:11" ht="26.4" hidden="1" x14ac:dyDescent="0.3">
      <c r="A1171" t="str">
        <f t="shared" si="18"/>
        <v>Serpent’s Hold|Sentri|NAME</v>
      </c>
      <c r="B1171" s="2" t="s">
        <v>9</v>
      </c>
      <c r="C1171" s="2" t="s">
        <v>574</v>
      </c>
      <c r="D1171" s="2" t="s">
        <v>575</v>
      </c>
      <c r="E1171" s="2" t="s">
        <v>12</v>
      </c>
      <c r="F1171" s="2" t="s">
        <v>575</v>
      </c>
      <c r="G1171" s="8" t="str">
        <f>IF(ISNA(VLOOKUP(B1171&amp;"|"&amp;C1171&amp;"|"&amp;D1171&amp;"|"&amp;E1171,QuestionTriggers!A:F,6,FALSE)),"","---&gt;")</f>
        <v/>
      </c>
      <c r="H1171" s="2" t="s">
        <v>576</v>
      </c>
      <c r="I1171" s="2" t="s">
        <v>312</v>
      </c>
      <c r="J1171" s="2" t="s">
        <v>577</v>
      </c>
      <c r="K1171" s="2"/>
    </row>
    <row r="1172" spans="1:11" ht="26.4" hidden="1" x14ac:dyDescent="0.3">
      <c r="A1172" t="str">
        <f t="shared" si="18"/>
        <v>Serpent’s Hold|Sentri|PROV</v>
      </c>
      <c r="B1172" s="2" t="s">
        <v>9</v>
      </c>
      <c r="C1172" s="2" t="s">
        <v>574</v>
      </c>
      <c r="D1172" s="2" t="s">
        <v>575</v>
      </c>
      <c r="E1172" s="2" t="s">
        <v>285</v>
      </c>
      <c r="F1172" s="2" t="s">
        <v>578</v>
      </c>
      <c r="G1172" s="8" t="str">
        <f>IF(ISNA(VLOOKUP(B1172&amp;"|"&amp;C1172&amp;"|"&amp;D1172&amp;"|"&amp;E1172,QuestionTriggers!A:F,6,FALSE)),"","---&gt;")</f>
        <v/>
      </c>
      <c r="H1172" s="2" t="s">
        <v>576</v>
      </c>
      <c r="I1172" s="2" t="s">
        <v>312</v>
      </c>
      <c r="J1172" s="2" t="s">
        <v>577</v>
      </c>
      <c r="K1172" s="2"/>
    </row>
    <row r="1173" spans="1:11" ht="26.4" hidden="1" x14ac:dyDescent="0.3">
      <c r="A1173" t="str">
        <f t="shared" si="18"/>
        <v>Serpent’s Hold|Sentri|WORD</v>
      </c>
      <c r="B1173" s="2" t="s">
        <v>9</v>
      </c>
      <c r="C1173" s="2" t="s">
        <v>574</v>
      </c>
      <c r="D1173" s="2" t="s">
        <v>575</v>
      </c>
      <c r="E1173" s="2" t="s">
        <v>286</v>
      </c>
      <c r="F1173" s="2" t="s">
        <v>579</v>
      </c>
      <c r="G1173" s="8" t="str">
        <f>IF(ISNA(VLOOKUP(B1173&amp;"|"&amp;C1173&amp;"|"&amp;D1173&amp;"|"&amp;E1173,QuestionTriggers!A:F,6,FALSE)),"","---&gt;")</f>
        <v>---&gt;</v>
      </c>
      <c r="H1173" s="2" t="s">
        <v>576</v>
      </c>
      <c r="I1173" s="2" t="s">
        <v>312</v>
      </c>
      <c r="J1173" s="2" t="s">
        <v>577</v>
      </c>
      <c r="K1173" s="2"/>
    </row>
    <row r="1174" spans="1:11" hidden="1" x14ac:dyDescent="0.3">
      <c r="A1174" t="str">
        <f t="shared" si="18"/>
        <v>Serpent’s Hold|Shyra|HEALTH</v>
      </c>
      <c r="B1174" s="2" t="s">
        <v>9</v>
      </c>
      <c r="C1174" s="2" t="s">
        <v>574</v>
      </c>
      <c r="D1174" s="2" t="s">
        <v>621</v>
      </c>
      <c r="E1174" s="2" t="s">
        <v>20</v>
      </c>
      <c r="F1174" s="2" t="s">
        <v>627</v>
      </c>
      <c r="G1174" s="8" t="str">
        <f>IF(ISNA(VLOOKUP(B1174&amp;"|"&amp;C1174&amp;"|"&amp;D1174&amp;"|"&amp;E1174,QuestionTriggers!A:F,6,FALSE)),"","---&gt;")</f>
        <v/>
      </c>
      <c r="H1174" s="2" t="s">
        <v>622</v>
      </c>
      <c r="I1174" s="2" t="s">
        <v>623</v>
      </c>
      <c r="J1174" s="2" t="s">
        <v>624</v>
      </c>
      <c r="K1174" s="2"/>
    </row>
    <row r="1175" spans="1:11" hidden="1" x14ac:dyDescent="0.3">
      <c r="A1175" t="str">
        <f t="shared" si="18"/>
        <v>Serpent’s Hold|Shyra|JOB</v>
      </c>
      <c r="B1175" s="2" t="s">
        <v>9</v>
      </c>
      <c r="C1175" s="2" t="s">
        <v>574</v>
      </c>
      <c r="D1175" s="2" t="s">
        <v>621</v>
      </c>
      <c r="E1175" s="2" t="s">
        <v>18</v>
      </c>
      <c r="F1175" s="2" t="s">
        <v>626</v>
      </c>
      <c r="G1175" s="8" t="str">
        <f>IF(ISNA(VLOOKUP(B1175&amp;"|"&amp;C1175&amp;"|"&amp;D1175&amp;"|"&amp;E1175,QuestionTriggers!A:F,6,FALSE)),"","---&gt;")</f>
        <v/>
      </c>
      <c r="H1175" s="2" t="s">
        <v>622</v>
      </c>
      <c r="I1175" s="2" t="s">
        <v>623</v>
      </c>
      <c r="J1175" s="2" t="s">
        <v>624</v>
      </c>
      <c r="K1175" s="2"/>
    </row>
    <row r="1176" spans="1:11" hidden="1" x14ac:dyDescent="0.3">
      <c r="A1176" t="str">
        <f t="shared" si="18"/>
        <v>Serpent’s Hold|Shyra|LOOK</v>
      </c>
      <c r="B1176" s="2" t="s">
        <v>9</v>
      </c>
      <c r="C1176" s="2" t="s">
        <v>574</v>
      </c>
      <c r="D1176" s="2" t="s">
        <v>621</v>
      </c>
      <c r="E1176" s="2" t="s">
        <v>16</v>
      </c>
      <c r="F1176" s="2" t="s">
        <v>625</v>
      </c>
      <c r="G1176" s="8" t="str">
        <f>IF(ISNA(VLOOKUP(B1176&amp;"|"&amp;C1176&amp;"|"&amp;D1176&amp;"|"&amp;E1176,QuestionTriggers!A:F,6,FALSE)),"","---&gt;")</f>
        <v/>
      </c>
      <c r="H1176" s="2" t="s">
        <v>622</v>
      </c>
      <c r="I1176" s="2" t="s">
        <v>623</v>
      </c>
      <c r="J1176" s="2" t="s">
        <v>624</v>
      </c>
      <c r="K1176" s="2"/>
    </row>
    <row r="1177" spans="1:11" hidden="1" x14ac:dyDescent="0.3">
      <c r="A1177" t="str">
        <f t="shared" si="18"/>
        <v>Serpent’s Hold|Shyra|NAME</v>
      </c>
      <c r="B1177" s="2" t="s">
        <v>9</v>
      </c>
      <c r="C1177" s="2" t="s">
        <v>574</v>
      </c>
      <c r="D1177" s="2" t="s">
        <v>621</v>
      </c>
      <c r="E1177" s="2" t="s">
        <v>12</v>
      </c>
      <c r="F1177" s="2" t="s">
        <v>621</v>
      </c>
      <c r="G1177" s="8" t="str">
        <f>IF(ISNA(VLOOKUP(B1177&amp;"|"&amp;C1177&amp;"|"&amp;D1177&amp;"|"&amp;E1177,QuestionTriggers!A:F,6,FALSE)),"","---&gt;")</f>
        <v/>
      </c>
      <c r="H1177" s="2" t="s">
        <v>622</v>
      </c>
      <c r="I1177" s="2" t="s">
        <v>623</v>
      </c>
      <c r="J1177" s="2" t="s">
        <v>624</v>
      </c>
      <c r="K1177" s="2"/>
    </row>
    <row r="1178" spans="1:11" hidden="1" x14ac:dyDescent="0.3">
      <c r="A1178" t="str">
        <f t="shared" si="18"/>
        <v>Serpent’s Hold|Shyra|ROOM</v>
      </c>
      <c r="B1178" s="2" t="s">
        <v>9</v>
      </c>
      <c r="C1178" s="2" t="s">
        <v>574</v>
      </c>
      <c r="D1178" s="2" t="s">
        <v>621</v>
      </c>
      <c r="E1178" s="2" t="s">
        <v>629</v>
      </c>
      <c r="F1178" s="2" t="s">
        <v>630</v>
      </c>
      <c r="G1178" s="8" t="str">
        <f>IF(ISNA(VLOOKUP(B1178&amp;"|"&amp;C1178&amp;"|"&amp;D1178&amp;"|"&amp;E1178,QuestionTriggers!A:F,6,FALSE)),"","---&gt;")</f>
        <v>---&gt;</v>
      </c>
      <c r="H1178" s="2" t="s">
        <v>622</v>
      </c>
      <c r="I1178" s="2" t="s">
        <v>623</v>
      </c>
      <c r="J1178" s="2" t="s">
        <v>624</v>
      </c>
      <c r="K1178" s="2"/>
    </row>
    <row r="1179" spans="1:11" hidden="1" x14ac:dyDescent="0.3">
      <c r="A1179" t="str">
        <f t="shared" si="18"/>
        <v>Serpent’s Hold|Shyra|TRAI</v>
      </c>
      <c r="B1179" s="2" t="s">
        <v>9</v>
      </c>
      <c r="C1179" s="2" t="s">
        <v>574</v>
      </c>
      <c r="D1179" s="2" t="s">
        <v>621</v>
      </c>
      <c r="E1179" s="2" t="s">
        <v>617</v>
      </c>
      <c r="F1179" s="2" t="s">
        <v>628</v>
      </c>
      <c r="G1179" s="8" t="str">
        <f>IF(ISNA(VLOOKUP(B1179&amp;"|"&amp;C1179&amp;"|"&amp;D1179&amp;"|"&amp;E1179,QuestionTriggers!A:F,6,FALSE)),"","---&gt;")</f>
        <v/>
      </c>
      <c r="H1179" s="2" t="s">
        <v>622</v>
      </c>
      <c r="I1179" s="2" t="s">
        <v>623</v>
      </c>
      <c r="J1179" s="2" t="s">
        <v>624</v>
      </c>
      <c r="K1179" s="2"/>
    </row>
    <row r="1180" spans="1:11" ht="26.4" hidden="1" x14ac:dyDescent="0.3">
      <c r="A1180" t="str">
        <f t="shared" si="18"/>
        <v>Serpent’s Hold|Sister Antos|BELL</v>
      </c>
      <c r="B1180" s="2" t="s">
        <v>9</v>
      </c>
      <c r="C1180" s="2" t="s">
        <v>574</v>
      </c>
      <c r="D1180" s="2" t="s">
        <v>688</v>
      </c>
      <c r="E1180" s="2" t="s">
        <v>654</v>
      </c>
      <c r="F1180" s="2" t="s">
        <v>694</v>
      </c>
      <c r="G1180" s="8" t="str">
        <f>IF(ISNA(VLOOKUP(B1180&amp;"|"&amp;C1180&amp;"|"&amp;D1180&amp;"|"&amp;E1180,QuestionTriggers!A:F,6,FALSE)),"","---&gt;")</f>
        <v>---&gt;</v>
      </c>
      <c r="H1180" s="2" t="s">
        <v>539</v>
      </c>
      <c r="I1180" s="2" t="s">
        <v>312</v>
      </c>
      <c r="J1180" s="2" t="s">
        <v>689</v>
      </c>
      <c r="K1180" s="2"/>
    </row>
    <row r="1181" spans="1:11" ht="26.4" hidden="1" x14ac:dyDescent="0.3">
      <c r="A1181" t="str">
        <f t="shared" si="18"/>
        <v>Serpent’s Hold|Sister Antos|HEALTH</v>
      </c>
      <c r="B1181" s="2" t="s">
        <v>9</v>
      </c>
      <c r="C1181" s="2" t="s">
        <v>574</v>
      </c>
      <c r="D1181" s="2" t="s">
        <v>688</v>
      </c>
      <c r="E1181" s="2" t="s">
        <v>20</v>
      </c>
      <c r="F1181" s="2" t="s">
        <v>691</v>
      </c>
      <c r="G1181" s="8" t="str">
        <f>IF(ISNA(VLOOKUP(B1181&amp;"|"&amp;C1181&amp;"|"&amp;D1181&amp;"|"&amp;E1181,QuestionTriggers!A:F,6,FALSE)),"","---&gt;")</f>
        <v/>
      </c>
      <c r="H1181" s="2" t="s">
        <v>539</v>
      </c>
      <c r="I1181" s="2" t="s">
        <v>312</v>
      </c>
      <c r="J1181" s="2" t="s">
        <v>689</v>
      </c>
      <c r="K1181" s="2"/>
    </row>
    <row r="1182" spans="1:11" ht="26.4" hidden="1" x14ac:dyDescent="0.3">
      <c r="A1182" t="str">
        <f t="shared" si="18"/>
        <v>Serpent’s Hold|Sister Antos|INFO</v>
      </c>
      <c r="B1182" s="2" t="s">
        <v>9</v>
      </c>
      <c r="C1182" s="2" t="s">
        <v>574</v>
      </c>
      <c r="D1182" s="2" t="s">
        <v>688</v>
      </c>
      <c r="E1182" s="2" t="s">
        <v>692</v>
      </c>
      <c r="F1182" s="2" t="s">
        <v>693</v>
      </c>
      <c r="G1182" s="8" t="str">
        <f>IF(ISNA(VLOOKUP(B1182&amp;"|"&amp;C1182&amp;"|"&amp;D1182&amp;"|"&amp;E1182,QuestionTriggers!A:F,6,FALSE)),"","---&gt;")</f>
        <v/>
      </c>
      <c r="H1182" s="2" t="s">
        <v>539</v>
      </c>
      <c r="I1182" s="2" t="s">
        <v>312</v>
      </c>
      <c r="J1182" s="2" t="s">
        <v>689</v>
      </c>
      <c r="K1182" s="2"/>
    </row>
    <row r="1183" spans="1:11" ht="26.4" hidden="1" x14ac:dyDescent="0.3">
      <c r="A1183" t="str">
        <f t="shared" si="18"/>
        <v>Serpent’s Hold|Sister Antos|JOB</v>
      </c>
      <c r="B1183" s="2" t="s">
        <v>9</v>
      </c>
      <c r="C1183" s="2" t="s">
        <v>574</v>
      </c>
      <c r="D1183" s="2" t="s">
        <v>688</v>
      </c>
      <c r="E1183" s="2" t="s">
        <v>18</v>
      </c>
      <c r="F1183" s="2" t="s">
        <v>690</v>
      </c>
      <c r="G1183" s="8" t="str">
        <f>IF(ISNA(VLOOKUP(B1183&amp;"|"&amp;C1183&amp;"|"&amp;D1183&amp;"|"&amp;E1183,QuestionTriggers!A:F,6,FALSE)),"","---&gt;")</f>
        <v/>
      </c>
      <c r="H1183" s="2" t="s">
        <v>539</v>
      </c>
      <c r="I1183" s="2" t="s">
        <v>312</v>
      </c>
      <c r="J1183" s="2" t="s">
        <v>689</v>
      </c>
      <c r="K1183" s="2"/>
    </row>
    <row r="1184" spans="1:11" ht="26.4" hidden="1" x14ac:dyDescent="0.3">
      <c r="A1184" t="str">
        <f t="shared" si="18"/>
        <v>Serpent’s Hold|Sister Antos|LOOK</v>
      </c>
      <c r="B1184" s="2" t="s">
        <v>9</v>
      </c>
      <c r="C1184" s="2" t="s">
        <v>574</v>
      </c>
      <c r="D1184" s="2" t="s">
        <v>688</v>
      </c>
      <c r="E1184" s="2" t="s">
        <v>16</v>
      </c>
      <c r="F1184" s="2" t="s">
        <v>448</v>
      </c>
      <c r="G1184" s="8" t="str">
        <f>IF(ISNA(VLOOKUP(B1184&amp;"|"&amp;C1184&amp;"|"&amp;D1184&amp;"|"&amp;E1184,QuestionTriggers!A:F,6,FALSE)),"","---&gt;")</f>
        <v/>
      </c>
      <c r="H1184" s="2" t="s">
        <v>539</v>
      </c>
      <c r="I1184" s="2" t="s">
        <v>312</v>
      </c>
      <c r="J1184" s="2" t="s">
        <v>689</v>
      </c>
      <c r="K1184" s="2"/>
    </row>
    <row r="1185" spans="1:11" ht="26.4" hidden="1" x14ac:dyDescent="0.3">
      <c r="A1185" t="str">
        <f t="shared" si="18"/>
        <v>Serpent’s Hold|Sister Antos|NAME</v>
      </c>
      <c r="B1185" s="2" t="s">
        <v>9</v>
      </c>
      <c r="C1185" s="2" t="s">
        <v>574</v>
      </c>
      <c r="D1185" s="2" t="s">
        <v>688</v>
      </c>
      <c r="E1185" s="2" t="s">
        <v>12</v>
      </c>
      <c r="F1185" s="2" t="s">
        <v>688</v>
      </c>
      <c r="G1185" s="8" t="str">
        <f>IF(ISNA(VLOOKUP(B1185&amp;"|"&amp;C1185&amp;"|"&amp;D1185&amp;"|"&amp;E1185,QuestionTriggers!A:F,6,FALSE)),"","---&gt;")</f>
        <v/>
      </c>
      <c r="H1185" s="2" t="s">
        <v>539</v>
      </c>
      <c r="I1185" s="2" t="s">
        <v>312</v>
      </c>
      <c r="J1185" s="2" t="s">
        <v>689</v>
      </c>
      <c r="K1185" s="2"/>
    </row>
    <row r="1186" spans="1:11" ht="26.4" hidden="1" x14ac:dyDescent="0.3">
      <c r="A1186" t="str">
        <f t="shared" si="18"/>
        <v>Serpent’s Hold|Treasury Guard|DUNG</v>
      </c>
      <c r="B1186" s="2" t="s">
        <v>9</v>
      </c>
      <c r="C1186" s="2" t="s">
        <v>574</v>
      </c>
      <c r="D1186" s="2" t="s">
        <v>38</v>
      </c>
      <c r="E1186" s="2" t="s">
        <v>619</v>
      </c>
      <c r="F1186" s="2" t="s">
        <v>647</v>
      </c>
      <c r="G1186" s="8" t="str">
        <f>IF(ISNA(VLOOKUP(B1186&amp;"|"&amp;C1186&amp;"|"&amp;D1186&amp;"|"&amp;E1186,QuestionTriggers!A:F,6,FALSE)),"","---&gt;")</f>
        <v>---&gt;</v>
      </c>
      <c r="H1186" s="2" t="s">
        <v>642</v>
      </c>
      <c r="I1186" s="2" t="s">
        <v>643</v>
      </c>
      <c r="J1186" s="2" t="s">
        <v>644</v>
      </c>
      <c r="K1186" s="2"/>
    </row>
    <row r="1187" spans="1:11" ht="26.4" hidden="1" x14ac:dyDescent="0.3">
      <c r="A1187" t="str">
        <f t="shared" si="18"/>
        <v>Serpent’s Hold|Treasury Guard|HEALTH</v>
      </c>
      <c r="B1187" s="2" t="s">
        <v>9</v>
      </c>
      <c r="C1187" s="2" t="s">
        <v>574</v>
      </c>
      <c r="D1187" s="2" t="s">
        <v>38</v>
      </c>
      <c r="E1187" s="2" t="s">
        <v>20</v>
      </c>
      <c r="F1187" s="2" t="s">
        <v>616</v>
      </c>
      <c r="G1187" s="8" t="str">
        <f>IF(ISNA(VLOOKUP(B1187&amp;"|"&amp;C1187&amp;"|"&amp;D1187&amp;"|"&amp;E1187,QuestionTriggers!A:F,6,FALSE)),"","---&gt;")</f>
        <v/>
      </c>
      <c r="H1187" s="2" t="s">
        <v>642</v>
      </c>
      <c r="I1187" s="2" t="s">
        <v>643</v>
      </c>
      <c r="J1187" s="2" t="s">
        <v>644</v>
      </c>
      <c r="K1187" s="2"/>
    </row>
    <row r="1188" spans="1:11" ht="26.4" hidden="1" x14ac:dyDescent="0.3">
      <c r="A1188" t="str">
        <f t="shared" si="18"/>
        <v>Serpent’s Hold|Treasury Guard|JOB</v>
      </c>
      <c r="B1188" s="2" t="s">
        <v>9</v>
      </c>
      <c r="C1188" s="2" t="s">
        <v>574</v>
      </c>
      <c r="D1188" s="2" t="s">
        <v>38</v>
      </c>
      <c r="E1188" s="2" t="s">
        <v>18</v>
      </c>
      <c r="F1188" s="2" t="s">
        <v>645</v>
      </c>
      <c r="G1188" s="8" t="str">
        <f>IF(ISNA(VLOOKUP(B1188&amp;"|"&amp;C1188&amp;"|"&amp;D1188&amp;"|"&amp;E1188,QuestionTriggers!A:F,6,FALSE)),"","---&gt;")</f>
        <v/>
      </c>
      <c r="H1188" s="2" t="s">
        <v>642</v>
      </c>
      <c r="I1188" s="2" t="s">
        <v>643</v>
      </c>
      <c r="J1188" s="2" t="s">
        <v>644</v>
      </c>
      <c r="K1188" s="2"/>
    </row>
    <row r="1189" spans="1:11" ht="26.4" hidden="1" x14ac:dyDescent="0.3">
      <c r="A1189" t="str">
        <f t="shared" si="18"/>
        <v>Serpent’s Hold|Treasury Guard|LOOK</v>
      </c>
      <c r="B1189" s="2" t="s">
        <v>9</v>
      </c>
      <c r="C1189" s="2" t="s">
        <v>574</v>
      </c>
      <c r="D1189" s="2" t="s">
        <v>38</v>
      </c>
      <c r="E1189" s="2" t="s">
        <v>16</v>
      </c>
      <c r="F1189" s="2" t="s">
        <v>31</v>
      </c>
      <c r="G1189" s="8" t="str">
        <f>IF(ISNA(VLOOKUP(B1189&amp;"|"&amp;C1189&amp;"|"&amp;D1189&amp;"|"&amp;E1189,QuestionTriggers!A:F,6,FALSE)),"","---&gt;")</f>
        <v/>
      </c>
      <c r="H1189" s="2" t="s">
        <v>642</v>
      </c>
      <c r="I1189" s="2" t="s">
        <v>643</v>
      </c>
      <c r="J1189" s="2" t="s">
        <v>644</v>
      </c>
      <c r="K1189" s="2"/>
    </row>
    <row r="1190" spans="1:11" ht="26.4" hidden="1" x14ac:dyDescent="0.3">
      <c r="A1190" t="str">
        <f t="shared" si="18"/>
        <v>Serpent’s Hold|Treasury Guard|NAME</v>
      </c>
      <c r="B1190" s="2" t="s">
        <v>9</v>
      </c>
      <c r="C1190" s="2" t="s">
        <v>574</v>
      </c>
      <c r="D1190" s="2" t="s">
        <v>38</v>
      </c>
      <c r="E1190" s="2" t="s">
        <v>12</v>
      </c>
      <c r="F1190" s="2" t="s">
        <v>641</v>
      </c>
      <c r="G1190" s="8" t="str">
        <f>IF(ISNA(VLOOKUP(B1190&amp;"|"&amp;C1190&amp;"|"&amp;D1190&amp;"|"&amp;E1190,QuestionTriggers!A:F,6,FALSE)),"","---&gt;")</f>
        <v/>
      </c>
      <c r="H1190" s="2" t="s">
        <v>642</v>
      </c>
      <c r="I1190" s="2" t="s">
        <v>643</v>
      </c>
      <c r="J1190" s="2" t="s">
        <v>644</v>
      </c>
      <c r="K1190" s="2"/>
    </row>
    <row r="1191" spans="1:11" ht="26.4" hidden="1" x14ac:dyDescent="0.3">
      <c r="A1191" t="str">
        <f t="shared" si="18"/>
        <v>Serpent’s Hold|Treasury Guard|TREA</v>
      </c>
      <c r="B1191" s="2" t="s">
        <v>9</v>
      </c>
      <c r="C1191" s="2" t="s">
        <v>574</v>
      </c>
      <c r="D1191" s="2" t="s">
        <v>38</v>
      </c>
      <c r="E1191" s="2" t="s">
        <v>45</v>
      </c>
      <c r="F1191" s="2" t="s">
        <v>646</v>
      </c>
      <c r="G1191" s="8" t="str">
        <f>IF(ISNA(VLOOKUP(B1191&amp;"|"&amp;C1191&amp;"|"&amp;D1191&amp;"|"&amp;E1191,QuestionTriggers!A:F,6,FALSE)),"","---&gt;")</f>
        <v/>
      </c>
      <c r="H1191" s="2" t="s">
        <v>642</v>
      </c>
      <c r="I1191" s="2" t="s">
        <v>643</v>
      </c>
      <c r="J1191" s="2" t="s">
        <v>644</v>
      </c>
      <c r="K1191" s="2"/>
    </row>
    <row r="1192" spans="1:11" x14ac:dyDescent="0.3">
      <c r="A1192" t="str">
        <f t="shared" si="18"/>
        <v>Skara Brae|Ambule|BEG</v>
      </c>
      <c r="B1192" s="2" t="s">
        <v>713</v>
      </c>
      <c r="C1192" s="2" t="s">
        <v>1514</v>
      </c>
      <c r="D1192" s="2" t="s">
        <v>1623</v>
      </c>
      <c r="E1192" s="2" t="s">
        <v>398</v>
      </c>
      <c r="F1192" s="2" t="s">
        <v>1630</v>
      </c>
      <c r="G1192" s="8" t="str">
        <f>IF(ISNA(VLOOKUP(B1192&amp;"|"&amp;C1192&amp;"|"&amp;D1192&amp;"|"&amp;E1192,QuestionTriggers!A:F,6,FALSE)),"","---&gt;")</f>
        <v/>
      </c>
      <c r="H1192" s="2" t="s">
        <v>1624</v>
      </c>
      <c r="I1192" s="2" t="s">
        <v>1625</v>
      </c>
      <c r="J1192" s="2" t="s">
        <v>1626</v>
      </c>
      <c r="K1192" s="2"/>
    </row>
    <row r="1193" spans="1:11" x14ac:dyDescent="0.3">
      <c r="A1193" t="str">
        <f t="shared" si="18"/>
        <v>Skara Brae|Ambule|HEALTH</v>
      </c>
      <c r="B1193" s="2" t="s">
        <v>713</v>
      </c>
      <c r="C1193" s="2" t="s">
        <v>1514</v>
      </c>
      <c r="D1193" s="2" t="s">
        <v>1623</v>
      </c>
      <c r="E1193" s="2" t="s">
        <v>20</v>
      </c>
      <c r="F1193" s="2" t="s">
        <v>1629</v>
      </c>
      <c r="G1193" s="8" t="str">
        <f>IF(ISNA(VLOOKUP(B1193&amp;"|"&amp;C1193&amp;"|"&amp;D1193&amp;"|"&amp;E1193,QuestionTriggers!A:F,6,FALSE)),"","---&gt;")</f>
        <v/>
      </c>
      <c r="H1193" s="2" t="s">
        <v>1624</v>
      </c>
      <c r="I1193" s="2" t="s">
        <v>1625</v>
      </c>
      <c r="J1193" s="2" t="s">
        <v>1626</v>
      </c>
      <c r="K1193" s="2"/>
    </row>
    <row r="1194" spans="1:11" x14ac:dyDescent="0.3">
      <c r="A1194" t="str">
        <f t="shared" si="18"/>
        <v>Skara Brae|Ambule|JOB</v>
      </c>
      <c r="B1194" s="2" t="s">
        <v>713</v>
      </c>
      <c r="C1194" s="2" t="s">
        <v>1514</v>
      </c>
      <c r="D1194" s="2" t="s">
        <v>1623</v>
      </c>
      <c r="E1194" s="2" t="s">
        <v>18</v>
      </c>
      <c r="F1194" s="2" t="s">
        <v>1628</v>
      </c>
      <c r="G1194" s="8" t="str">
        <f>IF(ISNA(VLOOKUP(B1194&amp;"|"&amp;C1194&amp;"|"&amp;D1194&amp;"|"&amp;E1194,QuestionTriggers!A:F,6,FALSE)),"","---&gt;")</f>
        <v/>
      </c>
      <c r="H1194" s="2" t="s">
        <v>1624</v>
      </c>
      <c r="I1194" s="2" t="s">
        <v>1625</v>
      </c>
      <c r="J1194" s="2" t="s">
        <v>1626</v>
      </c>
      <c r="K1194" s="2"/>
    </row>
    <row r="1195" spans="1:11" x14ac:dyDescent="0.3">
      <c r="A1195" t="str">
        <f t="shared" si="18"/>
        <v>Skara Brae|Ambule|LOOK</v>
      </c>
      <c r="B1195" s="2" t="s">
        <v>713</v>
      </c>
      <c r="C1195" s="2" t="s">
        <v>1514</v>
      </c>
      <c r="D1195" s="2" t="s">
        <v>1623</v>
      </c>
      <c r="E1195" s="2" t="s">
        <v>16</v>
      </c>
      <c r="F1195" s="2" t="s">
        <v>1627</v>
      </c>
      <c r="G1195" s="8" t="str">
        <f>IF(ISNA(VLOOKUP(B1195&amp;"|"&amp;C1195&amp;"|"&amp;D1195&amp;"|"&amp;E1195,QuestionTriggers!A:F,6,FALSE)),"","---&gt;")</f>
        <v/>
      </c>
      <c r="H1195" s="2" t="s">
        <v>1624</v>
      </c>
      <c r="I1195" s="2" t="s">
        <v>1625</v>
      </c>
      <c r="J1195" s="2" t="s">
        <v>1626</v>
      </c>
      <c r="K1195" s="2"/>
    </row>
    <row r="1196" spans="1:11" x14ac:dyDescent="0.3">
      <c r="A1196" t="str">
        <f t="shared" si="18"/>
        <v>Skara Brae|Ambule|MANT</v>
      </c>
      <c r="B1196" s="2" t="s">
        <v>713</v>
      </c>
      <c r="C1196" s="2" t="s">
        <v>1514</v>
      </c>
      <c r="D1196" s="2" t="s">
        <v>1623</v>
      </c>
      <c r="E1196" s="2" t="s">
        <v>742</v>
      </c>
      <c r="F1196" s="41" t="s">
        <v>2596</v>
      </c>
      <c r="G1196" s="8" t="str">
        <f>IF(ISNA(VLOOKUP(B1196&amp;"|"&amp;C1196&amp;"|"&amp;D1196&amp;"|"&amp;E1196,QuestionTriggers!A:F,6,FALSE)),"","---&gt;")</f>
        <v>---&gt;</v>
      </c>
      <c r="H1196" s="2" t="s">
        <v>1624</v>
      </c>
      <c r="I1196" s="2" t="s">
        <v>1625</v>
      </c>
      <c r="J1196" s="2" t="s">
        <v>1626</v>
      </c>
      <c r="K1196" s="2"/>
    </row>
    <row r="1197" spans="1:11" x14ac:dyDescent="0.3">
      <c r="A1197" t="str">
        <f t="shared" si="18"/>
        <v>Skara Brae|Ambule|NAME</v>
      </c>
      <c r="B1197" s="2" t="s">
        <v>713</v>
      </c>
      <c r="C1197" s="2" t="s">
        <v>1514</v>
      </c>
      <c r="D1197" s="2" t="s">
        <v>1623</v>
      </c>
      <c r="E1197" s="2" t="s">
        <v>12</v>
      </c>
      <c r="F1197" s="2" t="s">
        <v>1623</v>
      </c>
      <c r="G1197" s="8" t="str">
        <f>IF(ISNA(VLOOKUP(B1197&amp;"|"&amp;C1197&amp;"|"&amp;D1197&amp;"|"&amp;E1197,QuestionTriggers!A:F,6,FALSE)),"","---&gt;")</f>
        <v/>
      </c>
      <c r="H1197" s="2" t="s">
        <v>1624</v>
      </c>
      <c r="I1197" s="2" t="s">
        <v>1625</v>
      </c>
      <c r="J1197" s="2" t="s">
        <v>1626</v>
      </c>
      <c r="K1197" s="2"/>
    </row>
    <row r="1198" spans="1:11" hidden="1" x14ac:dyDescent="0.3">
      <c r="A1198" t="str">
        <f t="shared" si="18"/>
        <v>Skara Brae|Ankh of Spirituality|HEALTH</v>
      </c>
      <c r="B1198" s="2" t="s">
        <v>713</v>
      </c>
      <c r="C1198" s="2" t="s">
        <v>1514</v>
      </c>
      <c r="D1198" s="34" t="s">
        <v>1613</v>
      </c>
      <c r="E1198" s="34" t="s">
        <v>20</v>
      </c>
      <c r="F1198" s="34" t="s">
        <v>1619</v>
      </c>
      <c r="G1198" s="8" t="str">
        <f>IF(ISNA(VLOOKUP(B1198&amp;"|"&amp;C1198&amp;"|"&amp;D1198&amp;"|"&amp;E1198,QuestionTriggers!A:F,6,FALSE)),"","---&gt;")</f>
        <v/>
      </c>
      <c r="H1198" s="2" t="s">
        <v>1615</v>
      </c>
      <c r="I1198" s="2" t="s">
        <v>349</v>
      </c>
      <c r="J1198" s="2" t="s">
        <v>1616</v>
      </c>
      <c r="K1198" s="2"/>
    </row>
    <row r="1199" spans="1:11" hidden="1" x14ac:dyDescent="0.3">
      <c r="A1199" t="str">
        <f t="shared" si="18"/>
        <v>Skara Brae|Ankh of Spirituality|JOB</v>
      </c>
      <c r="B1199" s="2" t="s">
        <v>713</v>
      </c>
      <c r="C1199" s="2" t="s">
        <v>1514</v>
      </c>
      <c r="D1199" s="34" t="s">
        <v>1613</v>
      </c>
      <c r="E1199" s="34" t="s">
        <v>18</v>
      </c>
      <c r="F1199" s="34" t="s">
        <v>1618</v>
      </c>
      <c r="G1199" s="8" t="str">
        <f>IF(ISNA(VLOOKUP(B1199&amp;"|"&amp;C1199&amp;"|"&amp;D1199&amp;"|"&amp;E1199,QuestionTriggers!A:F,6,FALSE)),"","---&gt;")</f>
        <v/>
      </c>
      <c r="H1199" s="2" t="s">
        <v>1615</v>
      </c>
      <c r="I1199" s="2" t="s">
        <v>349</v>
      </c>
      <c r="J1199" s="2" t="s">
        <v>1616</v>
      </c>
      <c r="K1199" s="2"/>
    </row>
    <row r="1200" spans="1:11" hidden="1" x14ac:dyDescent="0.3">
      <c r="A1200" t="str">
        <f t="shared" si="18"/>
        <v>Skara Brae|Ankh of Spirituality|LOOK</v>
      </c>
      <c r="B1200" s="2" t="s">
        <v>713</v>
      </c>
      <c r="C1200" s="2" t="s">
        <v>1514</v>
      </c>
      <c r="D1200" s="34" t="s">
        <v>1613</v>
      </c>
      <c r="E1200" s="34" t="s">
        <v>16</v>
      </c>
      <c r="F1200" s="34" t="s">
        <v>1617</v>
      </c>
      <c r="G1200" s="8" t="str">
        <f>IF(ISNA(VLOOKUP(B1200&amp;"|"&amp;C1200&amp;"|"&amp;D1200&amp;"|"&amp;E1200,QuestionTriggers!A:F,6,FALSE)),"","---&gt;")</f>
        <v/>
      </c>
      <c r="H1200" s="2" t="s">
        <v>1615</v>
      </c>
      <c r="I1200" s="2" t="s">
        <v>349</v>
      </c>
      <c r="J1200" s="2" t="s">
        <v>1616</v>
      </c>
      <c r="K1200" s="2"/>
    </row>
    <row r="1201" spans="1:11" hidden="1" x14ac:dyDescent="0.3">
      <c r="A1201" t="str">
        <f t="shared" si="18"/>
        <v>Skara Brae|Ankh of Spirituality|NAME</v>
      </c>
      <c r="B1201" s="2" t="s">
        <v>713</v>
      </c>
      <c r="C1201" s="2" t="s">
        <v>1514</v>
      </c>
      <c r="D1201" s="34" t="s">
        <v>1613</v>
      </c>
      <c r="E1201" s="34" t="s">
        <v>12</v>
      </c>
      <c r="F1201" s="34" t="s">
        <v>1614</v>
      </c>
      <c r="G1201" s="8" t="str">
        <f>IF(ISNA(VLOOKUP(B1201&amp;"|"&amp;C1201&amp;"|"&amp;D1201&amp;"|"&amp;E1201,QuestionTriggers!A:F,6,FALSE)),"","---&gt;")</f>
        <v/>
      </c>
      <c r="H1201" s="2" t="s">
        <v>1615</v>
      </c>
      <c r="I1201" s="2" t="s">
        <v>349</v>
      </c>
      <c r="J1201" s="2" t="s">
        <v>1616</v>
      </c>
      <c r="K1201" s="2"/>
    </row>
    <row r="1202" spans="1:11" hidden="1" x14ac:dyDescent="0.3">
      <c r="A1202" t="str">
        <f t="shared" si="18"/>
        <v>Skara Brae|Ankh of Spirituality|OM</v>
      </c>
      <c r="B1202" s="2" t="s">
        <v>713</v>
      </c>
      <c r="C1202" s="2" t="s">
        <v>1514</v>
      </c>
      <c r="D1202" s="34" t="s">
        <v>1613</v>
      </c>
      <c r="E1202" s="34" t="s">
        <v>1621</v>
      </c>
      <c r="F1202" s="34" t="s">
        <v>1622</v>
      </c>
      <c r="G1202" s="8" t="str">
        <f>IF(ISNA(VLOOKUP(B1202&amp;"|"&amp;C1202&amp;"|"&amp;D1202&amp;"|"&amp;E1202,QuestionTriggers!A:F,6,FALSE)),"","---&gt;")</f>
        <v>---&gt;</v>
      </c>
      <c r="H1202" s="2" t="s">
        <v>1615</v>
      </c>
      <c r="I1202" s="2" t="s">
        <v>349</v>
      </c>
      <c r="J1202" s="2" t="s">
        <v>1616</v>
      </c>
      <c r="K1202" s="2"/>
    </row>
    <row r="1203" spans="1:11" hidden="1" x14ac:dyDescent="0.3">
      <c r="A1203" t="str">
        <f t="shared" si="18"/>
        <v>Skara Brae|Ankh of Spirituality|RUNE</v>
      </c>
      <c r="B1203" s="2" t="s">
        <v>713</v>
      </c>
      <c r="C1203" s="2" t="s">
        <v>1514</v>
      </c>
      <c r="D1203" s="34" t="s">
        <v>1613</v>
      </c>
      <c r="E1203" s="34" t="s">
        <v>847</v>
      </c>
      <c r="F1203" s="34" t="s">
        <v>1620</v>
      </c>
      <c r="G1203" s="8" t="str">
        <f>IF(ISNA(VLOOKUP(B1203&amp;"|"&amp;C1203&amp;"|"&amp;D1203&amp;"|"&amp;E1203,QuestionTriggers!A:F,6,FALSE)),"","---&gt;")</f>
        <v/>
      </c>
      <c r="H1203" s="2" t="s">
        <v>1615</v>
      </c>
      <c r="I1203" s="2" t="s">
        <v>349</v>
      </c>
      <c r="J1203" s="2" t="s">
        <v>1616</v>
      </c>
      <c r="K1203" s="2"/>
    </row>
    <row r="1204" spans="1:11" x14ac:dyDescent="0.3">
      <c r="A1204" t="str">
        <f t="shared" si="18"/>
        <v>Skara Brae|Barren|HEALTH</v>
      </c>
      <c r="B1204" s="2" t="s">
        <v>713</v>
      </c>
      <c r="C1204" s="2" t="s">
        <v>1514</v>
      </c>
      <c r="D1204" s="2" t="s">
        <v>1631</v>
      </c>
      <c r="E1204" s="2" t="s">
        <v>20</v>
      </c>
      <c r="F1204" s="2" t="s">
        <v>946</v>
      </c>
      <c r="G1204" s="8" t="str">
        <f>IF(ISNA(VLOOKUP(B1204&amp;"|"&amp;C1204&amp;"|"&amp;D1204&amp;"|"&amp;E1204,QuestionTriggers!A:F,6,FALSE)),"","---&gt;")</f>
        <v/>
      </c>
      <c r="H1204" s="2"/>
      <c r="I1204" s="2"/>
      <c r="J1204" s="2"/>
      <c r="K1204" s="2"/>
    </row>
    <row r="1205" spans="1:11" x14ac:dyDescent="0.3">
      <c r="A1205" t="str">
        <f t="shared" si="18"/>
        <v>Skara Brae|Barren|JOB</v>
      </c>
      <c r="B1205" s="2" t="s">
        <v>713</v>
      </c>
      <c r="C1205" s="2" t="s">
        <v>1514</v>
      </c>
      <c r="D1205" s="2" t="s">
        <v>1631</v>
      </c>
      <c r="E1205" s="2" t="s">
        <v>18</v>
      </c>
      <c r="F1205" s="2" t="s">
        <v>2597</v>
      </c>
      <c r="G1205" s="8" t="str">
        <f>IF(ISNA(VLOOKUP(B1205&amp;"|"&amp;C1205&amp;"|"&amp;D1205&amp;"|"&amp;E1205,QuestionTriggers!A:F,6,FALSE)),"","---&gt;")</f>
        <v/>
      </c>
      <c r="H1205" s="2"/>
      <c r="I1205" s="2"/>
      <c r="J1205" s="2"/>
      <c r="K1205" s="2"/>
    </row>
    <row r="1206" spans="1:11" x14ac:dyDescent="0.3">
      <c r="A1206" t="str">
        <f t="shared" si="18"/>
        <v>Skara Brae|Barren|LOOK</v>
      </c>
      <c r="B1206" s="2" t="s">
        <v>713</v>
      </c>
      <c r="C1206" s="2" t="s">
        <v>1514</v>
      </c>
      <c r="D1206" s="2" t="s">
        <v>1631</v>
      </c>
      <c r="E1206" s="2" t="s">
        <v>16</v>
      </c>
      <c r="F1206" s="41" t="s">
        <v>2594</v>
      </c>
      <c r="G1206" s="8" t="str">
        <f>IF(ISNA(VLOOKUP(B1206&amp;"|"&amp;C1206&amp;"|"&amp;D1206&amp;"|"&amp;E1206,QuestionTriggers!A:F,6,FALSE)),"","---&gt;")</f>
        <v/>
      </c>
      <c r="H1206" s="2"/>
      <c r="I1206" s="2"/>
      <c r="J1206" s="2"/>
      <c r="K1206" s="2"/>
    </row>
    <row r="1207" spans="1:11" x14ac:dyDescent="0.3">
      <c r="A1207" t="str">
        <f t="shared" si="18"/>
        <v>Skara Brae|Barren|MANT</v>
      </c>
      <c r="B1207" s="2" t="s">
        <v>713</v>
      </c>
      <c r="C1207" s="2" t="s">
        <v>1514</v>
      </c>
      <c r="D1207" s="2" t="s">
        <v>1631</v>
      </c>
      <c r="E1207" s="2" t="s">
        <v>742</v>
      </c>
      <c r="F1207" s="2" t="s">
        <v>1632</v>
      </c>
      <c r="G1207" s="8" t="str">
        <f>IF(ISNA(VLOOKUP(B1207&amp;"|"&amp;C1207&amp;"|"&amp;D1207&amp;"|"&amp;E1207,QuestionTriggers!A:F,6,FALSE)),"","---&gt;")</f>
        <v/>
      </c>
      <c r="H1207" s="2"/>
      <c r="I1207" s="2"/>
      <c r="J1207" s="2"/>
      <c r="K1207" s="2"/>
    </row>
    <row r="1208" spans="1:11" x14ac:dyDescent="0.3">
      <c r="A1208" t="str">
        <f t="shared" si="18"/>
        <v>Skara Brae|Barren|NAME</v>
      </c>
      <c r="B1208" s="2" t="s">
        <v>713</v>
      </c>
      <c r="C1208" s="2" t="s">
        <v>1514</v>
      </c>
      <c r="D1208" s="2" t="s">
        <v>1631</v>
      </c>
      <c r="E1208" s="2" t="s">
        <v>12</v>
      </c>
      <c r="F1208" s="2" t="s">
        <v>1631</v>
      </c>
      <c r="G1208" s="8" t="str">
        <f>IF(ISNA(VLOOKUP(B1208&amp;"|"&amp;C1208&amp;"|"&amp;D1208&amp;"|"&amp;E1208,QuestionTriggers!A:F,6,FALSE)),"","---&gt;")</f>
        <v/>
      </c>
      <c r="H1208" s="2"/>
      <c r="I1208" s="2"/>
      <c r="J1208" s="2"/>
      <c r="K1208" s="2"/>
    </row>
    <row r="1209" spans="1:11" ht="39.6" hidden="1" x14ac:dyDescent="0.3">
      <c r="A1209" t="str">
        <f t="shared" si="18"/>
        <v>Skara Brae|Buddha|HEALTH</v>
      </c>
      <c r="B1209" s="2" t="s">
        <v>713</v>
      </c>
      <c r="C1209" s="2" t="s">
        <v>1514</v>
      </c>
      <c r="D1209" s="34" t="s">
        <v>1566</v>
      </c>
      <c r="E1209" s="34" t="s">
        <v>20</v>
      </c>
      <c r="F1209" s="34" t="s">
        <v>181</v>
      </c>
      <c r="G1209" s="8" t="str">
        <f>IF(ISNA(VLOOKUP(B1209&amp;"|"&amp;C1209&amp;"|"&amp;D1209&amp;"|"&amp;E1209,QuestionTriggers!A:F,6,FALSE)),"","---&gt;")</f>
        <v/>
      </c>
      <c r="H1209" s="2"/>
      <c r="I1209" s="2"/>
      <c r="J1209" s="2" t="s">
        <v>1567</v>
      </c>
      <c r="K1209" s="2"/>
    </row>
    <row r="1210" spans="1:11" ht="39.6" hidden="1" x14ac:dyDescent="0.3">
      <c r="A1210" t="str">
        <f t="shared" si="18"/>
        <v>Skara Brae|Buddha|JOB</v>
      </c>
      <c r="B1210" s="2" t="s">
        <v>713</v>
      </c>
      <c r="C1210" s="2" t="s">
        <v>1514</v>
      </c>
      <c r="D1210" s="34" t="s">
        <v>1566</v>
      </c>
      <c r="E1210" s="34" t="s">
        <v>18</v>
      </c>
      <c r="F1210" s="34" t="s">
        <v>1569</v>
      </c>
      <c r="G1210" s="8" t="str">
        <f>IF(ISNA(VLOOKUP(B1210&amp;"|"&amp;C1210&amp;"|"&amp;D1210&amp;"|"&amp;E1210,QuestionTriggers!A:F,6,FALSE)),"","---&gt;")</f>
        <v/>
      </c>
      <c r="H1210" s="2"/>
      <c r="I1210" s="2"/>
      <c r="J1210" s="2" t="s">
        <v>1567</v>
      </c>
      <c r="K1210" s="2"/>
    </row>
    <row r="1211" spans="1:11" ht="39.6" hidden="1" x14ac:dyDescent="0.3">
      <c r="A1211" t="str">
        <f t="shared" si="18"/>
        <v>Skara Brae|Buddha|LOOK</v>
      </c>
      <c r="B1211" s="2" t="s">
        <v>713</v>
      </c>
      <c r="C1211" s="2" t="s">
        <v>1514</v>
      </c>
      <c r="D1211" s="34" t="s">
        <v>1566</v>
      </c>
      <c r="E1211" s="34" t="s">
        <v>16</v>
      </c>
      <c r="F1211" s="34" t="s">
        <v>1568</v>
      </c>
      <c r="G1211" s="8" t="str">
        <f>IF(ISNA(VLOOKUP(B1211&amp;"|"&amp;C1211&amp;"|"&amp;D1211&amp;"|"&amp;E1211,QuestionTriggers!A:F,6,FALSE)),"","---&gt;")</f>
        <v/>
      </c>
      <c r="H1211" s="2"/>
      <c r="I1211" s="2"/>
      <c r="J1211" s="2" t="s">
        <v>1567</v>
      </c>
      <c r="K1211" s="2"/>
    </row>
    <row r="1212" spans="1:11" ht="39.6" hidden="1" x14ac:dyDescent="0.3">
      <c r="A1212" t="str">
        <f t="shared" si="18"/>
        <v>Skara Brae|Buddha|NAME</v>
      </c>
      <c r="B1212" s="2" t="s">
        <v>713</v>
      </c>
      <c r="C1212" s="2" t="s">
        <v>1514</v>
      </c>
      <c r="D1212" s="34" t="s">
        <v>1566</v>
      </c>
      <c r="E1212" s="34" t="s">
        <v>12</v>
      </c>
      <c r="F1212" s="34" t="s">
        <v>1566</v>
      </c>
      <c r="G1212" s="8" t="str">
        <f>IF(ISNA(VLOOKUP(B1212&amp;"|"&amp;C1212&amp;"|"&amp;D1212&amp;"|"&amp;E1212,QuestionTriggers!A:F,6,FALSE)),"","---&gt;")</f>
        <v/>
      </c>
      <c r="H1212" s="2"/>
      <c r="I1212" s="2"/>
      <c r="J1212" s="2" t="s">
        <v>1567</v>
      </c>
      <c r="K1212" s="2"/>
    </row>
    <row r="1213" spans="1:11" ht="39.6" hidden="1" x14ac:dyDescent="0.3">
      <c r="A1213" t="str">
        <f t="shared" si="18"/>
        <v>Skara Brae|Buddha|TEAC</v>
      </c>
      <c r="B1213" s="2" t="s">
        <v>713</v>
      </c>
      <c r="C1213" s="2" t="s">
        <v>1514</v>
      </c>
      <c r="D1213" s="34" t="s">
        <v>1566</v>
      </c>
      <c r="E1213" s="34" t="s">
        <v>1570</v>
      </c>
      <c r="F1213" s="34" t="s">
        <v>1571</v>
      </c>
      <c r="G1213" s="8" t="str">
        <f>IF(ISNA(VLOOKUP(B1213&amp;"|"&amp;C1213&amp;"|"&amp;D1213&amp;"|"&amp;E1213,QuestionTriggers!A:F,6,FALSE)),"","---&gt;")</f>
        <v/>
      </c>
      <c r="H1213" s="2"/>
      <c r="I1213" s="2"/>
      <c r="J1213" s="2" t="s">
        <v>1567</v>
      </c>
      <c r="K1213" s="2"/>
    </row>
    <row r="1214" spans="1:11" ht="26.4" hidden="1" x14ac:dyDescent="0.3">
      <c r="A1214" t="str">
        <f t="shared" si="18"/>
        <v>Skara Brae|Carlyle|BELI</v>
      </c>
      <c r="B1214" s="2" t="s">
        <v>713</v>
      </c>
      <c r="C1214" s="2" t="s">
        <v>1514</v>
      </c>
      <c r="D1214" s="34" t="s">
        <v>1589</v>
      </c>
      <c r="E1214" s="34" t="s">
        <v>1594</v>
      </c>
      <c r="F1214" s="34" t="s">
        <v>1595</v>
      </c>
      <c r="G1214" s="8" t="str">
        <f>IF(ISNA(VLOOKUP(B1214&amp;"|"&amp;C1214&amp;"|"&amp;D1214&amp;"|"&amp;E1214,QuestionTriggers!A:F,6,FALSE)),"","---&gt;")</f>
        <v>---&gt;</v>
      </c>
      <c r="H1214" s="2" t="s">
        <v>1590</v>
      </c>
      <c r="I1214" s="2" t="s">
        <v>1591</v>
      </c>
      <c r="J1214" s="2" t="s">
        <v>475</v>
      </c>
      <c r="K1214" s="2"/>
    </row>
    <row r="1215" spans="1:11" hidden="1" x14ac:dyDescent="0.3">
      <c r="A1215" t="str">
        <f t="shared" si="18"/>
        <v>Skara Brae|Carlyle|HEALTH</v>
      </c>
      <c r="B1215" s="2" t="s">
        <v>713</v>
      </c>
      <c r="C1215" s="2" t="s">
        <v>1514</v>
      </c>
      <c r="D1215" s="34" t="s">
        <v>1589</v>
      </c>
      <c r="E1215" s="34" t="s">
        <v>20</v>
      </c>
      <c r="F1215" s="34" t="s">
        <v>189</v>
      </c>
      <c r="G1215" s="8" t="str">
        <f>IF(ISNA(VLOOKUP(B1215&amp;"|"&amp;C1215&amp;"|"&amp;D1215&amp;"|"&amp;E1215,QuestionTriggers!A:F,6,FALSE)),"","---&gt;")</f>
        <v/>
      </c>
      <c r="H1215" s="2" t="s">
        <v>1590</v>
      </c>
      <c r="I1215" s="2" t="s">
        <v>1591</v>
      </c>
      <c r="J1215" s="2" t="s">
        <v>475</v>
      </c>
      <c r="K1215" s="2"/>
    </row>
    <row r="1216" spans="1:11" hidden="1" x14ac:dyDescent="0.3">
      <c r="A1216" t="str">
        <f t="shared" si="18"/>
        <v>Skara Brae|Carlyle|JOB</v>
      </c>
      <c r="B1216" s="2" t="s">
        <v>713</v>
      </c>
      <c r="C1216" s="2" t="s">
        <v>1514</v>
      </c>
      <c r="D1216" s="34" t="s">
        <v>1589</v>
      </c>
      <c r="E1216" s="34" t="s">
        <v>18</v>
      </c>
      <c r="F1216" s="34" t="s">
        <v>1592</v>
      </c>
      <c r="G1216" s="8" t="str">
        <f>IF(ISNA(VLOOKUP(B1216&amp;"|"&amp;C1216&amp;"|"&amp;D1216&amp;"|"&amp;E1216,QuestionTriggers!A:F,6,FALSE)),"","---&gt;")</f>
        <v/>
      </c>
      <c r="H1216" s="2" t="s">
        <v>1590</v>
      </c>
      <c r="I1216" s="2" t="s">
        <v>1591</v>
      </c>
      <c r="J1216" s="2" t="s">
        <v>475</v>
      </c>
      <c r="K1216" s="2"/>
    </row>
    <row r="1217" spans="1:11" hidden="1" x14ac:dyDescent="0.3">
      <c r="A1217" t="str">
        <f t="shared" si="18"/>
        <v>Skara Brae|Carlyle|LOOK</v>
      </c>
      <c r="B1217" s="2" t="s">
        <v>713</v>
      </c>
      <c r="C1217" s="2" t="s">
        <v>1514</v>
      </c>
      <c r="D1217" s="34" t="s">
        <v>1589</v>
      </c>
      <c r="E1217" s="34" t="s">
        <v>16</v>
      </c>
      <c r="F1217" s="34" t="s">
        <v>91</v>
      </c>
      <c r="G1217" s="8" t="str">
        <f>IF(ISNA(VLOOKUP(B1217&amp;"|"&amp;C1217&amp;"|"&amp;D1217&amp;"|"&amp;E1217,QuestionTriggers!A:F,6,FALSE)),"","---&gt;")</f>
        <v/>
      </c>
      <c r="H1217" s="2" t="s">
        <v>1590</v>
      </c>
      <c r="I1217" s="2" t="s">
        <v>1591</v>
      </c>
      <c r="J1217" s="2" t="s">
        <v>475</v>
      </c>
      <c r="K1217" s="2"/>
    </row>
    <row r="1218" spans="1:11" hidden="1" x14ac:dyDescent="0.3">
      <c r="A1218" t="str">
        <f t="shared" si="18"/>
        <v>Skara Brae|Carlyle|MAGI</v>
      </c>
      <c r="B1218" s="2" t="s">
        <v>713</v>
      </c>
      <c r="C1218" s="2" t="s">
        <v>1514</v>
      </c>
      <c r="D1218" s="34" t="s">
        <v>1589</v>
      </c>
      <c r="E1218" s="34" t="s">
        <v>912</v>
      </c>
      <c r="F1218" s="34" t="s">
        <v>1593</v>
      </c>
      <c r="G1218" s="8" t="str">
        <f>IF(ISNA(VLOOKUP(B1218&amp;"|"&amp;C1218&amp;"|"&amp;D1218&amp;"|"&amp;E1218,QuestionTriggers!A:F,6,FALSE)),"","---&gt;")</f>
        <v/>
      </c>
      <c r="H1218" s="2" t="s">
        <v>1590</v>
      </c>
      <c r="I1218" s="2" t="s">
        <v>1591</v>
      </c>
      <c r="J1218" s="2" t="s">
        <v>475</v>
      </c>
      <c r="K1218" s="2"/>
    </row>
    <row r="1219" spans="1:11" hidden="1" x14ac:dyDescent="0.3">
      <c r="A1219" t="str">
        <f t="shared" ref="A1219:A1282" si="19">C1219&amp;"|"&amp;D1219&amp;"|"&amp;E1219</f>
        <v>Skara Brae|Carlyle|NAME</v>
      </c>
      <c r="B1219" s="2" t="s">
        <v>713</v>
      </c>
      <c r="C1219" s="2" t="s">
        <v>1514</v>
      </c>
      <c r="D1219" s="34" t="s">
        <v>1589</v>
      </c>
      <c r="E1219" s="34" t="s">
        <v>12</v>
      </c>
      <c r="F1219" s="34" t="s">
        <v>1589</v>
      </c>
      <c r="G1219" s="8" t="str">
        <f>IF(ISNA(VLOOKUP(B1219&amp;"|"&amp;C1219&amp;"|"&amp;D1219&amp;"|"&amp;E1219,QuestionTriggers!A:F,6,FALSE)),"","---&gt;")</f>
        <v/>
      </c>
      <c r="H1219" s="2" t="s">
        <v>1590</v>
      </c>
      <c r="I1219" s="2" t="s">
        <v>1591</v>
      </c>
      <c r="J1219" s="2" t="s">
        <v>475</v>
      </c>
      <c r="K1219" s="2"/>
    </row>
    <row r="1220" spans="1:11" hidden="1" x14ac:dyDescent="0.3">
      <c r="A1220" t="str">
        <f t="shared" si="19"/>
        <v>Skara Brae|Dickens|HEALTH</v>
      </c>
      <c r="B1220" s="2" t="s">
        <v>713</v>
      </c>
      <c r="C1220" s="2" t="s">
        <v>1514</v>
      </c>
      <c r="D1220" s="34" t="s">
        <v>1596</v>
      </c>
      <c r="E1220" s="34" t="s">
        <v>20</v>
      </c>
      <c r="F1220" s="34" t="s">
        <v>946</v>
      </c>
      <c r="G1220" s="8" t="str">
        <f>IF(ISNA(VLOOKUP(B1220&amp;"|"&amp;C1220&amp;"|"&amp;D1220&amp;"|"&amp;E1220,QuestionTriggers!A:F,6,FALSE)),"","---&gt;")</f>
        <v/>
      </c>
      <c r="H1220" s="2" t="s">
        <v>1597</v>
      </c>
      <c r="I1220" s="2" t="s">
        <v>1598</v>
      </c>
      <c r="J1220" s="2" t="s">
        <v>475</v>
      </c>
      <c r="K1220" s="2"/>
    </row>
    <row r="1221" spans="1:11" hidden="1" x14ac:dyDescent="0.3">
      <c r="A1221" t="str">
        <f t="shared" si="19"/>
        <v>Skara Brae|Dickens|JOB</v>
      </c>
      <c r="B1221" s="2" t="s">
        <v>713</v>
      </c>
      <c r="C1221" s="2" t="s">
        <v>1514</v>
      </c>
      <c r="D1221" s="34" t="s">
        <v>1596</v>
      </c>
      <c r="E1221" s="34" t="s">
        <v>18</v>
      </c>
      <c r="F1221" s="34" t="s">
        <v>1600</v>
      </c>
      <c r="G1221" s="8" t="str">
        <f>IF(ISNA(VLOOKUP(B1221&amp;"|"&amp;C1221&amp;"|"&amp;D1221&amp;"|"&amp;E1221,QuestionTriggers!A:F,6,FALSE)),"","---&gt;")</f>
        <v/>
      </c>
      <c r="H1221" s="2" t="s">
        <v>1597</v>
      </c>
      <c r="I1221" s="2" t="s">
        <v>1598</v>
      </c>
      <c r="J1221" s="2" t="s">
        <v>475</v>
      </c>
      <c r="K1221" s="2"/>
    </row>
    <row r="1222" spans="1:11" hidden="1" x14ac:dyDescent="0.3">
      <c r="A1222" t="str">
        <f t="shared" si="19"/>
        <v>Skara Brae|Dickens|LOOK</v>
      </c>
      <c r="B1222" s="2" t="s">
        <v>713</v>
      </c>
      <c r="C1222" s="2" t="s">
        <v>1514</v>
      </c>
      <c r="D1222" s="34" t="s">
        <v>1596</v>
      </c>
      <c r="E1222" s="34" t="s">
        <v>16</v>
      </c>
      <c r="F1222" s="34" t="s">
        <v>1599</v>
      </c>
      <c r="G1222" s="8" t="str">
        <f>IF(ISNA(VLOOKUP(B1222&amp;"|"&amp;C1222&amp;"|"&amp;D1222&amp;"|"&amp;E1222,QuestionTriggers!A:F,6,FALSE)),"","---&gt;")</f>
        <v/>
      </c>
      <c r="H1222" s="2" t="s">
        <v>1597</v>
      </c>
      <c r="I1222" s="2" t="s">
        <v>1598</v>
      </c>
      <c r="J1222" s="2" t="s">
        <v>475</v>
      </c>
      <c r="K1222" s="2"/>
    </row>
    <row r="1223" spans="1:11" hidden="1" x14ac:dyDescent="0.3">
      <c r="A1223" t="str">
        <f t="shared" si="19"/>
        <v>Skara Brae|Dickens|NAME</v>
      </c>
      <c r="B1223" s="2" t="s">
        <v>713</v>
      </c>
      <c r="C1223" s="2" t="s">
        <v>1514</v>
      </c>
      <c r="D1223" s="34" t="s">
        <v>1596</v>
      </c>
      <c r="E1223" s="34" t="s">
        <v>12</v>
      </c>
      <c r="F1223" s="34" t="s">
        <v>1596</v>
      </c>
      <c r="G1223" s="8" t="str">
        <f>IF(ISNA(VLOOKUP(B1223&amp;"|"&amp;C1223&amp;"|"&amp;D1223&amp;"|"&amp;E1223,QuestionTriggers!A:F,6,FALSE)),"","---&gt;")</f>
        <v/>
      </c>
      <c r="H1223" s="2" t="s">
        <v>1597</v>
      </c>
      <c r="I1223" s="2" t="s">
        <v>1598</v>
      </c>
      <c r="J1223" s="2" t="s">
        <v>475</v>
      </c>
      <c r="K1223" s="2"/>
    </row>
    <row r="1224" spans="1:11" ht="26.4" hidden="1" x14ac:dyDescent="0.3">
      <c r="A1224" t="str">
        <f t="shared" si="19"/>
        <v>Skara Brae|Dickens|SPIR</v>
      </c>
      <c r="B1224" s="2" t="s">
        <v>713</v>
      </c>
      <c r="C1224" s="2" t="s">
        <v>1514</v>
      </c>
      <c r="D1224" s="34" t="s">
        <v>1596</v>
      </c>
      <c r="E1224" s="34" t="s">
        <v>251</v>
      </c>
      <c r="F1224" s="34" t="s">
        <v>1603</v>
      </c>
      <c r="G1224" s="8" t="str">
        <f>IF(ISNA(VLOOKUP(B1224&amp;"|"&amp;C1224&amp;"|"&amp;D1224&amp;"|"&amp;E1224,QuestionTriggers!A:F,6,FALSE)),"","---&gt;")</f>
        <v>---&gt;</v>
      </c>
      <c r="H1224" s="2" t="s">
        <v>1597</v>
      </c>
      <c r="I1224" s="2" t="s">
        <v>1598</v>
      </c>
      <c r="J1224" s="2" t="s">
        <v>475</v>
      </c>
      <c r="K1224" s="2"/>
    </row>
    <row r="1225" spans="1:11" hidden="1" x14ac:dyDescent="0.3">
      <c r="A1225" t="str">
        <f t="shared" si="19"/>
        <v>Skara Brae|Dickens|STOR</v>
      </c>
      <c r="B1225" s="2" t="s">
        <v>713</v>
      </c>
      <c r="C1225" s="2" t="s">
        <v>1514</v>
      </c>
      <c r="D1225" s="34" t="s">
        <v>1596</v>
      </c>
      <c r="E1225" s="34" t="s">
        <v>1601</v>
      </c>
      <c r="F1225" s="34" t="s">
        <v>1602</v>
      </c>
      <c r="G1225" s="8" t="str">
        <f>IF(ISNA(VLOOKUP(B1225&amp;"|"&amp;C1225&amp;"|"&amp;D1225&amp;"|"&amp;E1225,QuestionTriggers!A:F,6,FALSE)),"","---&gt;")</f>
        <v/>
      </c>
      <c r="H1225" s="2" t="s">
        <v>1597</v>
      </c>
      <c r="I1225" s="2" t="s">
        <v>1598</v>
      </c>
      <c r="J1225" s="2" t="s">
        <v>475</v>
      </c>
      <c r="K1225" s="2"/>
    </row>
    <row r="1226" spans="1:11" x14ac:dyDescent="0.3">
      <c r="A1226" t="str">
        <f t="shared" si="19"/>
        <v>Skara Brae|Emerson|HEALTH</v>
      </c>
      <c r="B1226" s="2" t="s">
        <v>713</v>
      </c>
      <c r="C1226" s="2" t="s">
        <v>1514</v>
      </c>
      <c r="D1226" s="2" t="s">
        <v>1521</v>
      </c>
      <c r="E1226" s="2" t="s">
        <v>20</v>
      </c>
      <c r="F1226" s="2" t="s">
        <v>1527</v>
      </c>
      <c r="G1226" s="8" t="str">
        <f>IF(ISNA(VLOOKUP(B1226&amp;"|"&amp;C1226&amp;"|"&amp;D1226&amp;"|"&amp;E1226,QuestionTriggers!A:F,6,FALSE)),"","---&gt;")</f>
        <v/>
      </c>
      <c r="H1226" s="2" t="s">
        <v>1522</v>
      </c>
      <c r="I1226" s="2" t="s">
        <v>1523</v>
      </c>
      <c r="J1226" s="2" t="s">
        <v>1524</v>
      </c>
      <c r="K1226" s="2"/>
    </row>
    <row r="1227" spans="1:11" x14ac:dyDescent="0.3">
      <c r="A1227" t="str">
        <f t="shared" si="19"/>
        <v>Skara Brae|Emerson|JOB</v>
      </c>
      <c r="B1227" s="2" t="s">
        <v>713</v>
      </c>
      <c r="C1227" s="2" t="s">
        <v>1514</v>
      </c>
      <c r="D1227" s="2" t="s">
        <v>1521</v>
      </c>
      <c r="E1227" s="2" t="s">
        <v>18</v>
      </c>
      <c r="F1227" s="2" t="s">
        <v>1526</v>
      </c>
      <c r="G1227" s="8" t="str">
        <f>IF(ISNA(VLOOKUP(B1227&amp;"|"&amp;C1227&amp;"|"&amp;D1227&amp;"|"&amp;E1227,QuestionTriggers!A:F,6,FALSE)),"","---&gt;")</f>
        <v/>
      </c>
      <c r="H1227" s="2" t="s">
        <v>1522</v>
      </c>
      <c r="I1227" s="2" t="s">
        <v>1523</v>
      </c>
      <c r="J1227" s="2" t="s">
        <v>1524</v>
      </c>
      <c r="K1227" s="2"/>
    </row>
    <row r="1228" spans="1:11" x14ac:dyDescent="0.3">
      <c r="A1228" t="str">
        <f t="shared" si="19"/>
        <v>Skara Brae|Emerson|LOOK</v>
      </c>
      <c r="B1228" s="2" t="s">
        <v>713</v>
      </c>
      <c r="C1228" s="2" t="s">
        <v>1514</v>
      </c>
      <c r="D1228" s="2" t="s">
        <v>1521</v>
      </c>
      <c r="E1228" s="2" t="s">
        <v>16</v>
      </c>
      <c r="F1228" s="2" t="s">
        <v>1525</v>
      </c>
      <c r="G1228" s="8" t="str">
        <f>IF(ISNA(VLOOKUP(B1228&amp;"|"&amp;C1228&amp;"|"&amp;D1228&amp;"|"&amp;E1228,QuestionTriggers!A:F,6,FALSE)),"","---&gt;")</f>
        <v/>
      </c>
      <c r="H1228" s="2" t="s">
        <v>1522</v>
      </c>
      <c r="I1228" s="2" t="s">
        <v>1523</v>
      </c>
      <c r="J1228" s="2" t="s">
        <v>1524</v>
      </c>
      <c r="K1228" s="2"/>
    </row>
    <row r="1229" spans="1:11" x14ac:dyDescent="0.3">
      <c r="A1229" t="str">
        <f t="shared" si="19"/>
        <v>Skara Brae|Emerson|NAME</v>
      </c>
      <c r="B1229" s="2" t="s">
        <v>713</v>
      </c>
      <c r="C1229" s="2" t="s">
        <v>1514</v>
      </c>
      <c r="D1229" s="2" t="s">
        <v>1521</v>
      </c>
      <c r="E1229" s="2" t="s">
        <v>12</v>
      </c>
      <c r="F1229" s="2" t="s">
        <v>1521</v>
      </c>
      <c r="G1229" s="8" t="str">
        <f>IF(ISNA(VLOOKUP(B1229&amp;"|"&amp;C1229&amp;"|"&amp;D1229&amp;"|"&amp;E1229,QuestionTriggers!A:F,6,FALSE)),"","---&gt;")</f>
        <v/>
      </c>
      <c r="H1229" s="2" t="s">
        <v>1522</v>
      </c>
      <c r="I1229" s="2" t="s">
        <v>1523</v>
      </c>
      <c r="J1229" s="2" t="s">
        <v>1524</v>
      </c>
      <c r="K1229" s="2"/>
    </row>
    <row r="1230" spans="1:11" x14ac:dyDescent="0.3">
      <c r="A1230" t="str">
        <f t="shared" si="19"/>
        <v>Skara Brae|Emerson|SPIR</v>
      </c>
      <c r="B1230" s="2" t="s">
        <v>713</v>
      </c>
      <c r="C1230" s="2" t="s">
        <v>1514</v>
      </c>
      <c r="D1230" s="2" t="s">
        <v>1521</v>
      </c>
      <c r="E1230" s="2" t="s">
        <v>251</v>
      </c>
      <c r="F1230" s="2" t="s">
        <v>1528</v>
      </c>
      <c r="G1230" s="8" t="str">
        <f>IF(ISNA(VLOOKUP(B1230&amp;"|"&amp;C1230&amp;"|"&amp;D1230&amp;"|"&amp;E1230,QuestionTriggers!A:F,6,FALSE)),"","---&gt;")</f>
        <v/>
      </c>
      <c r="H1230" s="2" t="s">
        <v>1522</v>
      </c>
      <c r="I1230" s="2" t="s">
        <v>1523</v>
      </c>
      <c r="J1230" s="2" t="s">
        <v>1524</v>
      </c>
      <c r="K1230" s="2"/>
    </row>
    <row r="1231" spans="1:11" x14ac:dyDescent="0.3">
      <c r="A1231" t="str">
        <f t="shared" si="19"/>
        <v>Skara Brae|Emerson|WOUN</v>
      </c>
      <c r="B1231" s="2" t="s">
        <v>713</v>
      </c>
      <c r="C1231" s="2" t="s">
        <v>1514</v>
      </c>
      <c r="D1231" s="2" t="s">
        <v>1521</v>
      </c>
      <c r="E1231" s="2" t="s">
        <v>161</v>
      </c>
      <c r="F1231" s="2" t="s">
        <v>1529</v>
      </c>
      <c r="G1231" s="8" t="str">
        <f>IF(ISNA(VLOOKUP(B1231&amp;"|"&amp;C1231&amp;"|"&amp;D1231&amp;"|"&amp;E1231,QuestionTriggers!A:F,6,FALSE)),"","---&gt;")</f>
        <v>---&gt;</v>
      </c>
      <c r="H1231" s="2" t="s">
        <v>1522</v>
      </c>
      <c r="I1231" s="2" t="s">
        <v>1523</v>
      </c>
      <c r="J1231" s="2" t="s">
        <v>1524</v>
      </c>
      <c r="K1231" s="2"/>
    </row>
    <row r="1232" spans="1:11" ht="39.6" x14ac:dyDescent="0.3">
      <c r="A1232" t="str">
        <f t="shared" si="19"/>
        <v>Skara Brae|Granted|FOOD</v>
      </c>
      <c r="B1232" s="2" t="s">
        <v>713</v>
      </c>
      <c r="C1232" s="2" t="s">
        <v>1514</v>
      </c>
      <c r="D1232" s="2" t="s">
        <v>1548</v>
      </c>
      <c r="E1232" s="2" t="s">
        <v>126</v>
      </c>
      <c r="F1232" s="2" t="s">
        <v>1555</v>
      </c>
      <c r="G1232" s="8" t="str">
        <f>IF(ISNA(VLOOKUP(B1232&amp;"|"&amp;C1232&amp;"|"&amp;D1232&amp;"|"&amp;E1232,QuestionTriggers!A:F,6,FALSE)),"","---&gt;")</f>
        <v/>
      </c>
      <c r="H1232" s="2" t="s">
        <v>1549</v>
      </c>
      <c r="I1232" s="2" t="s">
        <v>1550</v>
      </c>
      <c r="J1232" s="2" t="s">
        <v>1551</v>
      </c>
      <c r="K1232" s="2"/>
    </row>
    <row r="1233" spans="1:11" ht="39.6" x14ac:dyDescent="0.3">
      <c r="A1233" t="str">
        <f t="shared" si="19"/>
        <v>Skara Brae|Granted|HEALTH</v>
      </c>
      <c r="B1233" s="2" t="s">
        <v>713</v>
      </c>
      <c r="C1233" s="2" t="s">
        <v>1514</v>
      </c>
      <c r="D1233" s="2" t="s">
        <v>1548</v>
      </c>
      <c r="E1233" s="2" t="s">
        <v>20</v>
      </c>
      <c r="F1233" s="2" t="s">
        <v>1554</v>
      </c>
      <c r="G1233" s="8" t="str">
        <f>IF(ISNA(VLOOKUP(B1233&amp;"|"&amp;C1233&amp;"|"&amp;D1233&amp;"|"&amp;E1233,QuestionTriggers!A:F,6,FALSE)),"","---&gt;")</f>
        <v/>
      </c>
      <c r="H1233" s="2" t="s">
        <v>1549</v>
      </c>
      <c r="I1233" s="2" t="s">
        <v>1550</v>
      </c>
      <c r="J1233" s="2" t="s">
        <v>1551</v>
      </c>
      <c r="K1233" s="2"/>
    </row>
    <row r="1234" spans="1:11" ht="39.6" x14ac:dyDescent="0.3">
      <c r="A1234" t="str">
        <f t="shared" si="19"/>
        <v>Skara Brae|Granted|JOB</v>
      </c>
      <c r="B1234" s="2" t="s">
        <v>713</v>
      </c>
      <c r="C1234" s="2" t="s">
        <v>1514</v>
      </c>
      <c r="D1234" s="2" t="s">
        <v>1548</v>
      </c>
      <c r="E1234" s="2" t="s">
        <v>18</v>
      </c>
      <c r="F1234" s="2" t="s">
        <v>1553</v>
      </c>
      <c r="G1234" s="8" t="str">
        <f>IF(ISNA(VLOOKUP(B1234&amp;"|"&amp;C1234&amp;"|"&amp;D1234&amp;"|"&amp;E1234,QuestionTriggers!A:F,6,FALSE)),"","---&gt;")</f>
        <v/>
      </c>
      <c r="H1234" s="2" t="s">
        <v>1549</v>
      </c>
      <c r="I1234" s="2" t="s">
        <v>1550</v>
      </c>
      <c r="J1234" s="2" t="s">
        <v>1551</v>
      </c>
      <c r="K1234" s="2"/>
    </row>
    <row r="1235" spans="1:11" ht="39.6" x14ac:dyDescent="0.3">
      <c r="A1235" t="str">
        <f t="shared" si="19"/>
        <v>Skara Brae|Granted|LOOK</v>
      </c>
      <c r="B1235" s="2" t="s">
        <v>713</v>
      </c>
      <c r="C1235" s="2" t="s">
        <v>1514</v>
      </c>
      <c r="D1235" s="2" t="s">
        <v>1548</v>
      </c>
      <c r="E1235" s="2" t="s">
        <v>16</v>
      </c>
      <c r="F1235" s="2" t="s">
        <v>1552</v>
      </c>
      <c r="G1235" s="8" t="str">
        <f>IF(ISNA(VLOOKUP(B1235&amp;"|"&amp;C1235&amp;"|"&amp;D1235&amp;"|"&amp;E1235,QuestionTriggers!A:F,6,FALSE)),"","---&gt;")</f>
        <v/>
      </c>
      <c r="H1235" s="2" t="s">
        <v>1549</v>
      </c>
      <c r="I1235" s="2" t="s">
        <v>1550</v>
      </c>
      <c r="J1235" s="2" t="s">
        <v>1551</v>
      </c>
      <c r="K1235" s="2"/>
    </row>
    <row r="1236" spans="1:11" ht="39.6" x14ac:dyDescent="0.3">
      <c r="A1236" t="str">
        <f t="shared" si="19"/>
        <v>Skara Brae|Granted|MONE</v>
      </c>
      <c r="B1236" s="2" t="s">
        <v>713</v>
      </c>
      <c r="C1236" s="2" t="s">
        <v>1514</v>
      </c>
      <c r="D1236" s="2" t="s">
        <v>1548</v>
      </c>
      <c r="E1236" s="2" t="s">
        <v>1556</v>
      </c>
      <c r="F1236" s="2" t="s">
        <v>1557</v>
      </c>
      <c r="G1236" s="8" t="str">
        <f>IF(ISNA(VLOOKUP(B1236&amp;"|"&amp;C1236&amp;"|"&amp;D1236&amp;"|"&amp;E1236,QuestionTriggers!A:F,6,FALSE)),"","---&gt;")</f>
        <v>---&gt;</v>
      </c>
      <c r="H1236" s="2" t="s">
        <v>1549</v>
      </c>
      <c r="I1236" s="2" t="s">
        <v>1550</v>
      </c>
      <c r="J1236" s="2" t="s">
        <v>1551</v>
      </c>
      <c r="K1236" s="2"/>
    </row>
    <row r="1237" spans="1:11" ht="39.6" x14ac:dyDescent="0.3">
      <c r="A1237" t="str">
        <f t="shared" si="19"/>
        <v>Skara Brae|Granted|NAME</v>
      </c>
      <c r="B1237" s="2" t="s">
        <v>713</v>
      </c>
      <c r="C1237" s="2" t="s">
        <v>1514</v>
      </c>
      <c r="D1237" s="2" t="s">
        <v>1548</v>
      </c>
      <c r="E1237" s="2" t="s">
        <v>12</v>
      </c>
      <c r="F1237" s="2" t="s">
        <v>1548</v>
      </c>
      <c r="G1237" s="8" t="str">
        <f>IF(ISNA(VLOOKUP(B1237&amp;"|"&amp;C1237&amp;"|"&amp;D1237&amp;"|"&amp;E1237,QuestionTriggers!A:F,6,FALSE)),"","---&gt;")</f>
        <v/>
      </c>
      <c r="H1237" s="2" t="s">
        <v>1549</v>
      </c>
      <c r="I1237" s="2" t="s">
        <v>1550</v>
      </c>
      <c r="J1237" s="2" t="s">
        <v>1551</v>
      </c>
      <c r="K1237" s="2"/>
    </row>
    <row r="1238" spans="1:11" x14ac:dyDescent="0.3">
      <c r="A1238" t="str">
        <f t="shared" si="19"/>
        <v>Skara Brae|Isaac|HAUN</v>
      </c>
      <c r="B1238" s="2" t="s">
        <v>713</v>
      </c>
      <c r="C1238" s="2" t="s">
        <v>1514</v>
      </c>
      <c r="D1238" s="2" t="s">
        <v>1633</v>
      </c>
      <c r="E1238" s="2" t="s">
        <v>1638</v>
      </c>
      <c r="F1238" s="2" t="s">
        <v>1639</v>
      </c>
      <c r="G1238" s="8" t="str">
        <f>IF(ISNA(VLOOKUP(B1238&amp;"|"&amp;C1238&amp;"|"&amp;D1238&amp;"|"&amp;E1238,QuestionTriggers!A:F,6,FALSE)),"","---&gt;")</f>
        <v/>
      </c>
      <c r="H1238" s="2" t="s">
        <v>298</v>
      </c>
      <c r="I1238" s="2" t="s">
        <v>1634</v>
      </c>
      <c r="J1238" s="2" t="s">
        <v>197</v>
      </c>
      <c r="K1238" s="2"/>
    </row>
    <row r="1239" spans="1:11" x14ac:dyDescent="0.3">
      <c r="A1239" t="str">
        <f t="shared" si="19"/>
        <v>Skara Brae|Isaac|HEALTH</v>
      </c>
      <c r="B1239" s="2" t="s">
        <v>713</v>
      </c>
      <c r="C1239" s="2" t="s">
        <v>1514</v>
      </c>
      <c r="D1239" s="2" t="s">
        <v>1633</v>
      </c>
      <c r="E1239" s="2" t="s">
        <v>20</v>
      </c>
      <c r="F1239" s="2" t="s">
        <v>1637</v>
      </c>
      <c r="G1239" s="8" t="str">
        <f>IF(ISNA(VLOOKUP(B1239&amp;"|"&amp;C1239&amp;"|"&amp;D1239&amp;"|"&amp;E1239,QuestionTriggers!A:F,6,FALSE)),"","---&gt;")</f>
        <v/>
      </c>
      <c r="H1239" s="2" t="s">
        <v>298</v>
      </c>
      <c r="I1239" s="2" t="s">
        <v>1634</v>
      </c>
      <c r="J1239" s="2" t="s">
        <v>197</v>
      </c>
      <c r="K1239" s="2"/>
    </row>
    <row r="1240" spans="1:11" x14ac:dyDescent="0.3">
      <c r="A1240" t="str">
        <f t="shared" si="19"/>
        <v>Skara Brae|Isaac|JOB</v>
      </c>
      <c r="B1240" s="2" t="s">
        <v>713</v>
      </c>
      <c r="C1240" s="2" t="s">
        <v>1514</v>
      </c>
      <c r="D1240" s="2" t="s">
        <v>1633</v>
      </c>
      <c r="E1240" s="2" t="s">
        <v>18</v>
      </c>
      <c r="F1240" s="2" t="s">
        <v>1636</v>
      </c>
      <c r="G1240" s="8" t="str">
        <f>IF(ISNA(VLOOKUP(B1240&amp;"|"&amp;C1240&amp;"|"&amp;D1240&amp;"|"&amp;E1240,QuestionTriggers!A:F,6,FALSE)),"","---&gt;")</f>
        <v/>
      </c>
      <c r="H1240" s="2" t="s">
        <v>298</v>
      </c>
      <c r="I1240" s="2" t="s">
        <v>1634</v>
      </c>
      <c r="J1240" s="2" t="s">
        <v>197</v>
      </c>
      <c r="K1240" s="2"/>
    </row>
    <row r="1241" spans="1:11" x14ac:dyDescent="0.3">
      <c r="A1241" t="str">
        <f t="shared" si="19"/>
        <v>Skara Brae|Isaac|LOOK</v>
      </c>
      <c r="B1241" s="2" t="s">
        <v>713</v>
      </c>
      <c r="C1241" s="2" t="s">
        <v>1514</v>
      </c>
      <c r="D1241" s="2" t="s">
        <v>1633</v>
      </c>
      <c r="E1241" s="2" t="s">
        <v>16</v>
      </c>
      <c r="F1241" s="2" t="s">
        <v>1635</v>
      </c>
      <c r="G1241" s="8" t="str">
        <f>IF(ISNA(VLOOKUP(B1241&amp;"|"&amp;C1241&amp;"|"&amp;D1241&amp;"|"&amp;E1241,QuestionTriggers!A:F,6,FALSE)),"","---&gt;")</f>
        <v/>
      </c>
      <c r="H1241" s="2" t="s">
        <v>298</v>
      </c>
      <c r="I1241" s="2" t="s">
        <v>1634</v>
      </c>
      <c r="J1241" s="2" t="s">
        <v>197</v>
      </c>
      <c r="K1241" s="2"/>
    </row>
    <row r="1242" spans="1:11" x14ac:dyDescent="0.3">
      <c r="A1242" t="str">
        <f t="shared" si="19"/>
        <v>Skara Brae|Isaac|NAME</v>
      </c>
      <c r="B1242" s="2" t="s">
        <v>713</v>
      </c>
      <c r="C1242" s="2" t="s">
        <v>1514</v>
      </c>
      <c r="D1242" s="2" t="s">
        <v>1633</v>
      </c>
      <c r="E1242" s="2" t="s">
        <v>12</v>
      </c>
      <c r="F1242" s="2" t="s">
        <v>1633</v>
      </c>
      <c r="G1242" s="8" t="str">
        <f>IF(ISNA(VLOOKUP(B1242&amp;"|"&amp;C1242&amp;"|"&amp;D1242&amp;"|"&amp;E1242,QuestionTriggers!A:F,6,FALSE)),"","---&gt;")</f>
        <v/>
      </c>
      <c r="H1242" s="2" t="s">
        <v>298</v>
      </c>
      <c r="I1242" s="2" t="s">
        <v>1634</v>
      </c>
      <c r="J1242" s="2" t="s">
        <v>197</v>
      </c>
      <c r="K1242" s="2"/>
    </row>
    <row r="1243" spans="1:11" ht="26.4" x14ac:dyDescent="0.3">
      <c r="A1243" t="str">
        <f t="shared" si="19"/>
        <v>Skara Brae|Isaac|STON</v>
      </c>
      <c r="B1243" s="2" t="s">
        <v>713</v>
      </c>
      <c r="C1243" s="2" t="s">
        <v>1514</v>
      </c>
      <c r="D1243" s="2" t="s">
        <v>1633</v>
      </c>
      <c r="E1243" s="2" t="s">
        <v>854</v>
      </c>
      <c r="F1243" s="2" t="s">
        <v>1640</v>
      </c>
      <c r="G1243" s="8" t="str">
        <f>IF(ISNA(VLOOKUP(B1243&amp;"|"&amp;C1243&amp;"|"&amp;D1243&amp;"|"&amp;E1243,QuestionTriggers!A:F,6,FALSE)),"","---&gt;")</f>
        <v>---&gt;</v>
      </c>
      <c r="H1243" s="2" t="s">
        <v>298</v>
      </c>
      <c r="I1243" s="2" t="s">
        <v>1634</v>
      </c>
      <c r="J1243" s="2" t="s">
        <v>197</v>
      </c>
      <c r="K1243" s="2"/>
    </row>
    <row r="1244" spans="1:11" hidden="1" x14ac:dyDescent="0.3">
      <c r="A1244" t="str">
        <f t="shared" si="19"/>
        <v>Skara Brae|Michaelangelo|HEALTH</v>
      </c>
      <c r="B1244" s="2" t="s">
        <v>713</v>
      </c>
      <c r="C1244" s="2" t="s">
        <v>1514</v>
      </c>
      <c r="D1244" s="34" t="s">
        <v>1572</v>
      </c>
      <c r="E1244" s="34" t="s">
        <v>20</v>
      </c>
      <c r="F1244" s="34" t="s">
        <v>93</v>
      </c>
      <c r="G1244" s="8" t="str">
        <f>IF(ISNA(VLOOKUP(B1244&amp;"|"&amp;C1244&amp;"|"&amp;D1244&amp;"|"&amp;E1244,QuestionTriggers!A:F,6,FALSE)),"","---&gt;")</f>
        <v/>
      </c>
      <c r="H1244" s="2" t="s">
        <v>1573</v>
      </c>
      <c r="I1244" s="2" t="s">
        <v>1574</v>
      </c>
      <c r="J1244" s="2" t="s">
        <v>1575</v>
      </c>
      <c r="K1244" s="2"/>
    </row>
    <row r="1245" spans="1:11" hidden="1" x14ac:dyDescent="0.3">
      <c r="A1245" t="str">
        <f t="shared" si="19"/>
        <v>Skara Brae|Michaelangelo|JOB</v>
      </c>
      <c r="B1245" s="2" t="s">
        <v>713</v>
      </c>
      <c r="C1245" s="2" t="s">
        <v>1514</v>
      </c>
      <c r="D1245" s="34" t="s">
        <v>1572</v>
      </c>
      <c r="E1245" s="34" t="s">
        <v>18</v>
      </c>
      <c r="F1245" s="34" t="s">
        <v>1577</v>
      </c>
      <c r="G1245" s="8" t="str">
        <f>IF(ISNA(VLOOKUP(B1245&amp;"|"&amp;C1245&amp;"|"&amp;D1245&amp;"|"&amp;E1245,QuestionTriggers!A:F,6,FALSE)),"","---&gt;")</f>
        <v/>
      </c>
      <c r="H1245" s="2" t="s">
        <v>1573</v>
      </c>
      <c r="I1245" s="2" t="s">
        <v>1574</v>
      </c>
      <c r="J1245" s="2" t="s">
        <v>1575</v>
      </c>
      <c r="K1245" s="2"/>
    </row>
    <row r="1246" spans="1:11" hidden="1" x14ac:dyDescent="0.3">
      <c r="A1246" t="str">
        <f t="shared" si="19"/>
        <v>Skara Brae|Michaelangelo|JOUR</v>
      </c>
      <c r="B1246" s="2" t="s">
        <v>713</v>
      </c>
      <c r="C1246" s="2" t="s">
        <v>1514</v>
      </c>
      <c r="D1246" s="34" t="s">
        <v>1572</v>
      </c>
      <c r="E1246" s="34" t="s">
        <v>1563</v>
      </c>
      <c r="F1246" s="34" t="s">
        <v>1580</v>
      </c>
      <c r="G1246" s="8" t="str">
        <f>IF(ISNA(VLOOKUP(B1246&amp;"|"&amp;C1246&amp;"|"&amp;D1246&amp;"|"&amp;E1246,QuestionTriggers!A:F,6,FALSE)),"","---&gt;")</f>
        <v>---&gt;</v>
      </c>
      <c r="H1246" s="2" t="s">
        <v>1573</v>
      </c>
      <c r="I1246" s="2" t="s">
        <v>1574</v>
      </c>
      <c r="J1246" s="2" t="s">
        <v>1575</v>
      </c>
      <c r="K1246" s="2"/>
    </row>
    <row r="1247" spans="1:11" hidden="1" x14ac:dyDescent="0.3">
      <c r="A1247" t="str">
        <f t="shared" si="19"/>
        <v>Skara Brae|Michaelangelo|LOOK</v>
      </c>
      <c r="B1247" s="2" t="s">
        <v>713</v>
      </c>
      <c r="C1247" s="2" t="s">
        <v>1514</v>
      </c>
      <c r="D1247" s="34" t="s">
        <v>1572</v>
      </c>
      <c r="E1247" s="34" t="s">
        <v>16</v>
      </c>
      <c r="F1247" s="34" t="s">
        <v>1576</v>
      </c>
      <c r="G1247" s="8" t="str">
        <f>IF(ISNA(VLOOKUP(B1247&amp;"|"&amp;C1247&amp;"|"&amp;D1247&amp;"|"&amp;E1247,QuestionTriggers!A:F,6,FALSE)),"","---&gt;")</f>
        <v/>
      </c>
      <c r="H1247" s="2" t="s">
        <v>1573</v>
      </c>
      <c r="I1247" s="2" t="s">
        <v>1574</v>
      </c>
      <c r="J1247" s="2" t="s">
        <v>1575</v>
      </c>
      <c r="K1247" s="2"/>
    </row>
    <row r="1248" spans="1:11" hidden="1" x14ac:dyDescent="0.3">
      <c r="A1248" t="str">
        <f t="shared" si="19"/>
        <v>Skara Brae|Michaelangelo|NAME</v>
      </c>
      <c r="B1248" s="2" t="s">
        <v>713</v>
      </c>
      <c r="C1248" s="2" t="s">
        <v>1514</v>
      </c>
      <c r="D1248" s="34" t="s">
        <v>1572</v>
      </c>
      <c r="E1248" s="34" t="s">
        <v>12</v>
      </c>
      <c r="F1248" s="34" t="s">
        <v>1572</v>
      </c>
      <c r="G1248" s="8" t="str">
        <f>IF(ISNA(VLOOKUP(B1248&amp;"|"&amp;C1248&amp;"|"&amp;D1248&amp;"|"&amp;E1248,QuestionTriggers!A:F,6,FALSE)),"","---&gt;")</f>
        <v/>
      </c>
      <c r="H1248" s="2" t="s">
        <v>1573</v>
      </c>
      <c r="I1248" s="2" t="s">
        <v>1574</v>
      </c>
      <c r="J1248" s="2" t="s">
        <v>1575</v>
      </c>
      <c r="K1248" s="2"/>
    </row>
    <row r="1249" spans="1:11" hidden="1" x14ac:dyDescent="0.3">
      <c r="A1249" t="str">
        <f t="shared" si="19"/>
        <v>Skara Brae|Michaelangelo|PATH</v>
      </c>
      <c r="B1249" s="2" t="s">
        <v>713</v>
      </c>
      <c r="C1249" s="2" t="s">
        <v>1514</v>
      </c>
      <c r="D1249" s="34" t="s">
        <v>1572</v>
      </c>
      <c r="E1249" s="34" t="s">
        <v>1578</v>
      </c>
      <c r="F1249" s="34" t="s">
        <v>1579</v>
      </c>
      <c r="G1249" s="8" t="str">
        <f>IF(ISNA(VLOOKUP(B1249&amp;"|"&amp;C1249&amp;"|"&amp;D1249&amp;"|"&amp;E1249,QuestionTriggers!A:F,6,FALSE)),"","---&gt;")</f>
        <v/>
      </c>
      <c r="H1249" s="2" t="s">
        <v>1573</v>
      </c>
      <c r="I1249" s="2" t="s">
        <v>1574</v>
      </c>
      <c r="J1249" s="2" t="s">
        <v>1575</v>
      </c>
      <c r="K1249" s="2"/>
    </row>
    <row r="1250" spans="1:11" hidden="1" x14ac:dyDescent="0.3">
      <c r="A1250" t="str">
        <f t="shared" si="19"/>
        <v>Skara Brae|Mitre|HEALTH</v>
      </c>
      <c r="B1250" s="2" t="s">
        <v>713</v>
      </c>
      <c r="C1250" s="2" t="s">
        <v>1514</v>
      </c>
      <c r="D1250" s="34" t="s">
        <v>1558</v>
      </c>
      <c r="E1250" s="34" t="s">
        <v>20</v>
      </c>
      <c r="F1250" s="34" t="s">
        <v>1369</v>
      </c>
      <c r="G1250" s="8" t="str">
        <f>IF(ISNA(VLOOKUP(B1250&amp;"|"&amp;C1250&amp;"|"&amp;D1250&amp;"|"&amp;E1250,QuestionTriggers!A:F,6,FALSE)),"","---&gt;")</f>
        <v/>
      </c>
      <c r="H1250" s="2" t="s">
        <v>1559</v>
      </c>
      <c r="I1250" s="2" t="s">
        <v>1560</v>
      </c>
      <c r="J1250" s="2" t="s">
        <v>881</v>
      </c>
      <c r="K1250" s="2"/>
    </row>
    <row r="1251" spans="1:11" hidden="1" x14ac:dyDescent="0.3">
      <c r="A1251" t="str">
        <f t="shared" si="19"/>
        <v>Skara Brae|Mitre|JOB</v>
      </c>
      <c r="B1251" s="2" t="s">
        <v>713</v>
      </c>
      <c r="C1251" s="2" t="s">
        <v>1514</v>
      </c>
      <c r="D1251" s="34" t="s">
        <v>1558</v>
      </c>
      <c r="E1251" s="34" t="s">
        <v>18</v>
      </c>
      <c r="F1251" s="34" t="s">
        <v>1562</v>
      </c>
      <c r="G1251" s="8" t="str">
        <f>IF(ISNA(VLOOKUP(B1251&amp;"|"&amp;C1251&amp;"|"&amp;D1251&amp;"|"&amp;E1251,QuestionTriggers!A:F,6,FALSE)),"","---&gt;")</f>
        <v/>
      </c>
      <c r="H1251" s="2" t="s">
        <v>1559</v>
      </c>
      <c r="I1251" s="2" t="s">
        <v>1560</v>
      </c>
      <c r="J1251" s="2" t="s">
        <v>881</v>
      </c>
      <c r="K1251" s="2"/>
    </row>
    <row r="1252" spans="1:11" hidden="1" x14ac:dyDescent="0.3">
      <c r="A1252" t="str">
        <f t="shared" si="19"/>
        <v>Skara Brae|Mitre|JOUR</v>
      </c>
      <c r="B1252" s="2" t="s">
        <v>713</v>
      </c>
      <c r="C1252" s="2" t="s">
        <v>1514</v>
      </c>
      <c r="D1252" s="34" t="s">
        <v>1558</v>
      </c>
      <c r="E1252" s="34" t="s">
        <v>1563</v>
      </c>
      <c r="F1252" s="34" t="s">
        <v>1564</v>
      </c>
      <c r="G1252" s="8" t="str">
        <f>IF(ISNA(VLOOKUP(B1252&amp;"|"&amp;C1252&amp;"|"&amp;D1252&amp;"|"&amp;E1252,QuestionTriggers!A:F,6,FALSE)),"","---&gt;")</f>
        <v/>
      </c>
      <c r="H1252" s="2" t="s">
        <v>1559</v>
      </c>
      <c r="I1252" s="2" t="s">
        <v>1560</v>
      </c>
      <c r="J1252" s="2" t="s">
        <v>881</v>
      </c>
      <c r="K1252" s="2"/>
    </row>
    <row r="1253" spans="1:11" hidden="1" x14ac:dyDescent="0.3">
      <c r="A1253" t="str">
        <f t="shared" si="19"/>
        <v>Skara Brae|Mitre|LOOK</v>
      </c>
      <c r="B1253" s="2" t="s">
        <v>713</v>
      </c>
      <c r="C1253" s="2" t="s">
        <v>1514</v>
      </c>
      <c r="D1253" s="34" t="s">
        <v>1558</v>
      </c>
      <c r="E1253" s="34" t="s">
        <v>16</v>
      </c>
      <c r="F1253" s="34" t="s">
        <v>1561</v>
      </c>
      <c r="G1253" s="8" t="str">
        <f>IF(ISNA(VLOOKUP(B1253&amp;"|"&amp;C1253&amp;"|"&amp;D1253&amp;"|"&amp;E1253,QuestionTriggers!A:F,6,FALSE)),"","---&gt;")</f>
        <v/>
      </c>
      <c r="H1253" s="2" t="s">
        <v>1559</v>
      </c>
      <c r="I1253" s="2" t="s">
        <v>1560</v>
      </c>
      <c r="J1253" s="2" t="s">
        <v>881</v>
      </c>
      <c r="K1253" s="2"/>
    </row>
    <row r="1254" spans="1:11" hidden="1" x14ac:dyDescent="0.3">
      <c r="A1254" t="str">
        <f t="shared" si="19"/>
        <v>Skara Brae|Mitre|NAME</v>
      </c>
      <c r="B1254" s="2" t="s">
        <v>713</v>
      </c>
      <c r="C1254" s="2" t="s">
        <v>1514</v>
      </c>
      <c r="D1254" s="34" t="s">
        <v>1558</v>
      </c>
      <c r="E1254" s="34" t="s">
        <v>12</v>
      </c>
      <c r="F1254" s="34" t="s">
        <v>1558</v>
      </c>
      <c r="G1254" s="8" t="str">
        <f>IF(ISNA(VLOOKUP(B1254&amp;"|"&amp;C1254&amp;"|"&amp;D1254&amp;"|"&amp;E1254,QuestionTriggers!A:F,6,FALSE)),"","---&gt;")</f>
        <v/>
      </c>
      <c r="H1254" s="2" t="s">
        <v>1559</v>
      </c>
      <c r="I1254" s="2" t="s">
        <v>1560</v>
      </c>
      <c r="J1254" s="2" t="s">
        <v>881</v>
      </c>
      <c r="K1254" s="2"/>
    </row>
    <row r="1255" spans="1:11" hidden="1" x14ac:dyDescent="0.3">
      <c r="A1255" t="str">
        <f t="shared" si="19"/>
        <v>Skara Brae|Mitre|STON</v>
      </c>
      <c r="B1255" s="2" t="s">
        <v>713</v>
      </c>
      <c r="C1255" s="2" t="s">
        <v>1514</v>
      </c>
      <c r="D1255" s="34" t="s">
        <v>1558</v>
      </c>
      <c r="E1255" s="34" t="s">
        <v>854</v>
      </c>
      <c r="F1255" s="34" t="s">
        <v>1565</v>
      </c>
      <c r="G1255" s="8" t="str">
        <f>IF(ISNA(VLOOKUP(B1255&amp;"|"&amp;C1255&amp;"|"&amp;D1255&amp;"|"&amp;E1255,QuestionTriggers!A:F,6,FALSE)),"","---&gt;")</f>
        <v>---&gt;</v>
      </c>
      <c r="H1255" s="2" t="s">
        <v>1559</v>
      </c>
      <c r="I1255" s="2" t="s">
        <v>1560</v>
      </c>
      <c r="J1255" s="2" t="s">
        <v>881</v>
      </c>
      <c r="K1255" s="2"/>
    </row>
    <row r="1256" spans="1:11" ht="26.4" x14ac:dyDescent="0.3">
      <c r="A1256" t="str">
        <f t="shared" si="19"/>
        <v>Skara Brae|Presto|HEALTH</v>
      </c>
      <c r="B1256" s="2" t="s">
        <v>713</v>
      </c>
      <c r="C1256" s="2" t="s">
        <v>1514</v>
      </c>
      <c r="D1256" s="2" t="s">
        <v>1539</v>
      </c>
      <c r="E1256" s="2" t="s">
        <v>20</v>
      </c>
      <c r="F1256" s="2" t="s">
        <v>1545</v>
      </c>
      <c r="G1256" s="8" t="str">
        <f>IF(ISNA(VLOOKUP(B1256&amp;"|"&amp;C1256&amp;"|"&amp;D1256&amp;"|"&amp;E1256,QuestionTriggers!A:F,6,FALSE)),"","---&gt;")</f>
        <v/>
      </c>
      <c r="H1256" s="2" t="s">
        <v>1540</v>
      </c>
      <c r="I1256" s="2" t="s">
        <v>1541</v>
      </c>
      <c r="J1256" s="2" t="s">
        <v>1542</v>
      </c>
      <c r="K1256" s="2"/>
    </row>
    <row r="1257" spans="1:11" ht="26.4" x14ac:dyDescent="0.3">
      <c r="A1257" t="str">
        <f t="shared" si="19"/>
        <v>Skara Brae|Presto|JOB</v>
      </c>
      <c r="B1257" s="2" t="s">
        <v>713</v>
      </c>
      <c r="C1257" s="2" t="s">
        <v>1514</v>
      </c>
      <c r="D1257" s="2" t="s">
        <v>1539</v>
      </c>
      <c r="E1257" s="2" t="s">
        <v>18</v>
      </c>
      <c r="F1257" s="2" t="s">
        <v>1544</v>
      </c>
      <c r="G1257" s="8" t="str">
        <f>IF(ISNA(VLOOKUP(B1257&amp;"|"&amp;C1257&amp;"|"&amp;D1257&amp;"|"&amp;E1257,QuestionTriggers!A:F,6,FALSE)),"","---&gt;")</f>
        <v/>
      </c>
      <c r="H1257" s="2" t="s">
        <v>1540</v>
      </c>
      <c r="I1257" s="2" t="s">
        <v>1541</v>
      </c>
      <c r="J1257" s="2" t="s">
        <v>1542</v>
      </c>
      <c r="K1257" s="2"/>
    </row>
    <row r="1258" spans="1:11" ht="26.4" x14ac:dyDescent="0.3">
      <c r="A1258" t="str">
        <f t="shared" si="19"/>
        <v>Skara Brae|Presto|LOOK</v>
      </c>
      <c r="B1258" s="2" t="s">
        <v>713</v>
      </c>
      <c r="C1258" s="2" t="s">
        <v>1514</v>
      </c>
      <c r="D1258" s="2" t="s">
        <v>1539</v>
      </c>
      <c r="E1258" s="2" t="s">
        <v>16</v>
      </c>
      <c r="F1258" s="2" t="s">
        <v>1543</v>
      </c>
      <c r="G1258" s="8" t="str">
        <f>IF(ISNA(VLOOKUP(B1258&amp;"|"&amp;C1258&amp;"|"&amp;D1258&amp;"|"&amp;E1258,QuestionTriggers!A:F,6,FALSE)),"","---&gt;")</f>
        <v/>
      </c>
      <c r="H1258" s="2" t="s">
        <v>1540</v>
      </c>
      <c r="I1258" s="2" t="s">
        <v>1541</v>
      </c>
      <c r="J1258" s="2" t="s">
        <v>1542</v>
      </c>
      <c r="K1258" s="2"/>
    </row>
    <row r="1259" spans="1:11" ht="26.4" x14ac:dyDescent="0.3">
      <c r="A1259" t="str">
        <f t="shared" si="19"/>
        <v>Skara Brae|Presto|NAME</v>
      </c>
      <c r="B1259" s="2" t="s">
        <v>713</v>
      </c>
      <c r="C1259" s="2" t="s">
        <v>1514</v>
      </c>
      <c r="D1259" s="2" t="s">
        <v>1539</v>
      </c>
      <c r="E1259" s="2" t="s">
        <v>12</v>
      </c>
      <c r="F1259" s="2" t="s">
        <v>1539</v>
      </c>
      <c r="G1259" s="8" t="str">
        <f>IF(ISNA(VLOOKUP(B1259&amp;"|"&amp;C1259&amp;"|"&amp;D1259&amp;"|"&amp;E1259,QuestionTriggers!A:F,6,FALSE)),"","---&gt;")</f>
        <v/>
      </c>
      <c r="H1259" s="2" t="s">
        <v>1540</v>
      </c>
      <c r="I1259" s="2" t="s">
        <v>1541</v>
      </c>
      <c r="J1259" s="2" t="s">
        <v>1542</v>
      </c>
      <c r="K1259" s="2"/>
    </row>
    <row r="1260" spans="1:11" ht="26.4" x14ac:dyDescent="0.3">
      <c r="A1260" t="str">
        <f t="shared" si="19"/>
        <v>Skara Brae|Presto|NIGH</v>
      </c>
      <c r="B1260" s="2" t="s">
        <v>713</v>
      </c>
      <c r="C1260" s="2" t="s">
        <v>1514</v>
      </c>
      <c r="D1260" s="2" t="s">
        <v>1539</v>
      </c>
      <c r="E1260" s="2" t="s">
        <v>1495</v>
      </c>
      <c r="F1260" s="2" t="s">
        <v>1547</v>
      </c>
      <c r="G1260" s="8" t="str">
        <f>IF(ISNA(VLOOKUP(B1260&amp;"|"&amp;C1260&amp;"|"&amp;D1260&amp;"|"&amp;E1260,QuestionTriggers!A:F,6,FALSE)),"","---&gt;")</f>
        <v>---&gt;</v>
      </c>
      <c r="H1260" s="2" t="s">
        <v>1540</v>
      </c>
      <c r="I1260" s="2" t="s">
        <v>1541</v>
      </c>
      <c r="J1260" s="2" t="s">
        <v>1542</v>
      </c>
      <c r="K1260" s="2"/>
    </row>
    <row r="1261" spans="1:11" ht="26.4" x14ac:dyDescent="0.3">
      <c r="A1261" t="str">
        <f t="shared" si="19"/>
        <v>Skara Brae|Presto|SPEL</v>
      </c>
      <c r="B1261" s="2" t="s">
        <v>713</v>
      </c>
      <c r="C1261" s="2" t="s">
        <v>1514</v>
      </c>
      <c r="D1261" s="2" t="s">
        <v>1539</v>
      </c>
      <c r="E1261" s="2" t="s">
        <v>365</v>
      </c>
      <c r="F1261" s="2" t="s">
        <v>1546</v>
      </c>
      <c r="G1261" s="8" t="str">
        <f>IF(ISNA(VLOOKUP(B1261&amp;"|"&amp;C1261&amp;"|"&amp;D1261&amp;"|"&amp;E1261,QuestionTriggers!A:F,6,FALSE)),"","---&gt;")</f>
        <v/>
      </c>
      <c r="H1261" s="2" t="s">
        <v>1540</v>
      </c>
      <c r="I1261" s="2" t="s">
        <v>1541</v>
      </c>
      <c r="J1261" s="2" t="s">
        <v>1542</v>
      </c>
      <c r="K1261" s="2"/>
    </row>
    <row r="1262" spans="1:11" x14ac:dyDescent="0.3">
      <c r="A1262" t="str">
        <f t="shared" si="19"/>
        <v>Skara Brae|Romasco|HEALTH</v>
      </c>
      <c r="B1262" s="2" t="s">
        <v>713</v>
      </c>
      <c r="C1262" s="2" t="s">
        <v>1514</v>
      </c>
      <c r="D1262" s="2" t="s">
        <v>1581</v>
      </c>
      <c r="E1262" s="2" t="s">
        <v>20</v>
      </c>
      <c r="F1262" s="2" t="s">
        <v>1369</v>
      </c>
      <c r="G1262" s="8" t="str">
        <f>IF(ISNA(VLOOKUP(B1262&amp;"|"&amp;C1262&amp;"|"&amp;D1262&amp;"|"&amp;E1262,QuestionTriggers!A:F,6,FALSE)),"","---&gt;")</f>
        <v/>
      </c>
      <c r="H1262" s="2" t="s">
        <v>1582</v>
      </c>
      <c r="I1262" s="2" t="s">
        <v>1583</v>
      </c>
      <c r="J1262" s="2" t="s">
        <v>1584</v>
      </c>
      <c r="K1262" s="2"/>
    </row>
    <row r="1263" spans="1:11" x14ac:dyDescent="0.3">
      <c r="A1263" t="str">
        <f t="shared" si="19"/>
        <v>Skara Brae|Romasco|JOB</v>
      </c>
      <c r="B1263" s="2" t="s">
        <v>713</v>
      </c>
      <c r="C1263" s="2" t="s">
        <v>1514</v>
      </c>
      <c r="D1263" s="2" t="s">
        <v>1581</v>
      </c>
      <c r="E1263" s="2" t="s">
        <v>18</v>
      </c>
      <c r="F1263" s="2" t="s">
        <v>1586</v>
      </c>
      <c r="G1263" s="8" t="str">
        <f>IF(ISNA(VLOOKUP(B1263&amp;"|"&amp;C1263&amp;"|"&amp;D1263&amp;"|"&amp;E1263,QuestionTriggers!A:F,6,FALSE)),"","---&gt;")</f>
        <v/>
      </c>
      <c r="H1263" s="2" t="s">
        <v>1582</v>
      </c>
      <c r="I1263" s="2" t="s">
        <v>1583</v>
      </c>
      <c r="J1263" s="2" t="s">
        <v>1584</v>
      </c>
      <c r="K1263" s="2"/>
    </row>
    <row r="1264" spans="1:11" x14ac:dyDescent="0.3">
      <c r="A1264" t="str">
        <f t="shared" si="19"/>
        <v>Skara Brae|Romasco|LOOK</v>
      </c>
      <c r="B1264" s="2" t="s">
        <v>713</v>
      </c>
      <c r="C1264" s="2" t="s">
        <v>1514</v>
      </c>
      <c r="D1264" s="2" t="s">
        <v>1581</v>
      </c>
      <c r="E1264" s="2" t="s">
        <v>16</v>
      </c>
      <c r="F1264" s="2" t="s">
        <v>1585</v>
      </c>
      <c r="G1264" s="8" t="str">
        <f>IF(ISNA(VLOOKUP(B1264&amp;"|"&amp;C1264&amp;"|"&amp;D1264&amp;"|"&amp;E1264,QuestionTriggers!A:F,6,FALSE)),"","---&gt;")</f>
        <v/>
      </c>
      <c r="H1264" s="2" t="s">
        <v>1582</v>
      </c>
      <c r="I1264" s="2" t="s">
        <v>1583</v>
      </c>
      <c r="J1264" s="2" t="s">
        <v>1584</v>
      </c>
      <c r="K1264" s="2"/>
    </row>
    <row r="1265" spans="1:11" x14ac:dyDescent="0.3">
      <c r="A1265" t="str">
        <f t="shared" si="19"/>
        <v>Skara Brae|Romasco|NAME</v>
      </c>
      <c r="B1265" s="2" t="s">
        <v>713</v>
      </c>
      <c r="C1265" s="2" t="s">
        <v>1514</v>
      </c>
      <c r="D1265" s="2" t="s">
        <v>1581</v>
      </c>
      <c r="E1265" s="2" t="s">
        <v>12</v>
      </c>
      <c r="F1265" s="2" t="s">
        <v>1581</v>
      </c>
      <c r="G1265" s="8" t="str">
        <f>IF(ISNA(VLOOKUP(B1265&amp;"|"&amp;C1265&amp;"|"&amp;D1265&amp;"|"&amp;E1265,QuestionTriggers!A:F,6,FALSE)),"","---&gt;")</f>
        <v/>
      </c>
      <c r="H1265" s="2" t="s">
        <v>1582</v>
      </c>
      <c r="I1265" s="2" t="s">
        <v>1583</v>
      </c>
      <c r="J1265" s="2" t="s">
        <v>1584</v>
      </c>
      <c r="K1265" s="2"/>
    </row>
    <row r="1266" spans="1:11" x14ac:dyDescent="0.3">
      <c r="A1266" t="str">
        <f t="shared" si="19"/>
        <v>Skara Brae|Romasco|TEAC</v>
      </c>
      <c r="B1266" s="2" t="s">
        <v>713</v>
      </c>
      <c r="C1266" s="2" t="s">
        <v>1514</v>
      </c>
      <c r="D1266" s="2" t="s">
        <v>1581</v>
      </c>
      <c r="E1266" s="2" t="s">
        <v>1570</v>
      </c>
      <c r="F1266" s="2" t="s">
        <v>1587</v>
      </c>
      <c r="G1266" s="8" t="str">
        <f>IF(ISNA(VLOOKUP(B1266&amp;"|"&amp;C1266&amp;"|"&amp;D1266&amp;"|"&amp;E1266,QuestionTriggers!A:F,6,FALSE)),"","---&gt;")</f>
        <v/>
      </c>
      <c r="H1266" s="2" t="s">
        <v>1582</v>
      </c>
      <c r="I1266" s="2" t="s">
        <v>1583</v>
      </c>
      <c r="J1266" s="2" t="s">
        <v>1584</v>
      </c>
      <c r="K1266" s="2"/>
    </row>
    <row r="1267" spans="1:11" x14ac:dyDescent="0.3">
      <c r="A1267" t="str">
        <f t="shared" si="19"/>
        <v>Skara Brae|Romasco|WORD</v>
      </c>
      <c r="B1267" s="2" t="s">
        <v>713</v>
      </c>
      <c r="C1267" s="2" t="s">
        <v>1514</v>
      </c>
      <c r="D1267" s="2" t="s">
        <v>1581</v>
      </c>
      <c r="E1267" s="2" t="s">
        <v>286</v>
      </c>
      <c r="F1267" s="2" t="s">
        <v>1588</v>
      </c>
      <c r="G1267" s="8" t="str">
        <f>IF(ISNA(VLOOKUP(B1267&amp;"|"&amp;C1267&amp;"|"&amp;D1267&amp;"|"&amp;E1267,QuestionTriggers!A:F,6,FALSE)),"","---&gt;")</f>
        <v>---&gt;</v>
      </c>
      <c r="H1267" s="2" t="s">
        <v>1582</v>
      </c>
      <c r="I1267" s="2" t="s">
        <v>1583</v>
      </c>
      <c r="J1267" s="2" t="s">
        <v>1584</v>
      </c>
      <c r="K1267" s="2"/>
    </row>
    <row r="1268" spans="1:11" x14ac:dyDescent="0.3">
      <c r="A1268" t="str">
        <f t="shared" si="19"/>
        <v>Skara Brae|Santayana|HEALTH</v>
      </c>
      <c r="B1268" s="2" t="s">
        <v>713</v>
      </c>
      <c r="C1268" s="2" t="s">
        <v>1514</v>
      </c>
      <c r="D1268" s="2" t="s">
        <v>1530</v>
      </c>
      <c r="E1268" s="2" t="s">
        <v>20</v>
      </c>
      <c r="F1268" s="2" t="s">
        <v>1535</v>
      </c>
      <c r="G1268" s="8" t="str">
        <f>IF(ISNA(VLOOKUP(B1268&amp;"|"&amp;C1268&amp;"|"&amp;D1268&amp;"|"&amp;E1268,QuestionTriggers!A:F,6,FALSE)),"","---&gt;")</f>
        <v/>
      </c>
      <c r="H1268" s="2" t="s">
        <v>1531</v>
      </c>
      <c r="I1268" s="2" t="s">
        <v>492</v>
      </c>
      <c r="J1268" s="2" t="s">
        <v>1532</v>
      </c>
      <c r="K1268" s="2"/>
    </row>
    <row r="1269" spans="1:11" x14ac:dyDescent="0.3">
      <c r="A1269" t="str">
        <f t="shared" si="19"/>
        <v>Skara Brae|Santayana|JOB</v>
      </c>
      <c r="B1269" s="2" t="s">
        <v>713</v>
      </c>
      <c r="C1269" s="2" t="s">
        <v>1514</v>
      </c>
      <c r="D1269" s="2" t="s">
        <v>1530</v>
      </c>
      <c r="E1269" s="2" t="s">
        <v>18</v>
      </c>
      <c r="F1269" s="2" t="s">
        <v>1534</v>
      </c>
      <c r="G1269" s="8" t="str">
        <f>IF(ISNA(VLOOKUP(B1269&amp;"|"&amp;C1269&amp;"|"&amp;D1269&amp;"|"&amp;E1269,QuestionTriggers!A:F,6,FALSE)),"","---&gt;")</f>
        <v/>
      </c>
      <c r="H1269" s="2" t="s">
        <v>1531</v>
      </c>
      <c r="I1269" s="2" t="s">
        <v>492</v>
      </c>
      <c r="J1269" s="2" t="s">
        <v>1532</v>
      </c>
      <c r="K1269" s="2"/>
    </row>
    <row r="1270" spans="1:11" x14ac:dyDescent="0.3">
      <c r="A1270" t="str">
        <f t="shared" si="19"/>
        <v>Skara Brae|Santayana|LIGH</v>
      </c>
      <c r="B1270" s="2" t="s">
        <v>713</v>
      </c>
      <c r="C1270" s="2" t="s">
        <v>1514</v>
      </c>
      <c r="D1270" s="2" t="s">
        <v>1530</v>
      </c>
      <c r="E1270" s="2" t="s">
        <v>182</v>
      </c>
      <c r="F1270" s="2" t="s">
        <v>1536</v>
      </c>
      <c r="G1270" s="8" t="str">
        <f>IF(ISNA(VLOOKUP(B1270&amp;"|"&amp;C1270&amp;"|"&amp;D1270&amp;"|"&amp;E1270,QuestionTriggers!A:F,6,FALSE)),"","---&gt;")</f>
        <v/>
      </c>
      <c r="H1270" s="2" t="s">
        <v>1531</v>
      </c>
      <c r="I1270" s="2" t="s">
        <v>492</v>
      </c>
      <c r="J1270" s="2" t="s">
        <v>1532</v>
      </c>
      <c r="K1270" s="2"/>
    </row>
    <row r="1271" spans="1:11" x14ac:dyDescent="0.3">
      <c r="A1271" t="str">
        <f t="shared" si="19"/>
        <v>Skara Brae|Santayana|LOOK</v>
      </c>
      <c r="B1271" s="2" t="s">
        <v>713</v>
      </c>
      <c r="C1271" s="2" t="s">
        <v>1514</v>
      </c>
      <c r="D1271" s="2" t="s">
        <v>1530</v>
      </c>
      <c r="E1271" s="2" t="s">
        <v>16</v>
      </c>
      <c r="F1271" s="2" t="s">
        <v>1533</v>
      </c>
      <c r="G1271" s="8" t="str">
        <f>IF(ISNA(VLOOKUP(B1271&amp;"|"&amp;C1271&amp;"|"&amp;D1271&amp;"|"&amp;E1271,QuestionTriggers!A:F,6,FALSE)),"","---&gt;")</f>
        <v/>
      </c>
      <c r="H1271" s="2" t="s">
        <v>1531</v>
      </c>
      <c r="I1271" s="2" t="s">
        <v>492</v>
      </c>
      <c r="J1271" s="2" t="s">
        <v>1532</v>
      </c>
      <c r="K1271" s="2"/>
    </row>
    <row r="1272" spans="1:11" x14ac:dyDescent="0.3">
      <c r="A1272" t="str">
        <f t="shared" si="19"/>
        <v>Skara Brae|Santayana|NAME</v>
      </c>
      <c r="B1272" s="2" t="s">
        <v>713</v>
      </c>
      <c r="C1272" s="2" t="s">
        <v>1514</v>
      </c>
      <c r="D1272" s="2" t="s">
        <v>1530</v>
      </c>
      <c r="E1272" s="2" t="s">
        <v>12</v>
      </c>
      <c r="F1272" s="2" t="s">
        <v>1530</v>
      </c>
      <c r="G1272" s="8" t="str">
        <f>IF(ISNA(VLOOKUP(B1272&amp;"|"&amp;C1272&amp;"|"&amp;D1272&amp;"|"&amp;E1272,QuestionTriggers!A:F,6,FALSE)),"","---&gt;")</f>
        <v/>
      </c>
      <c r="H1272" s="2" t="s">
        <v>1531</v>
      </c>
      <c r="I1272" s="2" t="s">
        <v>492</v>
      </c>
      <c r="J1272" s="2" t="s">
        <v>1532</v>
      </c>
      <c r="K1272" s="2"/>
    </row>
    <row r="1273" spans="1:11" x14ac:dyDescent="0.3">
      <c r="A1273" t="str">
        <f t="shared" si="19"/>
        <v>Skara Brae|Santayana|PHIL</v>
      </c>
      <c r="B1273" s="2" t="s">
        <v>713</v>
      </c>
      <c r="C1273" s="2" t="s">
        <v>1514</v>
      </c>
      <c r="D1273" s="2" t="s">
        <v>1530</v>
      </c>
      <c r="E1273" s="2" t="s">
        <v>1537</v>
      </c>
      <c r="F1273" s="2" t="s">
        <v>1538</v>
      </c>
      <c r="G1273" s="8" t="str">
        <f>IF(ISNA(VLOOKUP(B1273&amp;"|"&amp;C1273&amp;"|"&amp;D1273&amp;"|"&amp;E1273,QuestionTriggers!A:F,6,FALSE)),"","---&gt;")</f>
        <v>---&gt;</v>
      </c>
      <c r="H1273" s="2" t="s">
        <v>1531</v>
      </c>
      <c r="I1273" s="2" t="s">
        <v>492</v>
      </c>
      <c r="J1273" s="2" t="s">
        <v>1532</v>
      </c>
      <c r="K1273" s="2"/>
    </row>
    <row r="1274" spans="1:11" ht="26.4" x14ac:dyDescent="0.3">
      <c r="A1274" t="str">
        <f t="shared" si="19"/>
        <v>Skara Brae|Shamino|HEALTH</v>
      </c>
      <c r="B1274" s="2" t="s">
        <v>713</v>
      </c>
      <c r="C1274" s="2" t="s">
        <v>1514</v>
      </c>
      <c r="D1274" s="2" t="s">
        <v>1515</v>
      </c>
      <c r="E1274" s="2" t="s">
        <v>20</v>
      </c>
      <c r="F1274" s="2" t="s">
        <v>181</v>
      </c>
      <c r="G1274" s="8" t="str">
        <f>IF(ISNA(VLOOKUP(B1274&amp;"|"&amp;C1274&amp;"|"&amp;D1274&amp;"|"&amp;E1274,QuestionTriggers!A:F,6,FALSE)),"","---&gt;")</f>
        <v/>
      </c>
      <c r="H1274" s="2" t="s">
        <v>1516</v>
      </c>
      <c r="I1274" s="2" t="s">
        <v>1517</v>
      </c>
      <c r="J1274" s="2" t="s">
        <v>197</v>
      </c>
      <c r="K1274" s="2"/>
    </row>
    <row r="1275" spans="1:11" ht="26.4" x14ac:dyDescent="0.3">
      <c r="A1275" t="str">
        <f t="shared" si="19"/>
        <v>Skara Brae|Shamino|JOB</v>
      </c>
      <c r="B1275" s="2" t="s">
        <v>713</v>
      </c>
      <c r="C1275" s="2" t="s">
        <v>1514</v>
      </c>
      <c r="D1275" s="2" t="s">
        <v>1515</v>
      </c>
      <c r="E1275" s="2" t="s">
        <v>18</v>
      </c>
      <c r="F1275" s="2" t="s">
        <v>1518</v>
      </c>
      <c r="G1275" s="8" t="str">
        <f>IF(ISNA(VLOOKUP(B1275&amp;"|"&amp;C1275&amp;"|"&amp;D1275&amp;"|"&amp;E1275,QuestionTriggers!A:F,6,FALSE)),"","---&gt;")</f>
        <v/>
      </c>
      <c r="H1275" s="2" t="s">
        <v>1516</v>
      </c>
      <c r="I1275" s="2" t="s">
        <v>1517</v>
      </c>
      <c r="J1275" s="2" t="s">
        <v>197</v>
      </c>
      <c r="K1275" s="2"/>
    </row>
    <row r="1276" spans="1:11" ht="26.4" x14ac:dyDescent="0.3">
      <c r="A1276" t="str">
        <f t="shared" si="19"/>
        <v>Skara Brae|Shamino|LIGH</v>
      </c>
      <c r="B1276" s="2" t="s">
        <v>713</v>
      </c>
      <c r="C1276" s="2" t="s">
        <v>1514</v>
      </c>
      <c r="D1276" s="2" t="s">
        <v>1515</v>
      </c>
      <c r="E1276" s="2" t="s">
        <v>182</v>
      </c>
      <c r="F1276" s="2" t="s">
        <v>1519</v>
      </c>
      <c r="G1276" s="8" t="str">
        <f>IF(ISNA(VLOOKUP(B1276&amp;"|"&amp;C1276&amp;"|"&amp;D1276&amp;"|"&amp;E1276,QuestionTriggers!A:F,6,FALSE)),"","---&gt;")</f>
        <v/>
      </c>
      <c r="H1276" s="2" t="s">
        <v>1516</v>
      </c>
      <c r="I1276" s="2" t="s">
        <v>1517</v>
      </c>
      <c r="J1276" s="2" t="s">
        <v>197</v>
      </c>
      <c r="K1276" s="2"/>
    </row>
    <row r="1277" spans="1:11" ht="26.4" x14ac:dyDescent="0.3">
      <c r="A1277" t="str">
        <f t="shared" si="19"/>
        <v>Skara Brae|Shamino|LOOK</v>
      </c>
      <c r="B1277" s="2" t="s">
        <v>713</v>
      </c>
      <c r="C1277" s="2" t="s">
        <v>1514</v>
      </c>
      <c r="D1277" s="2" t="s">
        <v>1515</v>
      </c>
      <c r="E1277" s="2" t="s">
        <v>16</v>
      </c>
      <c r="F1277" s="2" t="s">
        <v>531</v>
      </c>
      <c r="G1277" s="8" t="str">
        <f>IF(ISNA(VLOOKUP(B1277&amp;"|"&amp;C1277&amp;"|"&amp;D1277&amp;"|"&amp;E1277,QuestionTriggers!A:F,6,FALSE)),"","---&gt;")</f>
        <v/>
      </c>
      <c r="H1277" s="2" t="s">
        <v>1516</v>
      </c>
      <c r="I1277" s="2" t="s">
        <v>1517</v>
      </c>
      <c r="J1277" s="2" t="s">
        <v>197</v>
      </c>
      <c r="K1277" s="2"/>
    </row>
    <row r="1278" spans="1:11" ht="26.4" x14ac:dyDescent="0.3">
      <c r="A1278" t="str">
        <f t="shared" si="19"/>
        <v>Skara Brae|Shamino|NAME</v>
      </c>
      <c r="B1278" s="2" t="s">
        <v>713</v>
      </c>
      <c r="C1278" s="2" t="s">
        <v>1514</v>
      </c>
      <c r="D1278" s="2" t="s">
        <v>1515</v>
      </c>
      <c r="E1278" s="2" t="s">
        <v>12</v>
      </c>
      <c r="F1278" s="2" t="s">
        <v>1515</v>
      </c>
      <c r="G1278" s="8" t="str">
        <f>IF(ISNA(VLOOKUP(B1278&amp;"|"&amp;C1278&amp;"|"&amp;D1278&amp;"|"&amp;E1278,QuestionTriggers!A:F,6,FALSE)),"","---&gt;")</f>
        <v/>
      </c>
      <c r="H1278" s="2" t="s">
        <v>1516</v>
      </c>
      <c r="I1278" s="2" t="s">
        <v>1517</v>
      </c>
      <c r="J1278" s="2" t="s">
        <v>197</v>
      </c>
      <c r="K1278" s="2"/>
    </row>
    <row r="1279" spans="1:11" ht="26.4" x14ac:dyDescent="0.3">
      <c r="A1279" t="str">
        <f t="shared" si="19"/>
        <v>Skara Brae|Shamino|TRUT</v>
      </c>
      <c r="B1279" s="2" t="s">
        <v>713</v>
      </c>
      <c r="C1279" s="2" t="s">
        <v>1514</v>
      </c>
      <c r="D1279" s="2" t="s">
        <v>1515</v>
      </c>
      <c r="E1279" s="2" t="s">
        <v>233</v>
      </c>
      <c r="F1279" s="2" t="s">
        <v>1520</v>
      </c>
      <c r="G1279" s="8" t="str">
        <f>IF(ISNA(VLOOKUP(B1279&amp;"|"&amp;C1279&amp;"|"&amp;D1279&amp;"|"&amp;E1279,QuestionTriggers!A:F,6,FALSE)),"","---&gt;")</f>
        <v>---&gt;</v>
      </c>
      <c r="H1279" s="2" t="s">
        <v>1516</v>
      </c>
      <c r="I1279" s="2" t="s">
        <v>1517</v>
      </c>
      <c r="J1279" s="2" t="s">
        <v>197</v>
      </c>
      <c r="K1279" s="2"/>
    </row>
    <row r="1280" spans="1:11" hidden="1" x14ac:dyDescent="0.3">
      <c r="A1280" t="str">
        <f t="shared" si="19"/>
        <v>Skara Brae|White|DANG</v>
      </c>
      <c r="B1280" s="2" t="s">
        <v>713</v>
      </c>
      <c r="C1280" s="2" t="s">
        <v>1514</v>
      </c>
      <c r="D1280" s="34" t="s">
        <v>1604</v>
      </c>
      <c r="E1280" s="34" t="s">
        <v>515</v>
      </c>
      <c r="F1280" s="34" t="s">
        <v>1612</v>
      </c>
      <c r="G1280" s="8" t="str">
        <f>IF(ISNA(VLOOKUP(B1280&amp;"|"&amp;C1280&amp;"|"&amp;D1280&amp;"|"&amp;E1280,QuestionTriggers!A:F,6,FALSE)),"","---&gt;")</f>
        <v>---&gt;</v>
      </c>
      <c r="H1280" s="2" t="s">
        <v>1605</v>
      </c>
      <c r="I1280" s="2" t="s">
        <v>1606</v>
      </c>
      <c r="J1280" s="2" t="s">
        <v>1607</v>
      </c>
      <c r="K1280" s="2" t="s">
        <v>51</v>
      </c>
    </row>
    <row r="1281" spans="1:11" s="4" customFormat="1" hidden="1" x14ac:dyDescent="0.3">
      <c r="A1281" t="str">
        <f t="shared" si="19"/>
        <v>Skara Brae|White|HEALTH</v>
      </c>
      <c r="B1281" s="2" t="s">
        <v>713</v>
      </c>
      <c r="C1281" s="2" t="s">
        <v>1514</v>
      </c>
      <c r="D1281" s="34" t="s">
        <v>1604</v>
      </c>
      <c r="E1281" s="34" t="s">
        <v>20</v>
      </c>
      <c r="F1281" s="34" t="s">
        <v>1610</v>
      </c>
      <c r="G1281" s="8" t="str">
        <f>IF(ISNA(VLOOKUP(B1281&amp;"|"&amp;C1281&amp;"|"&amp;D1281&amp;"|"&amp;E1281,QuestionTriggers!A:F,6,FALSE)),"","---&gt;")</f>
        <v/>
      </c>
      <c r="H1281" s="2" t="s">
        <v>1605</v>
      </c>
      <c r="I1281" s="2" t="s">
        <v>1606</v>
      </c>
      <c r="J1281" s="2" t="s">
        <v>1607</v>
      </c>
      <c r="K1281" s="2" t="s">
        <v>51</v>
      </c>
    </row>
    <row r="1282" spans="1:11" s="4" customFormat="1" hidden="1" x14ac:dyDescent="0.3">
      <c r="A1282" t="str">
        <f t="shared" si="19"/>
        <v>Skara Brae|White|JOB</v>
      </c>
      <c r="B1282" s="2" t="s">
        <v>713</v>
      </c>
      <c r="C1282" s="2" t="s">
        <v>1514</v>
      </c>
      <c r="D1282" s="34" t="s">
        <v>1604</v>
      </c>
      <c r="E1282" s="34" t="s">
        <v>18</v>
      </c>
      <c r="F1282" s="34" t="s">
        <v>1609</v>
      </c>
      <c r="G1282" s="8" t="str">
        <f>IF(ISNA(VLOOKUP(B1282&amp;"|"&amp;C1282&amp;"|"&amp;D1282&amp;"|"&amp;E1282,QuestionTriggers!A:F,6,FALSE)),"","---&gt;")</f>
        <v/>
      </c>
      <c r="H1282" s="2" t="s">
        <v>1605</v>
      </c>
      <c r="I1282" s="2" t="s">
        <v>1606</v>
      </c>
      <c r="J1282" s="2" t="s">
        <v>1607</v>
      </c>
      <c r="K1282" s="2" t="s">
        <v>51</v>
      </c>
    </row>
    <row r="1283" spans="1:11" s="4" customFormat="1" hidden="1" x14ac:dyDescent="0.3">
      <c r="A1283" t="str">
        <f t="shared" ref="A1283:A1346" si="20">C1283&amp;"|"&amp;D1283&amp;"|"&amp;E1283</f>
        <v>Skara Brae|White|LOOK</v>
      </c>
      <c r="B1283" s="2" t="s">
        <v>713</v>
      </c>
      <c r="C1283" s="2" t="s">
        <v>1514</v>
      </c>
      <c r="D1283" s="34" t="s">
        <v>1604</v>
      </c>
      <c r="E1283" s="34" t="s">
        <v>16</v>
      </c>
      <c r="F1283" s="34" t="s">
        <v>1608</v>
      </c>
      <c r="G1283" s="8" t="str">
        <f>IF(ISNA(VLOOKUP(B1283&amp;"|"&amp;C1283&amp;"|"&amp;D1283&amp;"|"&amp;E1283,QuestionTriggers!A:F,6,FALSE)),"","---&gt;")</f>
        <v/>
      </c>
      <c r="H1283" s="2" t="s">
        <v>1605</v>
      </c>
      <c r="I1283" s="2" t="s">
        <v>1606</v>
      </c>
      <c r="J1283" s="2" t="s">
        <v>1607</v>
      </c>
      <c r="K1283" s="2" t="s">
        <v>51</v>
      </c>
    </row>
    <row r="1284" spans="1:11" s="4" customFormat="1" hidden="1" x14ac:dyDescent="0.3">
      <c r="A1284" t="str">
        <f t="shared" si="20"/>
        <v>Skara Brae|White|NAME</v>
      </c>
      <c r="B1284" s="2" t="s">
        <v>713</v>
      </c>
      <c r="C1284" s="2" t="s">
        <v>1514</v>
      </c>
      <c r="D1284" s="34" t="s">
        <v>1604</v>
      </c>
      <c r="E1284" s="34" t="s">
        <v>12</v>
      </c>
      <c r="F1284" s="34" t="s">
        <v>1604</v>
      </c>
      <c r="G1284" s="8" t="str">
        <f>IF(ISNA(VLOOKUP(B1284&amp;"|"&amp;C1284&amp;"|"&amp;D1284&amp;"|"&amp;E1284,QuestionTriggers!A:F,6,FALSE)),"","---&gt;")</f>
        <v/>
      </c>
      <c r="H1284" s="2" t="s">
        <v>1605</v>
      </c>
      <c r="I1284" s="2" t="s">
        <v>1606</v>
      </c>
      <c r="J1284" s="2" t="s">
        <v>1607</v>
      </c>
      <c r="K1284" s="2" t="s">
        <v>51</v>
      </c>
    </row>
    <row r="1285" spans="1:11" hidden="1" x14ac:dyDescent="0.3">
      <c r="A1285" t="str">
        <f t="shared" si="20"/>
        <v>Skara Brae|White|QUES</v>
      </c>
      <c r="B1285" s="2" t="s">
        <v>713</v>
      </c>
      <c r="C1285" s="2" t="s">
        <v>1514</v>
      </c>
      <c r="D1285" s="34" t="s">
        <v>1604</v>
      </c>
      <c r="E1285" s="34" t="s">
        <v>259</v>
      </c>
      <c r="F1285" s="34" t="s">
        <v>1611</v>
      </c>
      <c r="G1285" s="8" t="str">
        <f>IF(ISNA(VLOOKUP(B1285&amp;"|"&amp;C1285&amp;"|"&amp;D1285&amp;"|"&amp;E1285,QuestionTriggers!A:F,6,FALSE)),"","---&gt;")</f>
        <v/>
      </c>
      <c r="H1285" s="2" t="s">
        <v>1605</v>
      </c>
      <c r="I1285" s="2" t="s">
        <v>1606</v>
      </c>
      <c r="J1285" s="2" t="s">
        <v>1607</v>
      </c>
      <c r="K1285" s="2" t="s">
        <v>51</v>
      </c>
    </row>
    <row r="1286" spans="1:11" hidden="1" x14ac:dyDescent="0.3">
      <c r="A1286" t="str">
        <f t="shared" si="20"/>
        <v>Trinsic|Aristotle|Dignity</v>
      </c>
      <c r="B1286" s="2" t="s">
        <v>713</v>
      </c>
      <c r="C1286" s="2" t="s">
        <v>1397</v>
      </c>
      <c r="D1286" s="3" t="s">
        <v>1417</v>
      </c>
      <c r="E1286" s="3" t="s">
        <v>2500</v>
      </c>
      <c r="F1286" s="3" t="s">
        <v>1425</v>
      </c>
      <c r="G1286" s="8" t="str">
        <f>IF(ISNA(VLOOKUP(B1286&amp;"|"&amp;C1286&amp;"|"&amp;D1286&amp;"|"&amp;E1286,QuestionTriggers!A:F,6,FALSE)),"","---&gt;")</f>
        <v/>
      </c>
      <c r="H1286" s="2" t="s">
        <v>1418</v>
      </c>
      <c r="I1286" s="2" t="s">
        <v>1419</v>
      </c>
      <c r="J1286" s="2" t="s">
        <v>1420</v>
      </c>
      <c r="K1286" s="2"/>
    </row>
    <row r="1287" spans="1:11" hidden="1" x14ac:dyDescent="0.3">
      <c r="A1287" t="str">
        <f t="shared" si="20"/>
        <v>Trinsic|Aristotle|HEALTH</v>
      </c>
      <c r="B1287" s="2" t="s">
        <v>713</v>
      </c>
      <c r="C1287" s="2" t="s">
        <v>1397</v>
      </c>
      <c r="D1287" s="48" t="s">
        <v>1417</v>
      </c>
      <c r="E1287" s="48" t="s">
        <v>20</v>
      </c>
      <c r="F1287" s="48" t="s">
        <v>181</v>
      </c>
      <c r="G1287" s="8" t="str">
        <f>IF(ISNA(VLOOKUP(B1287&amp;"|"&amp;C1287&amp;"|"&amp;D1287&amp;"|"&amp;E1287,QuestionTriggers!A:F,6,FALSE)),"","---&gt;")</f>
        <v/>
      </c>
      <c r="H1287" s="2" t="s">
        <v>1418</v>
      </c>
      <c r="I1287" s="2" t="s">
        <v>1419</v>
      </c>
      <c r="J1287" s="2" t="s">
        <v>1420</v>
      </c>
      <c r="K1287" s="2"/>
    </row>
    <row r="1288" spans="1:11" hidden="1" x14ac:dyDescent="0.3">
      <c r="A1288" t="str">
        <f t="shared" si="20"/>
        <v>Trinsic|Aristotle|Honor!</v>
      </c>
      <c r="B1288" s="2" t="s">
        <v>713</v>
      </c>
      <c r="C1288" s="2" t="s">
        <v>1397</v>
      </c>
      <c r="D1288" s="3" t="s">
        <v>1417</v>
      </c>
      <c r="E1288" s="3" t="s">
        <v>2499</v>
      </c>
      <c r="F1288" s="3" t="s">
        <v>1423</v>
      </c>
      <c r="G1288" s="8" t="str">
        <f>IF(ISNA(VLOOKUP(B1288&amp;"|"&amp;C1288&amp;"|"&amp;D1288&amp;"|"&amp;E1288,QuestionTriggers!A:F,6,FALSE)),"","---&gt;")</f>
        <v/>
      </c>
      <c r="H1288" s="2" t="s">
        <v>1418</v>
      </c>
      <c r="I1288" s="2" t="s">
        <v>1419</v>
      </c>
      <c r="J1288" s="2" t="s">
        <v>1420</v>
      </c>
      <c r="K1288" s="2"/>
    </row>
    <row r="1289" spans="1:11" hidden="1" x14ac:dyDescent="0.3">
      <c r="A1289" t="str">
        <f t="shared" si="20"/>
        <v>Trinsic|Aristotle|My passion?</v>
      </c>
      <c r="B1289" s="2" t="s">
        <v>713</v>
      </c>
      <c r="C1289" s="2" t="s">
        <v>1397</v>
      </c>
      <c r="D1289" s="3" t="s">
        <v>1417</v>
      </c>
      <c r="E1289" s="3" t="s">
        <v>2474</v>
      </c>
      <c r="F1289" s="3" t="s">
        <v>1422</v>
      </c>
      <c r="G1289" s="8" t="str">
        <f>IF(ISNA(VLOOKUP(B1289&amp;"|"&amp;C1289&amp;"|"&amp;D1289&amp;"|"&amp;E1289,QuestionTriggers!A:F,6,FALSE)),"","---&gt;")</f>
        <v/>
      </c>
      <c r="H1289" s="2" t="s">
        <v>1418</v>
      </c>
      <c r="I1289" s="2" t="s">
        <v>1419</v>
      </c>
      <c r="J1289" s="2" t="s">
        <v>1420</v>
      </c>
      <c r="K1289" s="2"/>
    </row>
    <row r="1290" spans="1:11" hidden="1" x14ac:dyDescent="0.3">
      <c r="A1290" t="str">
        <f t="shared" si="20"/>
        <v>Trinsic|Aristotle|You see..</v>
      </c>
      <c r="B1290" s="2" t="s">
        <v>713</v>
      </c>
      <c r="C1290" s="2" t="s">
        <v>1397</v>
      </c>
      <c r="D1290" s="3" t="s">
        <v>1417</v>
      </c>
      <c r="E1290" s="3" t="s">
        <v>2505</v>
      </c>
      <c r="F1290" s="3" t="s">
        <v>1421</v>
      </c>
      <c r="G1290" s="8" t="str">
        <f>IF(ISNA(VLOOKUP(B1290&amp;"|"&amp;C1290&amp;"|"&amp;D1290&amp;"|"&amp;E1290,QuestionTriggers!A:F,6,FALSE)),"","---&gt;")</f>
        <v/>
      </c>
      <c r="H1290" s="2" t="s">
        <v>1418</v>
      </c>
      <c r="I1290" s="2" t="s">
        <v>1419</v>
      </c>
      <c r="J1290" s="2" t="s">
        <v>1420</v>
      </c>
      <c r="K1290" s="2"/>
    </row>
    <row r="1291" spans="1:11" hidden="1" x14ac:dyDescent="0.3">
      <c r="A1291" t="str">
        <f t="shared" si="20"/>
        <v>Trinsic|Aristotle|NAME</v>
      </c>
      <c r="B1291" s="2" t="s">
        <v>713</v>
      </c>
      <c r="C1291" s="2" t="s">
        <v>1397</v>
      </c>
      <c r="D1291" s="48" t="s">
        <v>1417</v>
      </c>
      <c r="E1291" s="48" t="s">
        <v>12</v>
      </c>
      <c r="F1291" s="48" t="s">
        <v>1417</v>
      </c>
      <c r="G1291" s="8" t="str">
        <f>IF(ISNA(VLOOKUP(B1291&amp;"|"&amp;C1291&amp;"|"&amp;D1291&amp;"|"&amp;E1291,QuestionTriggers!A:F,6,FALSE)),"","---&gt;")</f>
        <v/>
      </c>
      <c r="H1291" s="2" t="s">
        <v>1418</v>
      </c>
      <c r="I1291" s="2" t="s">
        <v>1419</v>
      </c>
      <c r="J1291" s="2" t="s">
        <v>1420</v>
      </c>
      <c r="K1291" s="2"/>
    </row>
    <row r="1292" spans="1:11" ht="26.4" hidden="1" x14ac:dyDescent="0.3">
      <c r="A1292" t="str">
        <f t="shared" si="20"/>
        <v>Trinsic|Bartender|White stone (10 gold)</v>
      </c>
      <c r="B1292" s="2" t="s">
        <v>713</v>
      </c>
      <c r="C1292" s="39" t="s">
        <v>1397</v>
      </c>
      <c r="D1292" s="39" t="s">
        <v>2277</v>
      </c>
      <c r="E1292" s="39" t="s">
        <v>2284</v>
      </c>
      <c r="F1292" s="39" t="s">
        <v>2285</v>
      </c>
      <c r="G1292" s="8" t="str">
        <f>IF(ISNA(VLOOKUP(B1292&amp;"|"&amp;C1292&amp;"|"&amp;D1292&amp;"|"&amp;E1292,QuestionTriggers!A:F,6,FALSE)),"","---&gt;")</f>
        <v/>
      </c>
    </row>
    <row r="1293" spans="1:11" ht="26.4" hidden="1" x14ac:dyDescent="0.3">
      <c r="A1293" t="str">
        <f t="shared" si="20"/>
        <v>Trinsic|Dergin|HEALTH</v>
      </c>
      <c r="B1293" s="2" t="s">
        <v>713</v>
      </c>
      <c r="C1293" s="39" t="s">
        <v>1397</v>
      </c>
      <c r="D1293" s="39" t="s">
        <v>1453</v>
      </c>
      <c r="E1293" s="39" t="s">
        <v>20</v>
      </c>
      <c r="F1293" s="39" t="s">
        <v>1415</v>
      </c>
      <c r="G1293" s="8" t="str">
        <f>IF(ISNA(VLOOKUP(B1293&amp;"|"&amp;C1293&amp;"|"&amp;D1293&amp;"|"&amp;E1293,QuestionTriggers!A:F,6,FALSE)),"","---&gt;")</f>
        <v/>
      </c>
      <c r="H1293" s="2" t="s">
        <v>1454</v>
      </c>
      <c r="I1293" s="2" t="s">
        <v>177</v>
      </c>
      <c r="J1293" s="2" t="s">
        <v>1455</v>
      </c>
      <c r="K1293" s="2"/>
    </row>
    <row r="1294" spans="1:11" ht="26.4" hidden="1" x14ac:dyDescent="0.3">
      <c r="A1294" t="str">
        <f t="shared" si="20"/>
        <v>Trinsic|Dergin|What am I up to?</v>
      </c>
      <c r="B1294" s="2" t="s">
        <v>713</v>
      </c>
      <c r="C1294" s="39" t="s">
        <v>1397</v>
      </c>
      <c r="D1294" s="39" t="s">
        <v>1453</v>
      </c>
      <c r="E1294" s="46" t="s">
        <v>2475</v>
      </c>
      <c r="F1294" s="39" t="s">
        <v>1457</v>
      </c>
      <c r="G1294" s="8" t="str">
        <f>IF(ISNA(VLOOKUP(B1294&amp;"|"&amp;C1294&amp;"|"&amp;D1294&amp;"|"&amp;E1294,QuestionTriggers!A:F,6,FALSE)),"","---&gt;")</f>
        <v/>
      </c>
      <c r="H1294" s="2" t="s">
        <v>1454</v>
      </c>
      <c r="I1294" s="2" t="s">
        <v>177</v>
      </c>
      <c r="J1294" s="2" t="s">
        <v>1455</v>
      </c>
      <c r="K1294" s="2"/>
    </row>
    <row r="1295" spans="1:11" ht="26.4" hidden="1" x14ac:dyDescent="0.3">
      <c r="A1295" t="str">
        <f t="shared" si="20"/>
        <v>Trinsic|Dergin|You see..</v>
      </c>
      <c r="B1295" s="2" t="s">
        <v>713</v>
      </c>
      <c r="C1295" s="39" t="s">
        <v>1397</v>
      </c>
      <c r="D1295" s="39" t="s">
        <v>1453</v>
      </c>
      <c r="E1295" s="46" t="s">
        <v>2505</v>
      </c>
      <c r="F1295" s="39" t="s">
        <v>1456</v>
      </c>
      <c r="G1295" s="8" t="str">
        <f>IF(ISNA(VLOOKUP(B1295&amp;"|"&amp;C1295&amp;"|"&amp;D1295&amp;"|"&amp;E1295,QuestionTriggers!A:F,6,FALSE)),"","---&gt;")</f>
        <v/>
      </c>
      <c r="H1295" s="2" t="s">
        <v>1454</v>
      </c>
      <c r="I1295" s="2" t="s">
        <v>177</v>
      </c>
      <c r="J1295" s="2" t="s">
        <v>1455</v>
      </c>
      <c r="K1295" s="2"/>
    </row>
    <row r="1296" spans="1:11" ht="26.4" hidden="1" x14ac:dyDescent="0.3">
      <c r="A1296" t="str">
        <f t="shared" si="20"/>
        <v>Trinsic|Dergin|NAME</v>
      </c>
      <c r="B1296" s="2" t="s">
        <v>713</v>
      </c>
      <c r="C1296" s="39" t="s">
        <v>1397</v>
      </c>
      <c r="D1296" s="39" t="s">
        <v>1453</v>
      </c>
      <c r="E1296" s="39" t="s">
        <v>12</v>
      </c>
      <c r="F1296" s="39" t="s">
        <v>1453</v>
      </c>
      <c r="G1296" s="8" t="str">
        <f>IF(ISNA(VLOOKUP(B1296&amp;"|"&amp;C1296&amp;"|"&amp;D1296&amp;"|"&amp;E1296,QuestionTriggers!A:F,6,FALSE)),"","---&gt;")</f>
        <v/>
      </c>
      <c r="H1296" s="2" t="s">
        <v>1454</v>
      </c>
      <c r="I1296" s="2" t="s">
        <v>177</v>
      </c>
      <c r="J1296" s="2" t="s">
        <v>1455</v>
      </c>
      <c r="K1296" s="2"/>
    </row>
    <row r="1297" spans="1:11" ht="26.4" hidden="1" x14ac:dyDescent="0.3">
      <c r="A1297" t="str">
        <f t="shared" si="20"/>
        <v>Trinsic|Dergin|QUES</v>
      </c>
      <c r="B1297" s="2" t="s">
        <v>713</v>
      </c>
      <c r="C1297" s="39" t="s">
        <v>1397</v>
      </c>
      <c r="D1297" s="39" t="s">
        <v>1453</v>
      </c>
      <c r="E1297" s="39" t="s">
        <v>259</v>
      </c>
      <c r="F1297" s="39" t="s">
        <v>1460</v>
      </c>
      <c r="G1297" s="8" t="str">
        <f>IF(ISNA(VLOOKUP(B1297&amp;"|"&amp;C1297&amp;"|"&amp;D1297&amp;"|"&amp;E1297,QuestionTriggers!A:F,6,FALSE)),"","---&gt;")</f>
        <v>---&gt;</v>
      </c>
      <c r="H1297" s="2" t="s">
        <v>1454</v>
      </c>
      <c r="I1297" s="2" t="s">
        <v>177</v>
      </c>
      <c r="J1297" s="2" t="s">
        <v>1455</v>
      </c>
      <c r="K1297" s="2"/>
    </row>
    <row r="1298" spans="1:11" ht="26.4" hidden="1" x14ac:dyDescent="0.3">
      <c r="A1298" t="str">
        <f t="shared" si="20"/>
        <v>Trinsic|Dergin|REST</v>
      </c>
      <c r="B1298" s="2" t="s">
        <v>713</v>
      </c>
      <c r="C1298" s="39" t="s">
        <v>1397</v>
      </c>
      <c r="D1298" s="39" t="s">
        <v>1453</v>
      </c>
      <c r="E1298" s="39" t="s">
        <v>1458</v>
      </c>
      <c r="F1298" s="39" t="s">
        <v>1459</v>
      </c>
      <c r="G1298" s="8" t="str">
        <f>IF(ISNA(VLOOKUP(B1298&amp;"|"&amp;C1298&amp;"|"&amp;D1298&amp;"|"&amp;E1298,QuestionTriggers!A:F,6,FALSE)),"","---&gt;")</f>
        <v/>
      </c>
      <c r="H1298" s="2" t="s">
        <v>1454</v>
      </c>
      <c r="I1298" s="2" t="s">
        <v>177</v>
      </c>
      <c r="J1298" s="2" t="s">
        <v>1455</v>
      </c>
      <c r="K1298" s="2"/>
    </row>
    <row r="1299" spans="1:11" ht="39.6" hidden="1" x14ac:dyDescent="0.3">
      <c r="A1299" t="str">
        <f t="shared" si="20"/>
        <v>Trinsic|Dupre|HEALTH</v>
      </c>
      <c r="B1299" s="2" t="s">
        <v>713</v>
      </c>
      <c r="C1299" s="2" t="s">
        <v>1397</v>
      </c>
      <c r="D1299" s="39" t="s">
        <v>1398</v>
      </c>
      <c r="E1299" s="39" t="s">
        <v>20</v>
      </c>
      <c r="F1299" s="39" t="s">
        <v>284</v>
      </c>
      <c r="G1299" s="8" t="str">
        <f>IF(ISNA(VLOOKUP(B1299&amp;"|"&amp;C1299&amp;"|"&amp;D1299&amp;"|"&amp;E1299,QuestionTriggers!A:F,6,FALSE)),"","---&gt;")</f>
        <v/>
      </c>
      <c r="H1299" s="2" t="s">
        <v>1399</v>
      </c>
      <c r="I1299" s="2" t="s">
        <v>1400</v>
      </c>
      <c r="J1299" s="2" t="s">
        <v>643</v>
      </c>
      <c r="K1299" s="2"/>
    </row>
    <row r="1300" spans="1:11" ht="39.6" hidden="1" x14ac:dyDescent="0.3">
      <c r="A1300" t="str">
        <f t="shared" si="20"/>
        <v>Trinsic|Dupre|Honor..?</v>
      </c>
      <c r="B1300" s="2" t="s">
        <v>713</v>
      </c>
      <c r="C1300" s="2" t="s">
        <v>1397</v>
      </c>
      <c r="D1300" s="2" t="s">
        <v>1398</v>
      </c>
      <c r="E1300" s="6" t="s">
        <v>2497</v>
      </c>
      <c r="F1300" s="6" t="s">
        <v>2492</v>
      </c>
      <c r="G1300" s="8" t="str">
        <f>IF(ISNA(VLOOKUP(B1300&amp;"|"&amp;C1300&amp;"|"&amp;D1300&amp;"|"&amp;E1300,QuestionTriggers!A:F,6,FALSE)),"","---&gt;")</f>
        <v/>
      </c>
      <c r="H1300" s="2" t="s">
        <v>1399</v>
      </c>
      <c r="I1300" s="2" t="s">
        <v>1400</v>
      </c>
      <c r="J1300" s="2" t="s">
        <v>643</v>
      </c>
      <c r="K1300" s="2"/>
    </row>
    <row r="1301" spans="1:11" ht="39.6" hidden="1" x14ac:dyDescent="0.3">
      <c r="A1301" t="str">
        <f t="shared" si="20"/>
        <v>Trinsic|Dupre|My job…?</v>
      </c>
      <c r="B1301" s="2" t="s">
        <v>713</v>
      </c>
      <c r="C1301" s="2" t="s">
        <v>1397</v>
      </c>
      <c r="D1301" s="2" t="s">
        <v>1398</v>
      </c>
      <c r="E1301" s="6" t="s">
        <v>2477</v>
      </c>
      <c r="F1301" s="6" t="s">
        <v>2516</v>
      </c>
      <c r="G1301" s="8" t="str">
        <f>IF(ISNA(VLOOKUP(B1301&amp;"|"&amp;C1301&amp;"|"&amp;D1301&amp;"|"&amp;E1301,QuestionTriggers!A:F,6,FALSE)),"","---&gt;")</f>
        <v/>
      </c>
      <c r="H1301" s="2" t="s">
        <v>1399</v>
      </c>
      <c r="I1301" s="2" t="s">
        <v>1400</v>
      </c>
      <c r="J1301" s="2" t="s">
        <v>643</v>
      </c>
      <c r="K1301" s="2"/>
    </row>
    <row r="1302" spans="1:11" ht="39.6" hidden="1" x14ac:dyDescent="0.3">
      <c r="A1302" t="str">
        <f t="shared" si="20"/>
        <v>Trinsic|Dupre|Welcome!</v>
      </c>
      <c r="B1302" s="2" t="s">
        <v>713</v>
      </c>
      <c r="C1302" s="2" t="s">
        <v>1397</v>
      </c>
      <c r="D1302" s="2" t="s">
        <v>1398</v>
      </c>
      <c r="E1302" s="6" t="s">
        <v>2498</v>
      </c>
      <c r="F1302" s="6" t="s">
        <v>2494</v>
      </c>
      <c r="G1302" s="8" t="str">
        <f>IF(ISNA(VLOOKUP(B1302&amp;"|"&amp;C1302&amp;"|"&amp;D1302&amp;"|"&amp;E1302,QuestionTriggers!A:F,6,FALSE)),"","---&gt;")</f>
        <v/>
      </c>
      <c r="H1302" s="2" t="s">
        <v>1399</v>
      </c>
      <c r="I1302" s="2" t="s">
        <v>1400</v>
      </c>
      <c r="J1302" s="2" t="s">
        <v>643</v>
      </c>
      <c r="K1302" s="2"/>
    </row>
    <row r="1303" spans="1:11" ht="39.6" hidden="1" x14ac:dyDescent="0.3">
      <c r="A1303" t="str">
        <f t="shared" si="20"/>
        <v>Trinsic|Dupre|You see..</v>
      </c>
      <c r="B1303" s="2" t="s">
        <v>713</v>
      </c>
      <c r="C1303" s="2" t="s">
        <v>1397</v>
      </c>
      <c r="D1303" s="2" t="s">
        <v>1398</v>
      </c>
      <c r="E1303" s="6" t="s">
        <v>2505</v>
      </c>
      <c r="F1303" s="2" t="s">
        <v>1401</v>
      </c>
      <c r="G1303" s="8" t="str">
        <f>IF(ISNA(VLOOKUP(B1303&amp;"|"&amp;C1303&amp;"|"&amp;D1303&amp;"|"&amp;E1303,QuestionTriggers!A:F,6,FALSE)),"","---&gt;")</f>
        <v/>
      </c>
      <c r="H1303" s="2" t="s">
        <v>1399</v>
      </c>
      <c r="I1303" s="2" t="s">
        <v>1400</v>
      </c>
      <c r="J1303" s="2" t="s">
        <v>643</v>
      </c>
      <c r="K1303" s="2"/>
    </row>
    <row r="1304" spans="1:11" ht="39.6" hidden="1" x14ac:dyDescent="0.3">
      <c r="A1304" t="str">
        <f t="shared" si="20"/>
        <v>Trinsic|Dupre|NAME</v>
      </c>
      <c r="B1304" s="2" t="s">
        <v>713</v>
      </c>
      <c r="C1304" s="2" t="s">
        <v>1397</v>
      </c>
      <c r="D1304" s="39" t="s">
        <v>1398</v>
      </c>
      <c r="E1304" s="39" t="s">
        <v>12</v>
      </c>
      <c r="F1304" s="39" t="s">
        <v>1398</v>
      </c>
      <c r="G1304" s="8" t="str">
        <f>IF(ISNA(VLOOKUP(B1304&amp;"|"&amp;C1304&amp;"|"&amp;D1304&amp;"|"&amp;E1304,QuestionTriggers!A:F,6,FALSE)),"","---&gt;")</f>
        <v/>
      </c>
      <c r="H1304" s="2" t="s">
        <v>1399</v>
      </c>
      <c r="I1304" s="2" t="s">
        <v>1400</v>
      </c>
      <c r="J1304" s="2" t="s">
        <v>643</v>
      </c>
      <c r="K1304" s="2"/>
    </row>
    <row r="1305" spans="1:11" ht="26.4" hidden="1" x14ac:dyDescent="0.3">
      <c r="A1305" t="str">
        <f t="shared" si="20"/>
        <v>Trinsic|Gate Guard|GATE</v>
      </c>
      <c r="B1305" s="2" t="s">
        <v>713</v>
      </c>
      <c r="C1305" s="39" t="s">
        <v>1397</v>
      </c>
      <c r="D1305" s="39" t="s">
        <v>26</v>
      </c>
      <c r="E1305" s="39" t="s">
        <v>504</v>
      </c>
      <c r="F1305" s="39" t="s">
        <v>1508</v>
      </c>
      <c r="G1305" s="8" t="str">
        <f>IF(ISNA(VLOOKUP(B1305&amp;"|"&amp;C1305&amp;"|"&amp;D1305&amp;"|"&amp;E1305,QuestionTriggers!A:F,6,FALSE)),"","---&gt;")</f>
        <v/>
      </c>
      <c r="H1305" s="2" t="s">
        <v>1504</v>
      </c>
      <c r="I1305" s="2" t="s">
        <v>1505</v>
      </c>
      <c r="J1305" s="2" t="s">
        <v>1506</v>
      </c>
      <c r="K1305" s="2"/>
    </row>
    <row r="1306" spans="1:11" ht="26.4" hidden="1" x14ac:dyDescent="0.3">
      <c r="A1306" t="str">
        <f t="shared" si="20"/>
        <v>Trinsic|Gate Guard|GUAR</v>
      </c>
      <c r="B1306" s="2" t="s">
        <v>713</v>
      </c>
      <c r="C1306" s="39" t="s">
        <v>1397</v>
      </c>
      <c r="D1306" s="39" t="s">
        <v>26</v>
      </c>
      <c r="E1306" s="39" t="s">
        <v>34</v>
      </c>
      <c r="F1306" s="39" t="s">
        <v>1509</v>
      </c>
      <c r="G1306" s="8" t="str">
        <f>IF(ISNA(VLOOKUP(B1306&amp;"|"&amp;C1306&amp;"|"&amp;D1306&amp;"|"&amp;E1306,QuestionTriggers!A:F,6,FALSE)),"","---&gt;")</f>
        <v>---&gt;</v>
      </c>
      <c r="H1306" s="2" t="s">
        <v>1504</v>
      </c>
      <c r="I1306" s="2" t="s">
        <v>1505</v>
      </c>
      <c r="J1306" s="2" t="s">
        <v>1506</v>
      </c>
      <c r="K1306" s="2"/>
    </row>
    <row r="1307" spans="1:11" ht="26.4" hidden="1" x14ac:dyDescent="0.3">
      <c r="A1307" t="str">
        <f t="shared" si="20"/>
        <v>Trinsic|Gate Guard|HEALTH</v>
      </c>
      <c r="B1307" s="2" t="s">
        <v>713</v>
      </c>
      <c r="C1307" s="39" t="s">
        <v>1397</v>
      </c>
      <c r="D1307" s="39" t="s">
        <v>26</v>
      </c>
      <c r="E1307" s="39" t="s">
        <v>20</v>
      </c>
      <c r="F1307" s="39" t="s">
        <v>616</v>
      </c>
      <c r="G1307" s="8" t="str">
        <f>IF(ISNA(VLOOKUP(B1307&amp;"|"&amp;C1307&amp;"|"&amp;D1307&amp;"|"&amp;E1307,QuestionTriggers!A:F,6,FALSE)),"","---&gt;")</f>
        <v/>
      </c>
      <c r="H1307" s="2" t="s">
        <v>1504</v>
      </c>
      <c r="I1307" s="2" t="s">
        <v>1505</v>
      </c>
      <c r="J1307" s="2" t="s">
        <v>1506</v>
      </c>
      <c r="K1307" s="2"/>
    </row>
    <row r="1308" spans="1:11" ht="26.4" hidden="1" x14ac:dyDescent="0.3">
      <c r="A1308" t="str">
        <f t="shared" si="20"/>
        <v>Trinsic|Gate Guard|My job…?</v>
      </c>
      <c r="B1308" s="2" t="s">
        <v>713</v>
      </c>
      <c r="C1308" s="39" t="s">
        <v>1397</v>
      </c>
      <c r="D1308" s="39" t="s">
        <v>26</v>
      </c>
      <c r="E1308" s="46" t="s">
        <v>2477</v>
      </c>
      <c r="F1308" s="39" t="s">
        <v>1507</v>
      </c>
      <c r="G1308" s="8" t="str">
        <f>IF(ISNA(VLOOKUP(B1308&amp;"|"&amp;C1308&amp;"|"&amp;D1308&amp;"|"&amp;E1308,QuestionTriggers!A:F,6,FALSE)),"","---&gt;")</f>
        <v/>
      </c>
      <c r="H1308" s="2" t="s">
        <v>1504</v>
      </c>
      <c r="I1308" s="2" t="s">
        <v>1505</v>
      </c>
      <c r="J1308" s="2" t="s">
        <v>1506</v>
      </c>
      <c r="K1308" s="2"/>
    </row>
    <row r="1309" spans="1:11" ht="26.4" hidden="1" x14ac:dyDescent="0.3">
      <c r="A1309" t="str">
        <f t="shared" si="20"/>
        <v>Trinsic|Gate Guard|You see..</v>
      </c>
      <c r="B1309" s="2" t="s">
        <v>713</v>
      </c>
      <c r="C1309" s="39" t="s">
        <v>1397</v>
      </c>
      <c r="D1309" s="39" t="s">
        <v>26</v>
      </c>
      <c r="E1309" s="46" t="s">
        <v>2505</v>
      </c>
      <c r="F1309" s="39" t="s">
        <v>1393</v>
      </c>
      <c r="G1309" s="8" t="str">
        <f>IF(ISNA(VLOOKUP(B1309&amp;"|"&amp;C1309&amp;"|"&amp;D1309&amp;"|"&amp;E1309,QuestionTriggers!A:F,6,FALSE)),"","---&gt;")</f>
        <v/>
      </c>
      <c r="H1309" s="2" t="s">
        <v>1504</v>
      </c>
      <c r="I1309" s="2" t="s">
        <v>1505</v>
      </c>
      <c r="J1309" s="2" t="s">
        <v>1506</v>
      </c>
      <c r="K1309" s="2"/>
    </row>
    <row r="1310" spans="1:11" ht="26.4" hidden="1" x14ac:dyDescent="0.3">
      <c r="A1310" t="str">
        <f t="shared" si="20"/>
        <v>Trinsic|Gate Guard|NAME</v>
      </c>
      <c r="B1310" s="2" t="s">
        <v>713</v>
      </c>
      <c r="C1310" s="39" t="s">
        <v>1397</v>
      </c>
      <c r="D1310" s="39" t="s">
        <v>26</v>
      </c>
      <c r="E1310" s="39" t="s">
        <v>12</v>
      </c>
      <c r="F1310" s="39" t="s">
        <v>27</v>
      </c>
      <c r="G1310" s="8" t="str">
        <f>IF(ISNA(VLOOKUP(B1310&amp;"|"&amp;C1310&amp;"|"&amp;D1310&amp;"|"&amp;E1310,QuestionTriggers!A:F,6,FALSE)),"","---&gt;")</f>
        <v/>
      </c>
      <c r="H1310" s="2" t="s">
        <v>1504</v>
      </c>
      <c r="I1310" s="2" t="s">
        <v>1505</v>
      </c>
      <c r="J1310" s="2" t="s">
        <v>1506</v>
      </c>
      <c r="K1310" s="2"/>
    </row>
    <row r="1311" spans="1:11" hidden="1" x14ac:dyDescent="0.3">
      <c r="A1311" t="str">
        <f t="shared" si="20"/>
        <v>Trinsic|Guard|GUAR</v>
      </c>
      <c r="B1311" s="2" t="s">
        <v>713</v>
      </c>
      <c r="C1311" s="39" t="s">
        <v>1397</v>
      </c>
      <c r="D1311" s="39" t="s">
        <v>337</v>
      </c>
      <c r="E1311" s="39" t="s">
        <v>34</v>
      </c>
      <c r="F1311" s="39" t="s">
        <v>1512</v>
      </c>
      <c r="G1311" s="8" t="str">
        <f>IF(ISNA(VLOOKUP(B1311&amp;"|"&amp;C1311&amp;"|"&amp;D1311&amp;"|"&amp;E1311,QuestionTriggers!A:F,6,FALSE)),"","---&gt;")</f>
        <v/>
      </c>
      <c r="H1311" s="2"/>
      <c r="I1311" s="2"/>
      <c r="J1311" s="2"/>
      <c r="K1311" s="2"/>
    </row>
    <row r="1312" spans="1:11" hidden="1" x14ac:dyDescent="0.3">
      <c r="A1312" t="str">
        <f t="shared" si="20"/>
        <v>Trinsic|Guard|HEALTH</v>
      </c>
      <c r="B1312" s="2" t="s">
        <v>713</v>
      </c>
      <c r="C1312" s="39" t="s">
        <v>1397</v>
      </c>
      <c r="D1312" s="39" t="s">
        <v>337</v>
      </c>
      <c r="E1312" s="39" t="s">
        <v>20</v>
      </c>
      <c r="F1312" s="39" t="s">
        <v>1511</v>
      </c>
      <c r="G1312" s="8" t="str">
        <f>IF(ISNA(VLOOKUP(B1312&amp;"|"&amp;C1312&amp;"|"&amp;D1312&amp;"|"&amp;E1312,QuestionTriggers!A:F,6,FALSE)),"","---&gt;")</f>
        <v/>
      </c>
      <c r="H1312" s="2"/>
      <c r="I1312" s="2"/>
      <c r="J1312" s="2"/>
      <c r="K1312" s="2"/>
    </row>
    <row r="1313" spans="1:11" hidden="1" x14ac:dyDescent="0.3">
      <c r="A1313" t="str">
        <f t="shared" si="20"/>
        <v>Trinsic|Guard|My job…?</v>
      </c>
      <c r="B1313" s="2" t="s">
        <v>713</v>
      </c>
      <c r="C1313" s="39" t="s">
        <v>1397</v>
      </c>
      <c r="D1313" s="39" t="s">
        <v>337</v>
      </c>
      <c r="E1313" s="46" t="s">
        <v>2477</v>
      </c>
      <c r="F1313" s="39" t="s">
        <v>1510</v>
      </c>
      <c r="G1313" s="8" t="str">
        <f>IF(ISNA(VLOOKUP(B1313&amp;"|"&amp;C1313&amp;"|"&amp;D1313&amp;"|"&amp;E1313,QuestionTriggers!A:F,6,FALSE)),"","---&gt;")</f>
        <v/>
      </c>
      <c r="H1313" s="2"/>
      <c r="I1313" s="2"/>
      <c r="J1313" s="2"/>
      <c r="K1313" s="2"/>
    </row>
    <row r="1314" spans="1:11" hidden="1" x14ac:dyDescent="0.3">
      <c r="A1314" t="str">
        <f t="shared" si="20"/>
        <v>Trinsic|Guard|You see..</v>
      </c>
      <c r="B1314" s="2" t="s">
        <v>713</v>
      </c>
      <c r="C1314" s="39" t="s">
        <v>1397</v>
      </c>
      <c r="D1314" s="39" t="s">
        <v>337</v>
      </c>
      <c r="E1314" s="46" t="s">
        <v>2505</v>
      </c>
      <c r="F1314" s="39" t="s">
        <v>310</v>
      </c>
      <c r="G1314" s="8" t="str">
        <f>IF(ISNA(VLOOKUP(B1314&amp;"|"&amp;C1314&amp;"|"&amp;D1314&amp;"|"&amp;E1314,QuestionTriggers!A:F,6,FALSE)),"","---&gt;")</f>
        <v/>
      </c>
      <c r="H1314" s="2"/>
      <c r="I1314" s="2"/>
      <c r="J1314" s="2"/>
      <c r="K1314" s="2"/>
    </row>
    <row r="1315" spans="1:11" hidden="1" x14ac:dyDescent="0.3">
      <c r="A1315" t="str">
        <f t="shared" si="20"/>
        <v>Trinsic|Guard|NAME</v>
      </c>
      <c r="B1315" s="2" t="s">
        <v>713</v>
      </c>
      <c r="C1315" s="39" t="s">
        <v>1397</v>
      </c>
      <c r="D1315" s="39" t="s">
        <v>337</v>
      </c>
      <c r="E1315" s="39" t="s">
        <v>12</v>
      </c>
      <c r="F1315" s="39" t="s">
        <v>27</v>
      </c>
      <c r="G1315" s="8" t="str">
        <f>IF(ISNA(VLOOKUP(B1315&amp;"|"&amp;C1315&amp;"|"&amp;D1315&amp;"|"&amp;E1315,QuestionTriggers!A:F,6,FALSE)),"","---&gt;")</f>
        <v/>
      </c>
      <c r="H1315" s="2"/>
      <c r="I1315" s="2"/>
      <c r="J1315" s="2"/>
      <c r="K1315" s="2"/>
    </row>
    <row r="1316" spans="1:11" hidden="1" x14ac:dyDescent="0.3">
      <c r="A1316" t="str">
        <f t="shared" si="20"/>
        <v>Trinsic|Guard|STRO</v>
      </c>
      <c r="B1316" s="2" t="s">
        <v>713</v>
      </c>
      <c r="C1316" s="39" t="s">
        <v>1397</v>
      </c>
      <c r="D1316" s="39" t="s">
        <v>337</v>
      </c>
      <c r="E1316" s="39" t="s">
        <v>1513</v>
      </c>
      <c r="F1316" s="39" t="s">
        <v>337</v>
      </c>
      <c r="G1316" s="8" t="str">
        <f>IF(ISNA(VLOOKUP(B1316&amp;"|"&amp;C1316&amp;"|"&amp;D1316&amp;"|"&amp;E1316,QuestionTriggers!A:F,6,FALSE)),"","---&gt;")</f>
        <v/>
      </c>
      <c r="H1316" s="2"/>
      <c r="I1316" s="2"/>
      <c r="J1316" s="2"/>
      <c r="K1316" s="2"/>
    </row>
    <row r="1317" spans="1:11" ht="26.4" hidden="1" x14ac:dyDescent="0.3">
      <c r="A1317" t="str">
        <f t="shared" si="20"/>
        <v>Trinsic|Kline|HEALTH</v>
      </c>
      <c r="B1317" s="2" t="s">
        <v>713</v>
      </c>
      <c r="C1317" s="3" t="s">
        <v>1397</v>
      </c>
      <c r="D1317" s="48" t="s">
        <v>1435</v>
      </c>
      <c r="E1317" s="48" t="s">
        <v>20</v>
      </c>
      <c r="F1317" s="48" t="s">
        <v>93</v>
      </c>
      <c r="G1317" s="8" t="str">
        <f>IF(ISNA(VLOOKUP(B1317&amp;"|"&amp;C1317&amp;"|"&amp;D1317&amp;"|"&amp;E1317,QuestionTriggers!A:F,6,FALSE)),"","---&gt;")</f>
        <v/>
      </c>
      <c r="H1317" s="2" t="s">
        <v>1436</v>
      </c>
      <c r="I1317" s="2" t="s">
        <v>1437</v>
      </c>
      <c r="J1317" s="2" t="s">
        <v>1438</v>
      </c>
      <c r="K1317" s="2"/>
    </row>
    <row r="1318" spans="1:11" ht="26.4" hidden="1" x14ac:dyDescent="0.3">
      <c r="A1318" t="str">
        <f t="shared" si="20"/>
        <v>Trinsic|Kline|My passion?</v>
      </c>
      <c r="B1318" s="2" t="s">
        <v>713</v>
      </c>
      <c r="C1318" s="3" t="s">
        <v>1397</v>
      </c>
      <c r="D1318" s="3" t="s">
        <v>1435</v>
      </c>
      <c r="E1318" s="3" t="s">
        <v>2474</v>
      </c>
      <c r="F1318" s="3" t="s">
        <v>2473</v>
      </c>
      <c r="G1318" s="8" t="str">
        <f>IF(ISNA(VLOOKUP(B1318&amp;"|"&amp;C1318&amp;"|"&amp;D1318&amp;"|"&amp;E1318,QuestionTriggers!A:F,6,FALSE)),"","---&gt;")</f>
        <v/>
      </c>
      <c r="H1318" s="2" t="s">
        <v>1436</v>
      </c>
      <c r="I1318" s="2" t="s">
        <v>1437</v>
      </c>
      <c r="J1318" s="2" t="s">
        <v>1438</v>
      </c>
      <c r="K1318" s="2"/>
    </row>
    <row r="1319" spans="1:11" ht="26.4" hidden="1" x14ac:dyDescent="0.3">
      <c r="A1319" t="str">
        <f t="shared" si="20"/>
        <v>Trinsic|Kline|You see..</v>
      </c>
      <c r="B1319" s="2" t="s">
        <v>713</v>
      </c>
      <c r="C1319" s="3" t="s">
        <v>1397</v>
      </c>
      <c r="D1319" s="3" t="s">
        <v>1435</v>
      </c>
      <c r="E1319" s="3" t="s">
        <v>2505</v>
      </c>
      <c r="F1319" s="3" t="s">
        <v>1439</v>
      </c>
      <c r="G1319" s="8" t="str">
        <f>IF(ISNA(VLOOKUP(B1319&amp;"|"&amp;C1319&amp;"|"&amp;D1319&amp;"|"&amp;E1319,QuestionTriggers!A:F,6,FALSE)),"","---&gt;")</f>
        <v/>
      </c>
      <c r="H1319" s="2" t="s">
        <v>1436</v>
      </c>
      <c r="I1319" s="2" t="s">
        <v>1437</v>
      </c>
      <c r="J1319" s="2" t="s">
        <v>1438</v>
      </c>
      <c r="K1319" s="2"/>
    </row>
    <row r="1320" spans="1:11" ht="26.4" hidden="1" x14ac:dyDescent="0.3">
      <c r="A1320" t="str">
        <f t="shared" si="20"/>
        <v>Trinsic|Kline|The mantra..?</v>
      </c>
      <c r="B1320" s="2" t="s">
        <v>713</v>
      </c>
      <c r="C1320" s="3" t="s">
        <v>1397</v>
      </c>
      <c r="D1320" s="3" t="s">
        <v>1435</v>
      </c>
      <c r="E1320" s="3" t="s">
        <v>2496</v>
      </c>
      <c r="F1320" s="41" t="s">
        <v>2472</v>
      </c>
      <c r="G1320" s="8" t="str">
        <f>IF(ISNA(VLOOKUP(B1320&amp;"|"&amp;C1320&amp;"|"&amp;D1320&amp;"|"&amp;E1320,QuestionTriggers!A:F,6,FALSE)),"","---&gt;")</f>
        <v/>
      </c>
      <c r="H1320" s="2" t="s">
        <v>1436</v>
      </c>
      <c r="I1320" s="2" t="s">
        <v>1437</v>
      </c>
      <c r="J1320" s="2" t="s">
        <v>1438</v>
      </c>
      <c r="K1320" s="2"/>
    </row>
    <row r="1321" spans="1:11" ht="26.4" hidden="1" x14ac:dyDescent="0.3">
      <c r="A1321" t="str">
        <f t="shared" si="20"/>
        <v>Trinsic|Kline|NAME</v>
      </c>
      <c r="B1321" s="2" t="s">
        <v>713</v>
      </c>
      <c r="C1321" s="3" t="s">
        <v>1397</v>
      </c>
      <c r="D1321" s="48" t="s">
        <v>1435</v>
      </c>
      <c r="E1321" s="48" t="s">
        <v>12</v>
      </c>
      <c r="F1321" s="48" t="s">
        <v>1435</v>
      </c>
      <c r="G1321" s="8" t="str">
        <f>IF(ISNA(VLOOKUP(B1321&amp;"|"&amp;C1321&amp;"|"&amp;D1321&amp;"|"&amp;E1321,QuestionTriggers!A:F,6,FALSE)),"","---&gt;")</f>
        <v/>
      </c>
      <c r="H1321" s="2" t="s">
        <v>1436</v>
      </c>
      <c r="I1321" s="2" t="s">
        <v>1437</v>
      </c>
      <c r="J1321" s="2" t="s">
        <v>1438</v>
      </c>
      <c r="K1321" s="2"/>
    </row>
    <row r="1322" spans="1:11" ht="26.4" hidden="1" x14ac:dyDescent="0.3">
      <c r="A1322" t="str">
        <f t="shared" si="20"/>
        <v>Trinsic|Kline|The rune..?</v>
      </c>
      <c r="B1322" s="2" t="s">
        <v>713</v>
      </c>
      <c r="C1322" s="3" t="s">
        <v>1397</v>
      </c>
      <c r="D1322" s="3" t="s">
        <v>1435</v>
      </c>
      <c r="E1322" s="3" t="s">
        <v>2495</v>
      </c>
      <c r="F1322" s="3" t="s">
        <v>1440</v>
      </c>
      <c r="G1322" s="8" t="str">
        <f>IF(ISNA(VLOOKUP(B1322&amp;"|"&amp;C1322&amp;"|"&amp;D1322&amp;"|"&amp;E1322,QuestionTriggers!A:F,6,FALSE)),"","---&gt;")</f>
        <v/>
      </c>
      <c r="H1322" s="2" t="s">
        <v>1436</v>
      </c>
      <c r="I1322" s="2" t="s">
        <v>1437</v>
      </c>
      <c r="J1322" s="2" t="s">
        <v>1438</v>
      </c>
      <c r="K1322" s="2"/>
    </row>
    <row r="1323" spans="1:11" ht="26.4" hidden="1" x14ac:dyDescent="0.3">
      <c r="A1323" t="str">
        <f t="shared" si="20"/>
        <v>Trinsic|Lexington|HEALTH</v>
      </c>
      <c r="B1323" s="2" t="s">
        <v>713</v>
      </c>
      <c r="C1323" s="3" t="s">
        <v>1397</v>
      </c>
      <c r="D1323" s="48" t="s">
        <v>1426</v>
      </c>
      <c r="E1323" s="48" t="s">
        <v>20</v>
      </c>
      <c r="F1323" s="48" t="s">
        <v>1431</v>
      </c>
      <c r="G1323" s="8" t="str">
        <f>IF(ISNA(VLOOKUP(B1323&amp;"|"&amp;C1323&amp;"|"&amp;D1323&amp;"|"&amp;E1323,QuestionTriggers!A:F,6,FALSE)),"","---&gt;")</f>
        <v/>
      </c>
      <c r="H1323" s="2" t="s">
        <v>1427</v>
      </c>
      <c r="I1323" s="2" t="s">
        <v>1428</v>
      </c>
      <c r="J1323" s="2" t="s">
        <v>90</v>
      </c>
      <c r="K1323" s="2"/>
    </row>
    <row r="1324" spans="1:11" ht="26.4" hidden="1" x14ac:dyDescent="0.3">
      <c r="A1324" t="str">
        <f t="shared" si="20"/>
        <v>Trinsic|Lexington|My job…?</v>
      </c>
      <c r="B1324" s="2" t="s">
        <v>713</v>
      </c>
      <c r="C1324" s="3" t="s">
        <v>1397</v>
      </c>
      <c r="D1324" s="3" t="s">
        <v>1426</v>
      </c>
      <c r="E1324" s="3" t="s">
        <v>2477</v>
      </c>
      <c r="F1324" s="3" t="s">
        <v>1430</v>
      </c>
      <c r="G1324" s="8" t="str">
        <f>IF(ISNA(VLOOKUP(B1324&amp;"|"&amp;C1324&amp;"|"&amp;D1324&amp;"|"&amp;E1324,QuestionTriggers!A:F,6,FALSE)),"","---&gt;")</f>
        <v/>
      </c>
      <c r="H1324" s="2" t="s">
        <v>1427</v>
      </c>
      <c r="I1324" s="2" t="s">
        <v>1428</v>
      </c>
      <c r="J1324" s="2" t="s">
        <v>90</v>
      </c>
      <c r="K1324" s="2"/>
    </row>
    <row r="1325" spans="1:11" ht="26.4" hidden="1" x14ac:dyDescent="0.3">
      <c r="A1325" t="str">
        <f t="shared" si="20"/>
        <v>Trinsic|Lexington|You see..</v>
      </c>
      <c r="B1325" s="2" t="s">
        <v>713</v>
      </c>
      <c r="C1325" s="3" t="s">
        <v>1397</v>
      </c>
      <c r="D1325" s="3" t="s">
        <v>1426</v>
      </c>
      <c r="E1325" s="3" t="s">
        <v>2505</v>
      </c>
      <c r="F1325" s="3" t="s">
        <v>1429</v>
      </c>
      <c r="G1325" s="8" t="str">
        <f>IF(ISNA(VLOOKUP(B1325&amp;"|"&amp;C1325&amp;"|"&amp;D1325&amp;"|"&amp;E1325,QuestionTriggers!A:F,6,FALSE)),"","---&gt;")</f>
        <v/>
      </c>
      <c r="H1325" s="2" t="s">
        <v>1427</v>
      </c>
      <c r="I1325" s="2" t="s">
        <v>1428</v>
      </c>
      <c r="J1325" s="2" t="s">
        <v>90</v>
      </c>
      <c r="K1325" s="2"/>
    </row>
    <row r="1326" spans="1:11" ht="26.4" hidden="1" x14ac:dyDescent="0.3">
      <c r="A1326" t="str">
        <f t="shared" si="20"/>
        <v>Trinsic|Lexington|NAME</v>
      </c>
      <c r="B1326" s="2" t="s">
        <v>713</v>
      </c>
      <c r="C1326" s="3" t="s">
        <v>1397</v>
      </c>
      <c r="D1326" s="48" t="s">
        <v>1426</v>
      </c>
      <c r="E1326" s="48" t="s">
        <v>12</v>
      </c>
      <c r="F1326" s="48" t="s">
        <v>1426</v>
      </c>
      <c r="G1326" s="8" t="str">
        <f>IF(ISNA(VLOOKUP(B1326&amp;"|"&amp;C1326&amp;"|"&amp;D1326&amp;"|"&amp;E1326,QuestionTriggers!A:F,6,FALSE)),"","---&gt;")</f>
        <v/>
      </c>
      <c r="H1326" s="2" t="s">
        <v>1427</v>
      </c>
      <c r="I1326" s="2" t="s">
        <v>1428</v>
      </c>
      <c r="J1326" s="2" t="s">
        <v>90</v>
      </c>
      <c r="K1326" s="2"/>
    </row>
    <row r="1327" spans="1:11" ht="26.4" hidden="1" x14ac:dyDescent="0.3">
      <c r="A1327" t="str">
        <f t="shared" si="20"/>
        <v>Trinsic|Lexington|QUES</v>
      </c>
      <c r="B1327" s="2" t="s">
        <v>713</v>
      </c>
      <c r="C1327" s="3" t="s">
        <v>1397</v>
      </c>
      <c r="D1327" s="3" t="s">
        <v>1426</v>
      </c>
      <c r="E1327" s="3" t="s">
        <v>259</v>
      </c>
      <c r="F1327" s="41" t="s">
        <v>1434</v>
      </c>
      <c r="G1327" s="8" t="str">
        <f>IF(ISNA(VLOOKUP(B1327&amp;"|"&amp;C1327&amp;"|"&amp;D1327&amp;"|"&amp;E1327,QuestionTriggers!A:F,6,FALSE)),"","---&gt;")</f>
        <v>---&gt;</v>
      </c>
      <c r="H1327" s="2" t="s">
        <v>1427</v>
      </c>
      <c r="I1327" s="2" t="s">
        <v>1428</v>
      </c>
      <c r="J1327" s="2" t="s">
        <v>90</v>
      </c>
      <c r="K1327" s="2"/>
    </row>
    <row r="1328" spans="1:11" ht="26.4" hidden="1" x14ac:dyDescent="0.3">
      <c r="A1328" t="str">
        <f t="shared" si="20"/>
        <v>Trinsic|Lexington|WARL</v>
      </c>
      <c r="B1328" s="2" t="s">
        <v>713</v>
      </c>
      <c r="C1328" s="3" t="s">
        <v>1397</v>
      </c>
      <c r="D1328" s="3" t="s">
        <v>1426</v>
      </c>
      <c r="E1328" s="3" t="s">
        <v>1432</v>
      </c>
      <c r="F1328" s="3" t="s">
        <v>1433</v>
      </c>
      <c r="G1328" s="8" t="str">
        <f>IF(ISNA(VLOOKUP(B1328&amp;"|"&amp;C1328&amp;"|"&amp;D1328&amp;"|"&amp;E1328,QuestionTriggers!A:F,6,FALSE)),"","---&gt;")</f>
        <v/>
      </c>
      <c r="H1328" s="2" t="s">
        <v>1427</v>
      </c>
      <c r="I1328" s="2" t="s">
        <v>1428</v>
      </c>
      <c r="J1328" s="2" t="s">
        <v>90</v>
      </c>
      <c r="K1328" s="2"/>
    </row>
    <row r="1329" spans="1:11" s="38" customFormat="1" ht="26.4" hidden="1" x14ac:dyDescent="0.3">
      <c r="A1329" s="38" t="str">
        <f t="shared" si="20"/>
        <v>Trinsic|Publius|HEALTH</v>
      </c>
      <c r="B1329" s="39" t="s">
        <v>713</v>
      </c>
      <c r="C1329" s="39" t="s">
        <v>1397</v>
      </c>
      <c r="D1329" s="39" t="s">
        <v>1409</v>
      </c>
      <c r="E1329" s="39" t="s">
        <v>20</v>
      </c>
      <c r="F1329" s="39" t="s">
        <v>1415</v>
      </c>
      <c r="G1329" s="40" t="str">
        <f>IF(ISNA(VLOOKUP(B1329&amp;"|"&amp;C1329&amp;"|"&amp;D1329&amp;"|"&amp;E1329,QuestionTriggers!A:F,6,FALSE)),"","---&gt;")</f>
        <v/>
      </c>
      <c r="H1329" s="39" t="s">
        <v>1410</v>
      </c>
      <c r="I1329" s="39" t="s">
        <v>1411</v>
      </c>
      <c r="J1329" s="39" t="s">
        <v>1412</v>
      </c>
      <c r="K1329" s="39"/>
    </row>
    <row r="1330" spans="1:11" s="38" customFormat="1" ht="26.4" hidden="1" x14ac:dyDescent="0.3">
      <c r="A1330" s="38" t="str">
        <f t="shared" si="20"/>
        <v>Trinsic|Publius|HONO</v>
      </c>
      <c r="B1330" s="39" t="s">
        <v>713</v>
      </c>
      <c r="C1330" s="39" t="s">
        <v>1397</v>
      </c>
      <c r="D1330" s="39" t="s">
        <v>1409</v>
      </c>
      <c r="E1330" s="39" t="s">
        <v>249</v>
      </c>
      <c r="F1330" s="39" t="s">
        <v>1416</v>
      </c>
      <c r="G1330" s="40" t="str">
        <f>IF(ISNA(VLOOKUP(B1330&amp;"|"&amp;C1330&amp;"|"&amp;D1330&amp;"|"&amp;E1330,QuestionTriggers!A:F,6,FALSE)),"","---&gt;")</f>
        <v/>
      </c>
      <c r="H1330" s="39" t="s">
        <v>1410</v>
      </c>
      <c r="I1330" s="39" t="s">
        <v>1411</v>
      </c>
      <c r="J1330" s="39" t="s">
        <v>1412</v>
      </c>
      <c r="K1330" s="39"/>
    </row>
    <row r="1331" spans="1:11" s="38" customFormat="1" ht="26.4" hidden="1" x14ac:dyDescent="0.3">
      <c r="A1331" s="38" t="str">
        <f t="shared" si="20"/>
        <v>Trinsic|Publius|JOB</v>
      </c>
      <c r="B1331" s="39" t="s">
        <v>713</v>
      </c>
      <c r="C1331" s="39" t="s">
        <v>1397</v>
      </c>
      <c r="D1331" s="39" t="s">
        <v>1409</v>
      </c>
      <c r="E1331" s="39" t="s">
        <v>18</v>
      </c>
      <c r="F1331" s="39" t="s">
        <v>1414</v>
      </c>
      <c r="G1331" s="40" t="str">
        <f>IF(ISNA(VLOOKUP(B1331&amp;"|"&amp;C1331&amp;"|"&amp;D1331&amp;"|"&amp;E1331,QuestionTriggers!A:F,6,FALSE)),"","---&gt;")</f>
        <v/>
      </c>
      <c r="H1331" s="39" t="s">
        <v>1410</v>
      </c>
      <c r="I1331" s="39" t="s">
        <v>1411</v>
      </c>
      <c r="J1331" s="39" t="s">
        <v>1412</v>
      </c>
      <c r="K1331" s="39"/>
    </row>
    <row r="1332" spans="1:11" s="38" customFormat="1" ht="26.4" hidden="1" x14ac:dyDescent="0.3">
      <c r="A1332" s="38" t="str">
        <f t="shared" si="20"/>
        <v>Trinsic|Publius|LOOK</v>
      </c>
      <c r="B1332" s="39" t="s">
        <v>713</v>
      </c>
      <c r="C1332" s="39" t="s">
        <v>1397</v>
      </c>
      <c r="D1332" s="39" t="s">
        <v>1409</v>
      </c>
      <c r="E1332" s="39" t="s">
        <v>16</v>
      </c>
      <c r="F1332" s="39" t="s">
        <v>1413</v>
      </c>
      <c r="G1332" s="40" t="str">
        <f>IF(ISNA(VLOOKUP(B1332&amp;"|"&amp;C1332&amp;"|"&amp;D1332&amp;"|"&amp;E1332,QuestionTriggers!A:F,6,FALSE)),"","---&gt;")</f>
        <v/>
      </c>
      <c r="H1332" s="39" t="s">
        <v>1410</v>
      </c>
      <c r="I1332" s="39" t="s">
        <v>1411</v>
      </c>
      <c r="J1332" s="39" t="s">
        <v>1412</v>
      </c>
      <c r="K1332" s="39"/>
    </row>
    <row r="1333" spans="1:11" s="38" customFormat="1" ht="26.4" hidden="1" x14ac:dyDescent="0.3">
      <c r="A1333" s="38" t="str">
        <f t="shared" si="20"/>
        <v>Trinsic|Publius|NAME</v>
      </c>
      <c r="B1333" s="39" t="s">
        <v>713</v>
      </c>
      <c r="C1333" s="39" t="s">
        <v>1397</v>
      </c>
      <c r="D1333" s="39" t="s">
        <v>1409</v>
      </c>
      <c r="E1333" s="39" t="s">
        <v>12</v>
      </c>
      <c r="F1333" s="39" t="s">
        <v>1409</v>
      </c>
      <c r="G1333" s="40" t="str">
        <f>IF(ISNA(VLOOKUP(B1333&amp;"|"&amp;C1333&amp;"|"&amp;D1333&amp;"|"&amp;E1333,QuestionTriggers!A:F,6,FALSE)),"","---&gt;")</f>
        <v/>
      </c>
      <c r="H1333" s="39" t="s">
        <v>1410</v>
      </c>
      <c r="I1333" s="39" t="s">
        <v>1411</v>
      </c>
      <c r="J1333" s="39" t="s">
        <v>1412</v>
      </c>
      <c r="K1333" s="39"/>
    </row>
    <row r="1334" spans="1:11" s="38" customFormat="1" hidden="1" x14ac:dyDescent="0.3">
      <c r="A1334" s="38" t="str">
        <f t="shared" si="20"/>
        <v>Trinsic|Quix|HEALTH</v>
      </c>
      <c r="B1334" s="39" t="s">
        <v>713</v>
      </c>
      <c r="C1334" s="39" t="s">
        <v>1397</v>
      </c>
      <c r="D1334" s="39" t="s">
        <v>1461</v>
      </c>
      <c r="E1334" s="39" t="s">
        <v>20</v>
      </c>
      <c r="F1334" s="39" t="s">
        <v>1467</v>
      </c>
      <c r="G1334" s="40" t="str">
        <f>IF(ISNA(VLOOKUP(B1334&amp;"|"&amp;C1334&amp;"|"&amp;D1334&amp;"|"&amp;E1334,QuestionTriggers!A:F,6,FALSE)),"","---&gt;")</f>
        <v/>
      </c>
      <c r="H1334" s="39" t="s">
        <v>1462</v>
      </c>
      <c r="I1334" s="39" t="s">
        <v>1463</v>
      </c>
      <c r="J1334" s="39" t="s">
        <v>1464</v>
      </c>
      <c r="K1334" s="39"/>
    </row>
    <row r="1335" spans="1:11" s="38" customFormat="1" hidden="1" x14ac:dyDescent="0.3">
      <c r="A1335" s="38" t="str">
        <f t="shared" si="20"/>
        <v>Trinsic|Quix|JOB</v>
      </c>
      <c r="B1335" s="39" t="s">
        <v>713</v>
      </c>
      <c r="C1335" s="39" t="s">
        <v>1397</v>
      </c>
      <c r="D1335" s="39" t="s">
        <v>1461</v>
      </c>
      <c r="E1335" s="39" t="s">
        <v>18</v>
      </c>
      <c r="F1335" s="39" t="s">
        <v>1466</v>
      </c>
      <c r="G1335" s="40" t="str">
        <f>IF(ISNA(VLOOKUP(B1335&amp;"|"&amp;C1335&amp;"|"&amp;D1335&amp;"|"&amp;E1335,QuestionTriggers!A:F,6,FALSE)),"","---&gt;")</f>
        <v/>
      </c>
      <c r="H1335" s="39" t="s">
        <v>1462</v>
      </c>
      <c r="I1335" s="39" t="s">
        <v>1463</v>
      </c>
      <c r="J1335" s="39" t="s">
        <v>1464</v>
      </c>
      <c r="K1335" s="39"/>
    </row>
    <row r="1336" spans="1:11" s="38" customFormat="1" hidden="1" x14ac:dyDescent="0.3">
      <c r="A1336" s="38" t="str">
        <f t="shared" si="20"/>
        <v>Trinsic|Quix|LOOK</v>
      </c>
      <c r="B1336" s="39" t="s">
        <v>713</v>
      </c>
      <c r="C1336" s="39" t="s">
        <v>1397</v>
      </c>
      <c r="D1336" s="39" t="s">
        <v>1461</v>
      </c>
      <c r="E1336" s="39" t="s">
        <v>16</v>
      </c>
      <c r="F1336" s="39" t="s">
        <v>1465</v>
      </c>
      <c r="G1336" s="40" t="str">
        <f>IF(ISNA(VLOOKUP(B1336&amp;"|"&amp;C1336&amp;"|"&amp;D1336&amp;"|"&amp;E1336,QuestionTriggers!A:F,6,FALSE)),"","---&gt;")</f>
        <v/>
      </c>
      <c r="H1336" s="39" t="s">
        <v>1462</v>
      </c>
      <c r="I1336" s="39" t="s">
        <v>1463</v>
      </c>
      <c r="J1336" s="39" t="s">
        <v>1464</v>
      </c>
      <c r="K1336" s="39"/>
    </row>
    <row r="1337" spans="1:11" s="38" customFormat="1" hidden="1" x14ac:dyDescent="0.3">
      <c r="A1337" s="38" t="str">
        <f t="shared" si="20"/>
        <v>Trinsic|Quix|NAME</v>
      </c>
      <c r="B1337" s="39" t="s">
        <v>713</v>
      </c>
      <c r="C1337" s="39" t="s">
        <v>1397</v>
      </c>
      <c r="D1337" s="39" t="s">
        <v>1461</v>
      </c>
      <c r="E1337" s="39" t="s">
        <v>12</v>
      </c>
      <c r="F1337" s="39" t="s">
        <v>1461</v>
      </c>
      <c r="G1337" s="40" t="str">
        <f>IF(ISNA(VLOOKUP(B1337&amp;"|"&amp;C1337&amp;"|"&amp;D1337&amp;"|"&amp;E1337,QuestionTriggers!A:F,6,FALSE)),"","---&gt;")</f>
        <v/>
      </c>
      <c r="H1337" s="39" t="s">
        <v>1462</v>
      </c>
      <c r="I1337" s="39" t="s">
        <v>1463</v>
      </c>
      <c r="J1337" s="39" t="s">
        <v>1464</v>
      </c>
      <c r="K1337" s="39"/>
    </row>
    <row r="1338" spans="1:11" s="38" customFormat="1" hidden="1" x14ac:dyDescent="0.3">
      <c r="A1338" s="38" t="str">
        <f t="shared" si="20"/>
        <v>Trinsic|Quix|SECR</v>
      </c>
      <c r="B1338" s="39" t="s">
        <v>713</v>
      </c>
      <c r="C1338" s="39" t="s">
        <v>1397</v>
      </c>
      <c r="D1338" s="39" t="s">
        <v>1461</v>
      </c>
      <c r="E1338" s="39" t="s">
        <v>190</v>
      </c>
      <c r="F1338" s="39" t="s">
        <v>1470</v>
      </c>
      <c r="G1338" s="40" t="str">
        <f>IF(ISNA(VLOOKUP(B1338&amp;"|"&amp;C1338&amp;"|"&amp;D1338&amp;"|"&amp;E1338,QuestionTriggers!A:F,6,FALSE)),"","---&gt;")</f>
        <v>---&gt;</v>
      </c>
      <c r="H1338" s="39" t="s">
        <v>1462</v>
      </c>
      <c r="I1338" s="39" t="s">
        <v>1463</v>
      </c>
      <c r="J1338" s="39" t="s">
        <v>1464</v>
      </c>
      <c r="K1338" s="39"/>
    </row>
    <row r="1339" spans="1:11" s="38" customFormat="1" hidden="1" x14ac:dyDescent="0.3">
      <c r="A1339" s="38" t="str">
        <f t="shared" si="20"/>
        <v>Trinsic|Quix|SKEL</v>
      </c>
      <c r="B1339" s="39" t="s">
        <v>713</v>
      </c>
      <c r="C1339" s="39" t="s">
        <v>1397</v>
      </c>
      <c r="D1339" s="39" t="s">
        <v>1461</v>
      </c>
      <c r="E1339" s="39" t="s">
        <v>1468</v>
      </c>
      <c r="F1339" s="39" t="s">
        <v>1469</v>
      </c>
      <c r="G1339" s="40" t="str">
        <f>IF(ISNA(VLOOKUP(B1339&amp;"|"&amp;C1339&amp;"|"&amp;D1339&amp;"|"&amp;E1339,QuestionTriggers!A:F,6,FALSE)),"","---&gt;")</f>
        <v/>
      </c>
      <c r="H1339" s="39" t="s">
        <v>1462</v>
      </c>
      <c r="I1339" s="39" t="s">
        <v>1463</v>
      </c>
      <c r="J1339" s="39" t="s">
        <v>1464</v>
      </c>
      <c r="K1339" s="39"/>
    </row>
    <row r="1340" spans="1:11" hidden="1" x14ac:dyDescent="0.3">
      <c r="A1340" t="str">
        <f t="shared" si="20"/>
        <v>Trinsic|Rigmore|HEALTH</v>
      </c>
      <c r="B1340" s="2" t="s">
        <v>713</v>
      </c>
      <c r="C1340" s="2" t="s">
        <v>1397</v>
      </c>
      <c r="D1340" s="48" t="s">
        <v>1402</v>
      </c>
      <c r="E1340" s="48" t="s">
        <v>20</v>
      </c>
      <c r="F1340" s="48" t="s">
        <v>1407</v>
      </c>
      <c r="G1340" s="8" t="str">
        <f>IF(ISNA(VLOOKUP(B1340&amp;"|"&amp;C1340&amp;"|"&amp;D1340&amp;"|"&amp;E1340,QuestionTriggers!A:F,6,FALSE)),"","---&gt;")</f>
        <v/>
      </c>
      <c r="H1340" s="2" t="s">
        <v>1403</v>
      </c>
      <c r="I1340" s="2" t="s">
        <v>1404</v>
      </c>
      <c r="J1340" s="2" t="s">
        <v>1405</v>
      </c>
      <c r="K1340" s="2"/>
    </row>
    <row r="1341" spans="1:11" hidden="1" x14ac:dyDescent="0.3">
      <c r="A1341" t="str">
        <f t="shared" si="20"/>
        <v>Trinsic|Rigmore|HONO</v>
      </c>
      <c r="B1341" s="2" t="s">
        <v>713</v>
      </c>
      <c r="C1341" s="2" t="s">
        <v>1397</v>
      </c>
      <c r="D1341" s="3" t="s">
        <v>1402</v>
      </c>
      <c r="E1341" s="3" t="s">
        <v>249</v>
      </c>
      <c r="F1341" s="3" t="s">
        <v>1408</v>
      </c>
      <c r="G1341" s="8" t="str">
        <f>IF(ISNA(VLOOKUP(B1341&amp;"|"&amp;C1341&amp;"|"&amp;D1341&amp;"|"&amp;E1341,QuestionTriggers!A:F,6,FALSE)),"","---&gt;")</f>
        <v>---&gt;</v>
      </c>
      <c r="H1341" s="2" t="s">
        <v>1403</v>
      </c>
      <c r="I1341" s="2" t="s">
        <v>1404</v>
      </c>
      <c r="J1341" s="2" t="s">
        <v>1405</v>
      </c>
      <c r="K1341" s="2"/>
    </row>
    <row r="1342" spans="1:11" hidden="1" x14ac:dyDescent="0.3">
      <c r="A1342" t="str">
        <f t="shared" si="20"/>
        <v>Trinsic|Rigmore|Welcome!</v>
      </c>
      <c r="B1342" s="2" t="s">
        <v>713</v>
      </c>
      <c r="C1342" s="2" t="s">
        <v>1397</v>
      </c>
      <c r="D1342" s="3" t="s">
        <v>1402</v>
      </c>
      <c r="E1342" s="6" t="s">
        <v>2498</v>
      </c>
      <c r="F1342" s="6" t="s">
        <v>2517</v>
      </c>
      <c r="G1342" s="8" t="str">
        <f>IF(ISNA(VLOOKUP(B1342&amp;"|"&amp;C1342&amp;"|"&amp;D1342&amp;"|"&amp;E1342,QuestionTriggers!A:F,6,FALSE)),"","---&gt;")</f>
        <v/>
      </c>
      <c r="H1342" s="2" t="s">
        <v>1403</v>
      </c>
      <c r="I1342" s="2" t="s">
        <v>1404</v>
      </c>
      <c r="J1342" s="2" t="s">
        <v>1405</v>
      </c>
      <c r="K1342" s="2"/>
    </row>
    <row r="1343" spans="1:11" hidden="1" x14ac:dyDescent="0.3">
      <c r="A1343" t="str">
        <f t="shared" si="20"/>
        <v>Trinsic|Rigmore|You see..</v>
      </c>
      <c r="B1343" s="2" t="s">
        <v>713</v>
      </c>
      <c r="C1343" s="2" t="s">
        <v>1397</v>
      </c>
      <c r="D1343" s="3" t="s">
        <v>1402</v>
      </c>
      <c r="E1343" s="6" t="s">
        <v>2505</v>
      </c>
      <c r="F1343" s="3" t="s">
        <v>1406</v>
      </c>
      <c r="G1343" s="8" t="str">
        <f>IF(ISNA(VLOOKUP(B1343&amp;"|"&amp;C1343&amp;"|"&amp;D1343&amp;"|"&amp;E1343,QuestionTriggers!A:F,6,FALSE)),"","---&gt;")</f>
        <v/>
      </c>
      <c r="H1343" s="2" t="s">
        <v>1403</v>
      </c>
      <c r="I1343" s="2" t="s">
        <v>1404</v>
      </c>
      <c r="J1343" s="2" t="s">
        <v>1405</v>
      </c>
      <c r="K1343" s="2"/>
    </row>
    <row r="1344" spans="1:11" hidden="1" x14ac:dyDescent="0.3">
      <c r="A1344" t="str">
        <f t="shared" si="20"/>
        <v>Trinsic|Rigmore|NAME</v>
      </c>
      <c r="B1344" s="2" t="s">
        <v>713</v>
      </c>
      <c r="C1344" s="2" t="s">
        <v>1397</v>
      </c>
      <c r="D1344" s="48" t="s">
        <v>1402</v>
      </c>
      <c r="E1344" s="48" t="s">
        <v>12</v>
      </c>
      <c r="F1344" s="48" t="s">
        <v>1402</v>
      </c>
      <c r="G1344" s="8" t="str">
        <f>IF(ISNA(VLOOKUP(B1344&amp;"|"&amp;C1344&amp;"|"&amp;D1344&amp;"|"&amp;E1344,QuestionTriggers!A:F,6,FALSE)),"","---&gt;")</f>
        <v/>
      </c>
      <c r="H1344" s="2" t="s">
        <v>1403</v>
      </c>
      <c r="I1344" s="2" t="s">
        <v>1404</v>
      </c>
      <c r="J1344" s="2" t="s">
        <v>1405</v>
      </c>
      <c r="K1344" s="2"/>
    </row>
    <row r="1345" spans="1:11" hidden="1" x14ac:dyDescent="0.3">
      <c r="A1345" t="str">
        <f t="shared" si="20"/>
        <v>Trinsic|Rigmore|Welcome!</v>
      </c>
      <c r="B1345" s="2" t="s">
        <v>713</v>
      </c>
      <c r="C1345" s="2" t="s">
        <v>1397</v>
      </c>
      <c r="D1345" s="3" t="s">
        <v>1402</v>
      </c>
      <c r="E1345" s="3" t="s">
        <v>2498</v>
      </c>
      <c r="F1345" s="3" t="s">
        <v>2504</v>
      </c>
      <c r="G1345" s="8" t="str">
        <f>IF(ISNA(VLOOKUP(B1345&amp;"|"&amp;C1345&amp;"|"&amp;D1345&amp;"|"&amp;E1345,QuestionTriggers!A:F,6,FALSE)),"","---&gt;")</f>
        <v/>
      </c>
      <c r="H1345" s="2" t="s">
        <v>1403</v>
      </c>
      <c r="I1345" s="2" t="s">
        <v>1404</v>
      </c>
      <c r="J1345" s="2" t="s">
        <v>1405</v>
      </c>
      <c r="K1345" s="2"/>
    </row>
    <row r="1346" spans="1:11" hidden="1" x14ac:dyDescent="0.3">
      <c r="A1346" t="str">
        <f t="shared" si="20"/>
        <v>Trinsic|Sailor Sam|HEALTH</v>
      </c>
      <c r="B1346" s="2" t="s">
        <v>713</v>
      </c>
      <c r="C1346" s="39" t="s">
        <v>1397</v>
      </c>
      <c r="D1346" s="39" t="s">
        <v>1479</v>
      </c>
      <c r="E1346" s="39" t="s">
        <v>20</v>
      </c>
      <c r="F1346" s="39" t="s">
        <v>1485</v>
      </c>
      <c r="G1346" s="8" t="str">
        <f>IF(ISNA(VLOOKUP(B1346&amp;"|"&amp;C1346&amp;"|"&amp;D1346&amp;"|"&amp;E1346,QuestionTriggers!A:F,6,FALSE)),"","---&gt;")</f>
        <v/>
      </c>
      <c r="H1346" s="2" t="s">
        <v>1480</v>
      </c>
      <c r="I1346" s="2" t="s">
        <v>1481</v>
      </c>
      <c r="J1346" s="2" t="s">
        <v>1482</v>
      </c>
      <c r="K1346" s="2"/>
    </row>
    <row r="1347" spans="1:11" hidden="1" x14ac:dyDescent="0.3">
      <c r="A1347" t="str">
        <f t="shared" ref="A1347:A1410" si="21">C1347&amp;"|"&amp;D1347&amp;"|"&amp;E1347</f>
        <v>Trinsic|Sailor Sam|My passion?</v>
      </c>
      <c r="B1347" s="2" t="s">
        <v>713</v>
      </c>
      <c r="C1347" s="39" t="s">
        <v>1397</v>
      </c>
      <c r="D1347" s="39" t="s">
        <v>1479</v>
      </c>
      <c r="E1347" s="46" t="s">
        <v>2474</v>
      </c>
      <c r="F1347" s="39" t="s">
        <v>1484</v>
      </c>
      <c r="G1347" s="8" t="str">
        <f>IF(ISNA(VLOOKUP(B1347&amp;"|"&amp;C1347&amp;"|"&amp;D1347&amp;"|"&amp;E1347,QuestionTriggers!A:F,6,FALSE)),"","---&gt;")</f>
        <v/>
      </c>
      <c r="H1347" s="2" t="s">
        <v>1480</v>
      </c>
      <c r="I1347" s="2" t="s">
        <v>1481</v>
      </c>
      <c r="J1347" s="2" t="s">
        <v>1482</v>
      </c>
      <c r="K1347" s="2"/>
    </row>
    <row r="1348" spans="1:11" hidden="1" x14ac:dyDescent="0.3">
      <c r="A1348" t="str">
        <f t="shared" si="21"/>
        <v>Trinsic|Sailor Sam|You see..</v>
      </c>
      <c r="B1348" s="2" t="s">
        <v>713</v>
      </c>
      <c r="C1348" s="39" t="s">
        <v>1397</v>
      </c>
      <c r="D1348" s="39" t="s">
        <v>1479</v>
      </c>
      <c r="E1348" s="46" t="s">
        <v>2505</v>
      </c>
      <c r="F1348" s="39" t="s">
        <v>1483</v>
      </c>
      <c r="G1348" s="8" t="str">
        <f>IF(ISNA(VLOOKUP(B1348&amp;"|"&amp;C1348&amp;"|"&amp;D1348&amp;"|"&amp;E1348,QuestionTriggers!A:F,6,FALSE)),"","---&gt;")</f>
        <v/>
      </c>
      <c r="H1348" s="2" t="s">
        <v>1480</v>
      </c>
      <c r="I1348" s="2" t="s">
        <v>1481</v>
      </c>
      <c r="J1348" s="2" t="s">
        <v>1482</v>
      </c>
      <c r="K1348" s="2"/>
    </row>
    <row r="1349" spans="1:11" hidden="1" x14ac:dyDescent="0.3">
      <c r="A1349" t="str">
        <f t="shared" si="21"/>
        <v>Trinsic|Sailor Sam|NAME</v>
      </c>
      <c r="B1349" s="2" t="s">
        <v>713</v>
      </c>
      <c r="C1349" s="39" t="s">
        <v>1397</v>
      </c>
      <c r="D1349" s="39" t="s">
        <v>1479</v>
      </c>
      <c r="E1349" s="39" t="s">
        <v>12</v>
      </c>
      <c r="F1349" s="39" t="s">
        <v>1479</v>
      </c>
      <c r="G1349" s="8" t="str">
        <f>IF(ISNA(VLOOKUP(B1349&amp;"|"&amp;C1349&amp;"|"&amp;D1349&amp;"|"&amp;E1349,QuestionTriggers!A:F,6,FALSE)),"","---&gt;")</f>
        <v/>
      </c>
      <c r="H1349" s="2" t="s">
        <v>1480</v>
      </c>
      <c r="I1349" s="2" t="s">
        <v>1481</v>
      </c>
      <c r="J1349" s="2" t="s">
        <v>1482</v>
      </c>
      <c r="K1349" s="2"/>
    </row>
    <row r="1350" spans="1:11" hidden="1" x14ac:dyDescent="0.3">
      <c r="A1350" t="str">
        <f t="shared" si="21"/>
        <v>Trinsic|Sailor Sam|SEAS</v>
      </c>
      <c r="B1350" s="2" t="s">
        <v>713</v>
      </c>
      <c r="C1350" s="39" t="s">
        <v>1397</v>
      </c>
      <c r="D1350" s="39" t="s">
        <v>1479</v>
      </c>
      <c r="E1350" s="39" t="s">
        <v>702</v>
      </c>
      <c r="F1350" s="39" t="s">
        <v>1486</v>
      </c>
      <c r="G1350" s="8" t="str">
        <f>IF(ISNA(VLOOKUP(B1350&amp;"|"&amp;C1350&amp;"|"&amp;D1350&amp;"|"&amp;E1350,QuestionTriggers!A:F,6,FALSE)),"","---&gt;")</f>
        <v/>
      </c>
      <c r="H1350" s="2" t="s">
        <v>1480</v>
      </c>
      <c r="I1350" s="2" t="s">
        <v>1481</v>
      </c>
      <c r="J1350" s="2" t="s">
        <v>1482</v>
      </c>
      <c r="K1350" s="2"/>
    </row>
    <row r="1351" spans="1:11" hidden="1" x14ac:dyDescent="0.3">
      <c r="A1351" t="str">
        <f t="shared" si="21"/>
        <v>Trinsic|Sailor Sam|SEXT</v>
      </c>
      <c r="B1351" s="2" t="s">
        <v>713</v>
      </c>
      <c r="C1351" s="39" t="s">
        <v>1397</v>
      </c>
      <c r="D1351" s="39" t="s">
        <v>1479</v>
      </c>
      <c r="E1351" s="39" t="s">
        <v>1487</v>
      </c>
      <c r="F1351" s="39" t="s">
        <v>1488</v>
      </c>
      <c r="G1351" s="8" t="str">
        <f>IF(ISNA(VLOOKUP(B1351&amp;"|"&amp;C1351&amp;"|"&amp;D1351&amp;"|"&amp;E1351,QuestionTriggers!A:F,6,FALSE)),"","---&gt;")</f>
        <v>---&gt;</v>
      </c>
      <c r="H1351" s="2" t="s">
        <v>1480</v>
      </c>
      <c r="I1351" s="2" t="s">
        <v>1481</v>
      </c>
      <c r="J1351" s="2" t="s">
        <v>1482</v>
      </c>
      <c r="K1351" s="2"/>
    </row>
    <row r="1352" spans="1:11" hidden="1" x14ac:dyDescent="0.3">
      <c r="A1352" t="str">
        <f t="shared" si="21"/>
        <v>Trinsic|Skitle|DUNG</v>
      </c>
      <c r="B1352" s="2" t="s">
        <v>713</v>
      </c>
      <c r="C1352" s="39" t="s">
        <v>1397</v>
      </c>
      <c r="D1352" s="39" t="s">
        <v>1471</v>
      </c>
      <c r="E1352" s="39" t="s">
        <v>619</v>
      </c>
      <c r="F1352" s="39" t="s">
        <v>1477</v>
      </c>
      <c r="G1352" s="8" t="str">
        <f>IF(ISNA(VLOOKUP(B1352&amp;"|"&amp;C1352&amp;"|"&amp;D1352&amp;"|"&amp;E1352,QuestionTriggers!A:F,6,FALSE)),"","---&gt;")</f>
        <v/>
      </c>
      <c r="H1352" s="2" t="s">
        <v>1472</v>
      </c>
      <c r="I1352" s="2" t="s">
        <v>177</v>
      </c>
      <c r="J1352" s="2" t="s">
        <v>1473</v>
      </c>
      <c r="K1352" s="2"/>
    </row>
    <row r="1353" spans="1:11" hidden="1" x14ac:dyDescent="0.3">
      <c r="A1353" t="str">
        <f t="shared" si="21"/>
        <v>Trinsic|Skitle|HEALTH</v>
      </c>
      <c r="B1353" s="2" t="s">
        <v>713</v>
      </c>
      <c r="C1353" s="39" t="s">
        <v>1397</v>
      </c>
      <c r="D1353" s="39" t="s">
        <v>1471</v>
      </c>
      <c r="E1353" s="39" t="s">
        <v>20</v>
      </c>
      <c r="F1353" s="39" t="s">
        <v>1476</v>
      </c>
      <c r="G1353" s="8" t="str">
        <f>IF(ISNA(VLOOKUP(B1353&amp;"|"&amp;C1353&amp;"|"&amp;D1353&amp;"|"&amp;E1353,QuestionTriggers!A:F,6,FALSE)),"","---&gt;")</f>
        <v/>
      </c>
      <c r="H1353" s="2" t="s">
        <v>1472</v>
      </c>
      <c r="I1353" s="2" t="s">
        <v>177</v>
      </c>
      <c r="J1353" s="2" t="s">
        <v>1473</v>
      </c>
      <c r="K1353" s="2"/>
    </row>
    <row r="1354" spans="1:11" ht="26.4" hidden="1" x14ac:dyDescent="0.3">
      <c r="A1354" t="str">
        <f t="shared" si="21"/>
        <v>Trinsic|Skitle|What am I up to?</v>
      </c>
      <c r="B1354" s="2" t="s">
        <v>713</v>
      </c>
      <c r="C1354" s="39" t="s">
        <v>1397</v>
      </c>
      <c r="D1354" s="39" t="s">
        <v>1471</v>
      </c>
      <c r="E1354" s="46" t="s">
        <v>2475</v>
      </c>
      <c r="F1354" s="39" t="s">
        <v>1475</v>
      </c>
      <c r="G1354" s="8" t="str">
        <f>IF(ISNA(VLOOKUP(B1354&amp;"|"&amp;C1354&amp;"|"&amp;D1354&amp;"|"&amp;E1354,QuestionTriggers!A:F,6,FALSE)),"","---&gt;")</f>
        <v/>
      </c>
      <c r="H1354" s="2" t="s">
        <v>1472</v>
      </c>
      <c r="I1354" s="2" t="s">
        <v>177</v>
      </c>
      <c r="J1354" s="2" t="s">
        <v>1473</v>
      </c>
      <c r="K1354" s="2"/>
    </row>
    <row r="1355" spans="1:11" hidden="1" x14ac:dyDescent="0.3">
      <c r="A1355" t="str">
        <f t="shared" si="21"/>
        <v>Trinsic|Skitle|You see..</v>
      </c>
      <c r="B1355" s="2" t="s">
        <v>713</v>
      </c>
      <c r="C1355" s="39" t="s">
        <v>1397</v>
      </c>
      <c r="D1355" s="39" t="s">
        <v>1471</v>
      </c>
      <c r="E1355" s="46" t="s">
        <v>2505</v>
      </c>
      <c r="F1355" s="39" t="s">
        <v>1474</v>
      </c>
      <c r="G1355" s="8" t="str">
        <f>IF(ISNA(VLOOKUP(B1355&amp;"|"&amp;C1355&amp;"|"&amp;D1355&amp;"|"&amp;E1355,QuestionTriggers!A:F,6,FALSE)),"","---&gt;")</f>
        <v/>
      </c>
      <c r="H1355" s="2" t="s">
        <v>1472</v>
      </c>
      <c r="I1355" s="2" t="s">
        <v>177</v>
      </c>
      <c r="J1355" s="2" t="s">
        <v>1473</v>
      </c>
      <c r="K1355" s="2"/>
    </row>
    <row r="1356" spans="1:11" hidden="1" x14ac:dyDescent="0.3">
      <c r="A1356" t="str">
        <f t="shared" si="21"/>
        <v>Trinsic|Skitle|NAME</v>
      </c>
      <c r="B1356" s="2" t="s">
        <v>713</v>
      </c>
      <c r="C1356" s="39" t="s">
        <v>1397</v>
      </c>
      <c r="D1356" s="39" t="s">
        <v>1471</v>
      </c>
      <c r="E1356" s="39" t="s">
        <v>12</v>
      </c>
      <c r="F1356" s="39" t="s">
        <v>1471</v>
      </c>
      <c r="G1356" s="8" t="str">
        <f>IF(ISNA(VLOOKUP(B1356&amp;"|"&amp;C1356&amp;"|"&amp;D1356&amp;"|"&amp;E1356,QuestionTriggers!A:F,6,FALSE)),"","---&gt;")</f>
        <v/>
      </c>
      <c r="H1356" s="2" t="s">
        <v>1472</v>
      </c>
      <c r="I1356" s="2" t="s">
        <v>177</v>
      </c>
      <c r="J1356" s="2" t="s">
        <v>1473</v>
      </c>
      <c r="K1356" s="2"/>
    </row>
    <row r="1357" spans="1:11" hidden="1" x14ac:dyDescent="0.3">
      <c r="A1357" t="str">
        <f t="shared" si="21"/>
        <v>Trinsic|Skitle|STON</v>
      </c>
      <c r="B1357" s="2" t="s">
        <v>713</v>
      </c>
      <c r="C1357" s="39" t="s">
        <v>1397</v>
      </c>
      <c r="D1357" s="39" t="s">
        <v>1471</v>
      </c>
      <c r="E1357" s="39" t="s">
        <v>854</v>
      </c>
      <c r="F1357" s="48" t="s">
        <v>1478</v>
      </c>
      <c r="G1357" s="8" t="str">
        <f>IF(ISNA(VLOOKUP(B1357&amp;"|"&amp;C1357&amp;"|"&amp;D1357&amp;"|"&amp;E1357,QuestionTriggers!A:F,6,FALSE)),"","---&gt;")</f>
        <v>---&gt;</v>
      </c>
      <c r="H1357" s="2" t="s">
        <v>1472</v>
      </c>
      <c r="I1357" s="2" t="s">
        <v>177</v>
      </c>
      <c r="J1357" s="2" t="s">
        <v>1473</v>
      </c>
      <c r="K1357" s="2"/>
    </row>
    <row r="1358" spans="1:11" ht="26.4" hidden="1" x14ac:dyDescent="0.3">
      <c r="A1358" t="str">
        <f t="shared" si="21"/>
        <v>Trinsic|Swindrik|HEALTH</v>
      </c>
      <c r="B1358" s="2" t="s">
        <v>713</v>
      </c>
      <c r="C1358" s="3" t="s">
        <v>1397</v>
      </c>
      <c r="D1358" s="48" t="s">
        <v>1497</v>
      </c>
      <c r="E1358" s="48" t="s">
        <v>20</v>
      </c>
      <c r="F1358" s="48" t="s">
        <v>1502</v>
      </c>
      <c r="G1358" s="8" t="str">
        <f>IF(ISNA(VLOOKUP(B1358&amp;"|"&amp;C1358&amp;"|"&amp;D1358&amp;"|"&amp;E1358,QuestionTriggers!A:F,6,FALSE)),"","---&gt;")</f>
        <v/>
      </c>
      <c r="H1358" s="2" t="s">
        <v>1498</v>
      </c>
      <c r="I1358" s="2" t="s">
        <v>1499</v>
      </c>
      <c r="J1358" s="2" t="s">
        <v>1500</v>
      </c>
      <c r="K1358" s="2"/>
    </row>
    <row r="1359" spans="1:11" ht="26.4" hidden="1" x14ac:dyDescent="0.3">
      <c r="A1359" t="str">
        <f t="shared" si="21"/>
        <v>Trinsic|Swindrik|My job…?</v>
      </c>
      <c r="B1359" s="2" t="s">
        <v>713</v>
      </c>
      <c r="C1359" s="3" t="s">
        <v>1397</v>
      </c>
      <c r="D1359" s="3" t="s">
        <v>1497</v>
      </c>
      <c r="E1359" s="3" t="s">
        <v>2477</v>
      </c>
      <c r="F1359" s="3" t="s">
        <v>2476</v>
      </c>
      <c r="G1359" s="8" t="str">
        <f>IF(ISNA(VLOOKUP(B1359&amp;"|"&amp;C1359&amp;"|"&amp;D1359&amp;"|"&amp;E1359,QuestionTriggers!A:F,6,FALSE)),"","---&gt;")</f>
        <v/>
      </c>
      <c r="H1359" s="2" t="s">
        <v>1498</v>
      </c>
      <c r="I1359" s="2" t="s">
        <v>1499</v>
      </c>
      <c r="J1359" s="2" t="s">
        <v>1500</v>
      </c>
      <c r="K1359" s="2"/>
    </row>
    <row r="1360" spans="1:11" ht="26.4" hidden="1" x14ac:dyDescent="0.3">
      <c r="A1360" t="str">
        <f t="shared" si="21"/>
        <v>Trinsic|Swindrik|You see..</v>
      </c>
      <c r="B1360" s="2" t="s">
        <v>713</v>
      </c>
      <c r="C1360" s="3" t="s">
        <v>1397</v>
      </c>
      <c r="D1360" s="3" t="s">
        <v>1497</v>
      </c>
      <c r="E1360" s="3" t="s">
        <v>2505</v>
      </c>
      <c r="F1360" s="3" t="s">
        <v>1501</v>
      </c>
      <c r="G1360" s="8" t="str">
        <f>IF(ISNA(VLOOKUP(B1360&amp;"|"&amp;C1360&amp;"|"&amp;D1360&amp;"|"&amp;E1360,QuestionTriggers!A:F,6,FALSE)),"","---&gt;")</f>
        <v/>
      </c>
      <c r="H1360" s="2" t="s">
        <v>1498</v>
      </c>
      <c r="I1360" s="2" t="s">
        <v>1499</v>
      </c>
      <c r="J1360" s="2" t="s">
        <v>1500</v>
      </c>
      <c r="K1360" s="2"/>
    </row>
    <row r="1361" spans="1:11" ht="26.4" hidden="1" x14ac:dyDescent="0.3">
      <c r="A1361" t="str">
        <f t="shared" si="21"/>
        <v>Trinsic|Swindrik|Mandrake</v>
      </c>
      <c r="B1361" s="2" t="s">
        <v>713</v>
      </c>
      <c r="C1361" s="3" t="s">
        <v>1397</v>
      </c>
      <c r="D1361" s="3" t="s">
        <v>1497</v>
      </c>
      <c r="E1361" s="3" t="s">
        <v>2501</v>
      </c>
      <c r="F1361" s="3" t="s">
        <v>1503</v>
      </c>
      <c r="G1361" s="8" t="str">
        <f>IF(ISNA(VLOOKUP(B1361&amp;"|"&amp;C1361&amp;"|"&amp;D1361&amp;"|"&amp;E1361,QuestionTriggers!A:F,6,FALSE)),"","---&gt;")</f>
        <v/>
      </c>
      <c r="H1361" s="2" t="s">
        <v>1498</v>
      </c>
      <c r="I1361" s="2" t="s">
        <v>1499</v>
      </c>
      <c r="J1361" s="2" t="s">
        <v>1500</v>
      </c>
      <c r="K1361" s="2"/>
    </row>
    <row r="1362" spans="1:11" ht="26.4" hidden="1" x14ac:dyDescent="0.3">
      <c r="A1362" t="str">
        <f t="shared" si="21"/>
        <v>Trinsic|Swindrik|NAME</v>
      </c>
      <c r="B1362" s="2" t="s">
        <v>713</v>
      </c>
      <c r="C1362" s="3" t="s">
        <v>1397</v>
      </c>
      <c r="D1362" s="48" t="s">
        <v>1497</v>
      </c>
      <c r="E1362" s="48" t="s">
        <v>12</v>
      </c>
      <c r="F1362" s="48" t="s">
        <v>1497</v>
      </c>
      <c r="G1362" s="8" t="str">
        <f>IF(ISNA(VLOOKUP(B1362&amp;"|"&amp;C1362&amp;"|"&amp;D1362&amp;"|"&amp;E1362,QuestionTriggers!A:F,6,FALSE)),"","---&gt;")</f>
        <v/>
      </c>
      <c r="H1362" s="2" t="s">
        <v>1498</v>
      </c>
      <c r="I1362" s="2" t="s">
        <v>1499</v>
      </c>
      <c r="J1362" s="2" t="s">
        <v>1500</v>
      </c>
      <c r="K1362" s="2"/>
    </row>
    <row r="1363" spans="1:11" ht="26.4" hidden="1" x14ac:dyDescent="0.3">
      <c r="A1363" t="str">
        <f t="shared" si="21"/>
        <v>Trinsic|Swindrik|Potions</v>
      </c>
      <c r="B1363" s="2" t="s">
        <v>713</v>
      </c>
      <c r="C1363" s="3" t="s">
        <v>1397</v>
      </c>
      <c r="D1363" s="3" t="s">
        <v>1497</v>
      </c>
      <c r="E1363" s="3" t="s">
        <v>2502</v>
      </c>
      <c r="F1363" s="3" t="s">
        <v>2487</v>
      </c>
      <c r="G1363" s="8" t="str">
        <f>IF(ISNA(VLOOKUP(B1363&amp;"|"&amp;C1363&amp;"|"&amp;D1363&amp;"|"&amp;E1363,QuestionTriggers!A:F,6,FALSE)),"","---&gt;")</f>
        <v/>
      </c>
      <c r="H1363" s="2" t="s">
        <v>1498</v>
      </c>
      <c r="I1363" s="2" t="s">
        <v>1499</v>
      </c>
      <c r="J1363" s="2" t="s">
        <v>1500</v>
      </c>
      <c r="K1363" s="2"/>
    </row>
    <row r="1364" spans="1:11" ht="26.4" hidden="1" x14ac:dyDescent="0.3">
      <c r="A1364" t="str">
        <f t="shared" si="21"/>
        <v>Trinsic|Terrin|I saw a skeleton!</v>
      </c>
      <c r="B1364" s="2" t="s">
        <v>713</v>
      </c>
      <c r="C1364" s="3" t="s">
        <v>1397</v>
      </c>
      <c r="D1364" s="3" t="s">
        <v>1448</v>
      </c>
      <c r="E1364" s="3" t="s">
        <v>2503</v>
      </c>
      <c r="F1364" s="3" t="s">
        <v>2488</v>
      </c>
      <c r="G1364" s="8" t="str">
        <f>IF(ISNA(VLOOKUP(B1364&amp;"|"&amp;C1364&amp;"|"&amp;D1364&amp;"|"&amp;E1364,QuestionTriggers!A:F,6,FALSE)),"","---&gt;")</f>
        <v/>
      </c>
      <c r="H1364" s="2" t="s">
        <v>1449</v>
      </c>
      <c r="I1364" s="2" t="s">
        <v>1450</v>
      </c>
      <c r="J1364" s="2" t="s">
        <v>1451</v>
      </c>
      <c r="K1364" s="2"/>
    </row>
    <row r="1365" spans="1:11" hidden="1" x14ac:dyDescent="0.3">
      <c r="A1365" t="str">
        <f t="shared" si="21"/>
        <v>Trinsic|Terrin|HEALTH</v>
      </c>
      <c r="B1365" s="2" t="s">
        <v>713</v>
      </c>
      <c r="C1365" s="3" t="s">
        <v>1397</v>
      </c>
      <c r="D1365" s="48" t="s">
        <v>1448</v>
      </c>
      <c r="E1365" s="48" t="s">
        <v>20</v>
      </c>
      <c r="F1365" s="48" t="s">
        <v>1452</v>
      </c>
      <c r="G1365" s="8" t="str">
        <f>IF(ISNA(VLOOKUP(B1365&amp;"|"&amp;C1365&amp;"|"&amp;D1365&amp;"|"&amp;E1365,QuestionTriggers!A:F,6,FALSE)),"","---&gt;")</f>
        <v/>
      </c>
      <c r="H1365" s="2" t="s">
        <v>1449</v>
      </c>
      <c r="I1365" s="2" t="s">
        <v>1450</v>
      </c>
      <c r="J1365" s="2" t="s">
        <v>1451</v>
      </c>
      <c r="K1365" s="2"/>
    </row>
    <row r="1366" spans="1:11" ht="26.4" hidden="1" x14ac:dyDescent="0.3">
      <c r="A1366" t="str">
        <f t="shared" si="21"/>
        <v>Trinsic|Terrin|What am I up to?</v>
      </c>
      <c r="B1366" s="2" t="s">
        <v>713</v>
      </c>
      <c r="C1366" s="3" t="s">
        <v>1397</v>
      </c>
      <c r="D1366" s="3" t="s">
        <v>1448</v>
      </c>
      <c r="E1366" s="3" t="s">
        <v>2475</v>
      </c>
      <c r="F1366" s="3" t="s">
        <v>2491</v>
      </c>
      <c r="G1366" s="8" t="str">
        <f>IF(ISNA(VLOOKUP(B1366&amp;"|"&amp;C1366&amp;"|"&amp;D1366&amp;"|"&amp;E1366,QuestionTriggers!A:F,6,FALSE)),"","---&gt;")</f>
        <v/>
      </c>
      <c r="H1366" s="2" t="s">
        <v>1449</v>
      </c>
      <c r="I1366" s="2" t="s">
        <v>1450</v>
      </c>
      <c r="J1366" s="2" t="s">
        <v>1451</v>
      </c>
      <c r="K1366" s="2"/>
    </row>
    <row r="1367" spans="1:11" hidden="1" x14ac:dyDescent="0.3">
      <c r="A1367" t="str">
        <f t="shared" si="21"/>
        <v>Trinsic|Terrin|You see..</v>
      </c>
      <c r="B1367" s="2" t="s">
        <v>713</v>
      </c>
      <c r="C1367" s="3" t="s">
        <v>1397</v>
      </c>
      <c r="D1367" s="3" t="s">
        <v>1448</v>
      </c>
      <c r="E1367" s="3" t="s">
        <v>2505</v>
      </c>
      <c r="F1367" s="3" t="s">
        <v>2489</v>
      </c>
      <c r="G1367" s="8" t="str">
        <f>IF(ISNA(VLOOKUP(B1367&amp;"|"&amp;C1367&amp;"|"&amp;D1367&amp;"|"&amp;E1367,QuestionTriggers!A:F,6,FALSE)),"","---&gt;")</f>
        <v/>
      </c>
      <c r="H1367" s="2" t="s">
        <v>1449</v>
      </c>
      <c r="I1367" s="2" t="s">
        <v>1450</v>
      </c>
      <c r="J1367" s="2" t="s">
        <v>1451</v>
      </c>
      <c r="K1367" s="2"/>
    </row>
    <row r="1368" spans="1:11" hidden="1" x14ac:dyDescent="0.3">
      <c r="A1368" t="str">
        <f t="shared" si="21"/>
        <v>Trinsic|Terrin|NAME</v>
      </c>
      <c r="B1368" s="2" t="s">
        <v>713</v>
      </c>
      <c r="C1368" s="3" t="s">
        <v>1397</v>
      </c>
      <c r="D1368" s="48" t="s">
        <v>1448</v>
      </c>
      <c r="E1368" s="48" t="s">
        <v>12</v>
      </c>
      <c r="F1368" s="48" t="s">
        <v>1448</v>
      </c>
      <c r="G1368" s="8" t="str">
        <f>IF(ISNA(VLOOKUP(B1368&amp;"|"&amp;C1368&amp;"|"&amp;D1368&amp;"|"&amp;E1368,QuestionTriggers!A:F,6,FALSE)),"","---&gt;")</f>
        <v/>
      </c>
      <c r="H1368" s="2" t="s">
        <v>1449</v>
      </c>
      <c r="I1368" s="2" t="s">
        <v>1450</v>
      </c>
      <c r="J1368" s="2" t="s">
        <v>1451</v>
      </c>
      <c r="K1368" s="2"/>
    </row>
    <row r="1369" spans="1:11" hidden="1" x14ac:dyDescent="0.3">
      <c r="A1369" t="str">
        <f t="shared" si="21"/>
        <v>Trinsic|Terrin|The rune..?</v>
      </c>
      <c r="B1369" s="2" t="s">
        <v>713</v>
      </c>
      <c r="C1369" s="3" t="s">
        <v>1397</v>
      </c>
      <c r="D1369" s="3" t="s">
        <v>1448</v>
      </c>
      <c r="E1369" s="3" t="s">
        <v>2495</v>
      </c>
      <c r="F1369" s="3" t="s">
        <v>2490</v>
      </c>
      <c r="G1369" s="8" t="str">
        <f>IF(ISNA(VLOOKUP(B1369&amp;"|"&amp;C1369&amp;"|"&amp;D1369&amp;"|"&amp;E1369,QuestionTriggers!A:F,6,FALSE)),"","---&gt;")</f>
        <v/>
      </c>
      <c r="H1369" s="2" t="s">
        <v>1449</v>
      </c>
      <c r="I1369" s="2" t="s">
        <v>1450</v>
      </c>
      <c r="J1369" s="2" t="s">
        <v>1451</v>
      </c>
      <c r="K1369" s="2"/>
    </row>
    <row r="1370" spans="1:11" hidden="1" x14ac:dyDescent="0.3">
      <c r="A1370" t="str">
        <f t="shared" si="21"/>
        <v>Trinsic|Virgil|FIEL</v>
      </c>
      <c r="B1370" s="2" t="s">
        <v>713</v>
      </c>
      <c r="C1370" s="2" t="s">
        <v>1397</v>
      </c>
      <c r="D1370" s="39" t="s">
        <v>1489</v>
      </c>
      <c r="E1370" s="39" t="s">
        <v>1493</v>
      </c>
      <c r="F1370" s="39" t="s">
        <v>1494</v>
      </c>
      <c r="G1370" s="8" t="str">
        <f>IF(ISNA(VLOOKUP(B1370&amp;"|"&amp;C1370&amp;"|"&amp;D1370&amp;"|"&amp;E1370,QuestionTriggers!A:F,6,FALSE)),"","---&gt;")</f>
        <v/>
      </c>
      <c r="H1370" s="2" t="s">
        <v>1490</v>
      </c>
      <c r="I1370" s="2" t="s">
        <v>623</v>
      </c>
      <c r="J1370" s="2" t="s">
        <v>1491</v>
      </c>
      <c r="K1370" s="2"/>
    </row>
    <row r="1371" spans="1:11" hidden="1" x14ac:dyDescent="0.3">
      <c r="A1371" t="str">
        <f t="shared" si="21"/>
        <v>Trinsic|Virgil|HEALTH</v>
      </c>
      <c r="B1371" s="2" t="s">
        <v>713</v>
      </c>
      <c r="C1371" s="2" t="s">
        <v>1397</v>
      </c>
      <c r="D1371" s="39" t="s">
        <v>1489</v>
      </c>
      <c r="E1371" s="39" t="s">
        <v>20</v>
      </c>
      <c r="F1371" s="39" t="s">
        <v>181</v>
      </c>
      <c r="G1371" s="8" t="str">
        <f>IF(ISNA(VLOOKUP(B1371&amp;"|"&amp;C1371&amp;"|"&amp;D1371&amp;"|"&amp;E1371,QuestionTriggers!A:F,6,FALSE)),"","---&gt;")</f>
        <v/>
      </c>
      <c r="H1371" s="2" t="s">
        <v>1490</v>
      </c>
      <c r="I1371" s="2" t="s">
        <v>623</v>
      </c>
      <c r="J1371" s="2" t="s">
        <v>1491</v>
      </c>
      <c r="K1371" s="2"/>
    </row>
    <row r="1372" spans="1:11" hidden="1" x14ac:dyDescent="0.3">
      <c r="A1372" t="str">
        <f t="shared" si="21"/>
        <v>Trinsic|Virgil|My passion?</v>
      </c>
      <c r="B1372" s="2" t="s">
        <v>713</v>
      </c>
      <c r="C1372" s="2" t="s">
        <v>1397</v>
      </c>
      <c r="D1372" s="39" t="s">
        <v>1489</v>
      </c>
      <c r="E1372" s="46" t="s">
        <v>2474</v>
      </c>
      <c r="F1372" s="39" t="s">
        <v>1492</v>
      </c>
      <c r="G1372" s="8" t="str">
        <f>IF(ISNA(VLOOKUP(B1372&amp;"|"&amp;C1372&amp;"|"&amp;D1372&amp;"|"&amp;E1372,QuestionTriggers!A:F,6,FALSE)),"","---&gt;")</f>
        <v/>
      </c>
      <c r="H1372" s="2" t="s">
        <v>1490</v>
      </c>
      <c r="I1372" s="2" t="s">
        <v>623</v>
      </c>
      <c r="J1372" s="2" t="s">
        <v>1491</v>
      </c>
      <c r="K1372" s="2"/>
    </row>
    <row r="1373" spans="1:11" hidden="1" x14ac:dyDescent="0.3">
      <c r="A1373" t="str">
        <f t="shared" si="21"/>
        <v>Trinsic|Virgil|You see..</v>
      </c>
      <c r="B1373" s="2" t="s">
        <v>713</v>
      </c>
      <c r="C1373" s="2" t="s">
        <v>1397</v>
      </c>
      <c r="D1373" s="39" t="s">
        <v>1489</v>
      </c>
      <c r="E1373" s="46" t="s">
        <v>2505</v>
      </c>
      <c r="F1373" s="39" t="s">
        <v>747</v>
      </c>
      <c r="G1373" s="8" t="str">
        <f>IF(ISNA(VLOOKUP(B1373&amp;"|"&amp;C1373&amp;"|"&amp;D1373&amp;"|"&amp;E1373,QuestionTriggers!A:F,6,FALSE)),"","---&gt;")</f>
        <v/>
      </c>
      <c r="H1373" s="2" t="s">
        <v>1490</v>
      </c>
      <c r="I1373" s="2" t="s">
        <v>623</v>
      </c>
      <c r="J1373" s="2" t="s">
        <v>1491</v>
      </c>
      <c r="K1373" s="2"/>
    </row>
    <row r="1374" spans="1:11" hidden="1" x14ac:dyDescent="0.3">
      <c r="A1374" t="str">
        <f t="shared" si="21"/>
        <v>Trinsic|Virgil|NAME</v>
      </c>
      <c r="B1374" s="2" t="s">
        <v>713</v>
      </c>
      <c r="C1374" s="2" t="s">
        <v>1397</v>
      </c>
      <c r="D1374" s="39" t="s">
        <v>1489</v>
      </c>
      <c r="E1374" s="39" t="s">
        <v>12</v>
      </c>
      <c r="F1374" s="39" t="s">
        <v>1489</v>
      </c>
      <c r="G1374" s="8" t="str">
        <f>IF(ISNA(VLOOKUP(B1374&amp;"|"&amp;C1374&amp;"|"&amp;D1374&amp;"|"&amp;E1374,QuestionTriggers!A:F,6,FALSE)),"","---&gt;")</f>
        <v/>
      </c>
      <c r="H1374" s="2" t="s">
        <v>1490</v>
      </c>
      <c r="I1374" s="2" t="s">
        <v>623</v>
      </c>
      <c r="J1374" s="2" t="s">
        <v>1491</v>
      </c>
      <c r="K1374" s="2"/>
    </row>
    <row r="1375" spans="1:11" ht="26.4" hidden="1" x14ac:dyDescent="0.3">
      <c r="A1375" t="str">
        <f t="shared" si="21"/>
        <v>Trinsic|Virgil|NIGH</v>
      </c>
      <c r="B1375" s="2" t="s">
        <v>713</v>
      </c>
      <c r="C1375" s="2" t="s">
        <v>1397</v>
      </c>
      <c r="D1375" s="39" t="s">
        <v>1489</v>
      </c>
      <c r="E1375" s="39" t="s">
        <v>1495</v>
      </c>
      <c r="F1375" s="39" t="s">
        <v>1496</v>
      </c>
      <c r="G1375" s="8" t="str">
        <f>IF(ISNA(VLOOKUP(B1375&amp;"|"&amp;C1375&amp;"|"&amp;D1375&amp;"|"&amp;E1375,QuestionTriggers!A:F,6,FALSE)),"","---&gt;")</f>
        <v>---&gt;</v>
      </c>
      <c r="H1375" s="2" t="s">
        <v>1490</v>
      </c>
      <c r="I1375" s="2" t="s">
        <v>623</v>
      </c>
      <c r="J1375" s="2" t="s">
        <v>1491</v>
      </c>
      <c r="K1375" s="2"/>
    </row>
    <row r="1376" spans="1:11" hidden="1" x14ac:dyDescent="0.3">
      <c r="A1376" t="str">
        <f t="shared" si="21"/>
        <v>Trinsic|Winthrop|HEALTH</v>
      </c>
      <c r="B1376" s="2" t="s">
        <v>713</v>
      </c>
      <c r="C1376" s="2" t="s">
        <v>1397</v>
      </c>
      <c r="D1376" s="39" t="s">
        <v>1441</v>
      </c>
      <c r="E1376" s="39" t="s">
        <v>20</v>
      </c>
      <c r="F1376" s="39" t="s">
        <v>1446</v>
      </c>
      <c r="G1376" s="8" t="str">
        <f>IF(ISNA(VLOOKUP(B1376&amp;"|"&amp;C1376&amp;"|"&amp;D1376&amp;"|"&amp;E1376,QuestionTriggers!A:F,6,FALSE)),"","---&gt;")</f>
        <v/>
      </c>
      <c r="H1376" s="2" t="s">
        <v>1442</v>
      </c>
      <c r="I1376" s="2" t="s">
        <v>1443</v>
      </c>
      <c r="J1376" s="2" t="s">
        <v>1444</v>
      </c>
      <c r="K1376" s="2"/>
    </row>
    <row r="1377" spans="1:11" hidden="1" x14ac:dyDescent="0.3">
      <c r="A1377" t="str">
        <f t="shared" si="21"/>
        <v>Trinsic|Winthrop|My passion?</v>
      </c>
      <c r="B1377" s="2" t="s">
        <v>713</v>
      </c>
      <c r="C1377" s="2" t="s">
        <v>1397</v>
      </c>
      <c r="D1377" s="3" t="s">
        <v>1441</v>
      </c>
      <c r="E1377" s="3" t="s">
        <v>2474</v>
      </c>
      <c r="F1377" s="3" t="s">
        <v>2519</v>
      </c>
      <c r="G1377" s="8" t="str">
        <f>IF(ISNA(VLOOKUP(B1377&amp;"|"&amp;C1377&amp;"|"&amp;D1377&amp;"|"&amp;E1377,QuestionTriggers!A:F,6,FALSE)),"","---&gt;")</f>
        <v/>
      </c>
      <c r="H1377" s="2" t="s">
        <v>1442</v>
      </c>
      <c r="I1377" s="2" t="s">
        <v>1443</v>
      </c>
      <c r="J1377" s="2" t="s">
        <v>1444</v>
      </c>
      <c r="K1377" s="2"/>
    </row>
    <row r="1378" spans="1:11" hidden="1" x14ac:dyDescent="0.3">
      <c r="A1378" t="str">
        <f t="shared" si="21"/>
        <v>Trinsic|Winthrop|You see..</v>
      </c>
      <c r="B1378" s="2" t="s">
        <v>713</v>
      </c>
      <c r="C1378" s="2" t="s">
        <v>1397</v>
      </c>
      <c r="D1378" s="3" t="s">
        <v>1441</v>
      </c>
      <c r="E1378" s="3" t="s">
        <v>2505</v>
      </c>
      <c r="F1378" s="3" t="s">
        <v>1445</v>
      </c>
      <c r="G1378" s="8" t="str">
        <f>IF(ISNA(VLOOKUP(B1378&amp;"|"&amp;C1378&amp;"|"&amp;D1378&amp;"|"&amp;E1378,QuestionTriggers!A:F,6,FALSE)),"","---&gt;")</f>
        <v/>
      </c>
      <c r="H1378" s="2" t="s">
        <v>1442</v>
      </c>
      <c r="I1378" s="2" t="s">
        <v>1443</v>
      </c>
      <c r="J1378" s="2" t="s">
        <v>1444</v>
      </c>
      <c r="K1378" s="2"/>
    </row>
    <row r="1379" spans="1:11" hidden="1" x14ac:dyDescent="0.3">
      <c r="A1379" t="str">
        <f t="shared" si="21"/>
        <v>Trinsic|Winthrop|NAME</v>
      </c>
      <c r="B1379" s="2" t="s">
        <v>713</v>
      </c>
      <c r="C1379" s="2" t="s">
        <v>1397</v>
      </c>
      <c r="D1379" s="39" t="s">
        <v>1441</v>
      </c>
      <c r="E1379" s="39" t="s">
        <v>12</v>
      </c>
      <c r="F1379" s="39" t="s">
        <v>1441</v>
      </c>
      <c r="G1379" s="8" t="str">
        <f>IF(ISNA(VLOOKUP(B1379&amp;"|"&amp;C1379&amp;"|"&amp;D1379&amp;"|"&amp;E1379,QuestionTriggers!A:F,6,FALSE)),"","---&gt;")</f>
        <v/>
      </c>
      <c r="H1379" s="2" t="s">
        <v>1442</v>
      </c>
      <c r="I1379" s="2" t="s">
        <v>1443</v>
      </c>
      <c r="J1379" s="2" t="s">
        <v>1444</v>
      </c>
      <c r="K1379" s="2"/>
    </row>
    <row r="1380" spans="1:11" hidden="1" x14ac:dyDescent="0.3">
      <c r="A1380" t="str">
        <f t="shared" si="21"/>
        <v>Trinsic|Winthrop|RUMO</v>
      </c>
      <c r="B1380" s="2" t="s">
        <v>713</v>
      </c>
      <c r="C1380" s="2" t="s">
        <v>1397</v>
      </c>
      <c r="D1380" s="3" t="s">
        <v>1441</v>
      </c>
      <c r="E1380" s="3" t="s">
        <v>1447</v>
      </c>
      <c r="F1380" s="3" t="s">
        <v>2520</v>
      </c>
      <c r="G1380" s="8" t="str">
        <f>IF(ISNA(VLOOKUP(B1380&amp;"|"&amp;C1380&amp;"|"&amp;D1380&amp;"|"&amp;E1380,QuestionTriggers!A:F,6,FALSE)),"","---&gt;")</f>
        <v/>
      </c>
      <c r="H1380" s="2" t="s">
        <v>1442</v>
      </c>
      <c r="I1380" s="2" t="s">
        <v>1443</v>
      </c>
      <c r="J1380" s="2" t="s">
        <v>1444</v>
      </c>
      <c r="K1380" s="2"/>
    </row>
    <row r="1381" spans="1:11" hidden="1" x14ac:dyDescent="0.3">
      <c r="A1381" t="str">
        <f t="shared" si="21"/>
        <v>Trinsic|Winthrop|RUNE</v>
      </c>
      <c r="B1381" s="2" t="s">
        <v>713</v>
      </c>
      <c r="C1381" s="2" t="s">
        <v>1397</v>
      </c>
      <c r="D1381" s="3" t="s">
        <v>1441</v>
      </c>
      <c r="E1381" s="3" t="s">
        <v>847</v>
      </c>
      <c r="F1381" s="3" t="s">
        <v>2518</v>
      </c>
      <c r="G1381" s="8" t="str">
        <f>IF(ISNA(VLOOKUP(B1381&amp;"|"&amp;C1381&amp;"|"&amp;D1381&amp;"|"&amp;E1381,QuestionTriggers!A:F,6,FALSE)),"","---&gt;")</f>
        <v>---&gt;</v>
      </c>
      <c r="H1381" s="2" t="s">
        <v>1442</v>
      </c>
      <c r="I1381" s="2" t="s">
        <v>1443</v>
      </c>
      <c r="J1381" s="2" t="s">
        <v>1444</v>
      </c>
      <c r="K1381" s="2"/>
    </row>
    <row r="1382" spans="1:11" hidden="1" x14ac:dyDescent="0.3">
      <c r="A1382" t="str">
        <f t="shared" si="21"/>
        <v>Vesper|Balthasar|HEALTH</v>
      </c>
      <c r="B1382" s="2" t="s">
        <v>1768</v>
      </c>
      <c r="C1382" s="2" t="s">
        <v>1890</v>
      </c>
      <c r="D1382" s="2" t="s">
        <v>1923</v>
      </c>
      <c r="E1382" s="2" t="s">
        <v>20</v>
      </c>
      <c r="F1382" s="2" t="s">
        <v>1929</v>
      </c>
      <c r="G1382" s="8" t="str">
        <f>IF(ISNA(VLOOKUP(B1382&amp;"|"&amp;C1382&amp;"|"&amp;D1382&amp;"|"&amp;E1382,QuestionTriggers!A:F,6,FALSE)),"","---&gt;")</f>
        <v/>
      </c>
      <c r="H1382" s="2" t="s">
        <v>1924</v>
      </c>
      <c r="I1382" s="2" t="s">
        <v>1925</v>
      </c>
      <c r="J1382" s="2" t="s">
        <v>1926</v>
      </c>
      <c r="K1382" s="2"/>
    </row>
    <row r="1383" spans="1:11" hidden="1" x14ac:dyDescent="0.3">
      <c r="A1383" t="str">
        <f t="shared" si="21"/>
        <v>Vesper|Balthasar|JOB</v>
      </c>
      <c r="B1383" s="2" t="s">
        <v>1768</v>
      </c>
      <c r="C1383" s="2" t="s">
        <v>1890</v>
      </c>
      <c r="D1383" s="2" t="s">
        <v>1923</v>
      </c>
      <c r="E1383" s="2" t="s">
        <v>18</v>
      </c>
      <c r="F1383" s="2" t="s">
        <v>1928</v>
      </c>
      <c r="G1383" s="8" t="str">
        <f>IF(ISNA(VLOOKUP(B1383&amp;"|"&amp;C1383&amp;"|"&amp;D1383&amp;"|"&amp;E1383,QuestionTriggers!A:F,6,FALSE)),"","---&gt;")</f>
        <v/>
      </c>
      <c r="H1383" s="2" t="s">
        <v>1924</v>
      </c>
      <c r="I1383" s="2" t="s">
        <v>1925</v>
      </c>
      <c r="J1383" s="2" t="s">
        <v>1926</v>
      </c>
      <c r="K1383" s="2"/>
    </row>
    <row r="1384" spans="1:11" hidden="1" x14ac:dyDescent="0.3">
      <c r="A1384" t="str">
        <f t="shared" si="21"/>
        <v>Vesper|Balthasar|LOOK</v>
      </c>
      <c r="B1384" s="2" t="s">
        <v>1768</v>
      </c>
      <c r="C1384" s="2" t="s">
        <v>1890</v>
      </c>
      <c r="D1384" s="2" t="s">
        <v>1923</v>
      </c>
      <c r="E1384" s="2" t="s">
        <v>16</v>
      </c>
      <c r="F1384" s="2" t="s">
        <v>1927</v>
      </c>
      <c r="G1384" s="8" t="str">
        <f>IF(ISNA(VLOOKUP(B1384&amp;"|"&amp;C1384&amp;"|"&amp;D1384&amp;"|"&amp;E1384,QuestionTriggers!A:F,6,FALSE)),"","---&gt;")</f>
        <v/>
      </c>
      <c r="H1384" s="2" t="s">
        <v>1924</v>
      </c>
      <c r="I1384" s="2" t="s">
        <v>1925</v>
      </c>
      <c r="J1384" s="2" t="s">
        <v>1926</v>
      </c>
      <c r="K1384" s="2"/>
    </row>
    <row r="1385" spans="1:11" hidden="1" x14ac:dyDescent="0.3">
      <c r="A1385" t="str">
        <f t="shared" si="21"/>
        <v>Vesper|Balthasar|NAME</v>
      </c>
      <c r="B1385" s="2" t="s">
        <v>1768</v>
      </c>
      <c r="C1385" s="2" t="s">
        <v>1890</v>
      </c>
      <c r="D1385" s="2" t="s">
        <v>1923</v>
      </c>
      <c r="E1385" s="2" t="s">
        <v>12</v>
      </c>
      <c r="F1385" s="2" t="s">
        <v>1923</v>
      </c>
      <c r="G1385" s="8" t="str">
        <f>IF(ISNA(VLOOKUP(B1385&amp;"|"&amp;C1385&amp;"|"&amp;D1385&amp;"|"&amp;E1385,QuestionTriggers!A:F,6,FALSE)),"","---&gt;")</f>
        <v/>
      </c>
      <c r="H1385" s="2" t="s">
        <v>1924</v>
      </c>
      <c r="I1385" s="2" t="s">
        <v>1925</v>
      </c>
      <c r="J1385" s="2" t="s">
        <v>1926</v>
      </c>
      <c r="K1385" s="2"/>
    </row>
    <row r="1386" spans="1:11" hidden="1" x14ac:dyDescent="0.3">
      <c r="A1386" t="str">
        <f t="shared" si="21"/>
        <v>Vesper|Balthasar|SERF</v>
      </c>
      <c r="B1386" s="2" t="s">
        <v>1768</v>
      </c>
      <c r="C1386" s="2" t="s">
        <v>1890</v>
      </c>
      <c r="D1386" s="2" t="s">
        <v>1923</v>
      </c>
      <c r="E1386" s="2" t="s">
        <v>1930</v>
      </c>
      <c r="F1386" s="2" t="s">
        <v>1931</v>
      </c>
      <c r="G1386" s="8" t="str">
        <f>IF(ISNA(VLOOKUP(B1386&amp;"|"&amp;C1386&amp;"|"&amp;D1386&amp;"|"&amp;E1386,QuestionTriggers!A:F,6,FALSE)),"","---&gt;")</f>
        <v/>
      </c>
      <c r="H1386" s="2" t="s">
        <v>1924</v>
      </c>
      <c r="I1386" s="2" t="s">
        <v>1925</v>
      </c>
      <c r="J1386" s="2" t="s">
        <v>1926</v>
      </c>
      <c r="K1386" s="2"/>
    </row>
    <row r="1387" spans="1:11" hidden="1" x14ac:dyDescent="0.3">
      <c r="A1387" t="str">
        <f t="shared" si="21"/>
        <v>Vesper|Balthasar|WORK</v>
      </c>
      <c r="B1387" s="2" t="s">
        <v>1768</v>
      </c>
      <c r="C1387" s="2" t="s">
        <v>1890</v>
      </c>
      <c r="D1387" s="2" t="s">
        <v>1923</v>
      </c>
      <c r="E1387" s="2" t="s">
        <v>1932</v>
      </c>
      <c r="F1387" s="2" t="s">
        <v>1933</v>
      </c>
      <c r="G1387" s="8" t="str">
        <f>IF(ISNA(VLOOKUP(B1387&amp;"|"&amp;C1387&amp;"|"&amp;D1387&amp;"|"&amp;E1387,QuestionTriggers!A:F,6,FALSE)),"","---&gt;")</f>
        <v>---&gt;</v>
      </c>
      <c r="H1387" s="2" t="s">
        <v>1924</v>
      </c>
      <c r="I1387" s="2" t="s">
        <v>1925</v>
      </c>
      <c r="J1387" s="2" t="s">
        <v>1926</v>
      </c>
      <c r="K1387" s="2"/>
    </row>
    <row r="1388" spans="1:11" ht="26.4" hidden="1" x14ac:dyDescent="0.3">
      <c r="A1388" t="str">
        <f t="shared" si="21"/>
        <v>Vesper|Bartender|Nightshade (25 gold)</v>
      </c>
      <c r="B1388" s="2" t="s">
        <v>1768</v>
      </c>
      <c r="C1388" s="2" t="s">
        <v>1890</v>
      </c>
      <c r="D1388" s="2" t="s">
        <v>2277</v>
      </c>
      <c r="E1388" s="2" t="s">
        <v>2290</v>
      </c>
      <c r="F1388" s="2" t="s">
        <v>2291</v>
      </c>
      <c r="G1388" s="8" t="str">
        <f>IF(ISNA(VLOOKUP(B1388&amp;"|"&amp;C1388&amp;"|"&amp;D1388&amp;"|"&amp;E1388,QuestionTriggers!A:F,6,FALSE)),"","---&gt;")</f>
        <v/>
      </c>
    </row>
    <row r="1389" spans="1:11" hidden="1" x14ac:dyDescent="0.3">
      <c r="A1389" t="str">
        <f t="shared" si="21"/>
        <v>Vesper|Corkrin|HEALTH</v>
      </c>
      <c r="B1389" s="2" t="s">
        <v>1768</v>
      </c>
      <c r="C1389" s="2" t="s">
        <v>1890</v>
      </c>
      <c r="D1389" s="2" t="s">
        <v>2002</v>
      </c>
      <c r="E1389" s="2" t="s">
        <v>20</v>
      </c>
      <c r="F1389" s="2" t="s">
        <v>2006</v>
      </c>
      <c r="G1389" s="8" t="str">
        <f>IF(ISNA(VLOOKUP(B1389&amp;"|"&amp;C1389&amp;"|"&amp;D1389&amp;"|"&amp;E1389,QuestionTriggers!A:F,6,FALSE)),"","---&gt;")</f>
        <v/>
      </c>
      <c r="H1389" s="2" t="s">
        <v>2003</v>
      </c>
      <c r="I1389" s="2" t="s">
        <v>177</v>
      </c>
      <c r="J1389" s="2" t="s">
        <v>2004</v>
      </c>
      <c r="K1389" s="2"/>
    </row>
    <row r="1390" spans="1:11" hidden="1" x14ac:dyDescent="0.3">
      <c r="A1390" t="str">
        <f t="shared" si="21"/>
        <v>Vesper|Corkrin|JOB</v>
      </c>
      <c r="B1390" s="2" t="s">
        <v>1768</v>
      </c>
      <c r="C1390" s="2" t="s">
        <v>1890</v>
      </c>
      <c r="D1390" s="2" t="s">
        <v>2002</v>
      </c>
      <c r="E1390" s="2" t="s">
        <v>18</v>
      </c>
      <c r="F1390" s="2" t="s">
        <v>2005</v>
      </c>
      <c r="G1390" s="8" t="str">
        <f>IF(ISNA(VLOOKUP(B1390&amp;"|"&amp;C1390&amp;"|"&amp;D1390&amp;"|"&amp;E1390,QuestionTriggers!A:F,6,FALSE)),"","---&gt;")</f>
        <v/>
      </c>
      <c r="H1390" s="2" t="s">
        <v>2003</v>
      </c>
      <c r="I1390" s="2" t="s">
        <v>177</v>
      </c>
      <c r="J1390" s="2" t="s">
        <v>2004</v>
      </c>
      <c r="K1390" s="2"/>
    </row>
    <row r="1391" spans="1:11" hidden="1" x14ac:dyDescent="0.3">
      <c r="A1391" t="str">
        <f t="shared" si="21"/>
        <v>Vesper|Corkrin|LOOK</v>
      </c>
      <c r="B1391" s="2" t="s">
        <v>1768</v>
      </c>
      <c r="C1391" s="2" t="s">
        <v>1890</v>
      </c>
      <c r="D1391" s="2" t="s">
        <v>2002</v>
      </c>
      <c r="E1391" s="2" t="s">
        <v>16</v>
      </c>
      <c r="F1391" s="2" t="s">
        <v>550</v>
      </c>
      <c r="G1391" s="8" t="str">
        <f>IF(ISNA(VLOOKUP(B1391&amp;"|"&amp;C1391&amp;"|"&amp;D1391&amp;"|"&amp;E1391,QuestionTriggers!A:F,6,FALSE)),"","---&gt;")</f>
        <v/>
      </c>
      <c r="H1391" s="2" t="s">
        <v>2003</v>
      </c>
      <c r="I1391" s="2" t="s">
        <v>177</v>
      </c>
      <c r="J1391" s="2" t="s">
        <v>2004</v>
      </c>
      <c r="K1391" s="2"/>
    </row>
    <row r="1392" spans="1:11" hidden="1" x14ac:dyDescent="0.3">
      <c r="A1392" t="str">
        <f t="shared" si="21"/>
        <v>Vesper|Corkrin|NAME</v>
      </c>
      <c r="B1392" s="2" t="s">
        <v>1768</v>
      </c>
      <c r="C1392" s="2" t="s">
        <v>1890</v>
      </c>
      <c r="D1392" s="2" t="s">
        <v>2002</v>
      </c>
      <c r="E1392" s="2" t="s">
        <v>12</v>
      </c>
      <c r="F1392" s="2" t="s">
        <v>2002</v>
      </c>
      <c r="G1392" s="8" t="str">
        <f>IF(ISNA(VLOOKUP(B1392&amp;"|"&amp;C1392&amp;"|"&amp;D1392&amp;"|"&amp;E1392,QuestionTriggers!A:F,6,FALSE)),"","---&gt;")</f>
        <v/>
      </c>
      <c r="H1392" s="2" t="s">
        <v>2003</v>
      </c>
      <c r="I1392" s="2" t="s">
        <v>177</v>
      </c>
      <c r="J1392" s="2" t="s">
        <v>2004</v>
      </c>
      <c r="K1392" s="2"/>
    </row>
    <row r="1393" spans="1:11" ht="26.4" hidden="1" x14ac:dyDescent="0.3">
      <c r="A1393" t="str">
        <f t="shared" si="21"/>
        <v>Vesper|Corkrin|VIRT</v>
      </c>
      <c r="B1393" s="2" t="s">
        <v>1768</v>
      </c>
      <c r="C1393" s="2" t="s">
        <v>1890</v>
      </c>
      <c r="D1393" s="2" t="s">
        <v>2002</v>
      </c>
      <c r="E1393" s="2" t="s">
        <v>273</v>
      </c>
      <c r="F1393" s="2" t="s">
        <v>2007</v>
      </c>
      <c r="G1393" s="8" t="str">
        <f>IF(ISNA(VLOOKUP(B1393&amp;"|"&amp;C1393&amp;"|"&amp;D1393&amp;"|"&amp;E1393,QuestionTriggers!A:F,6,FALSE)),"","---&gt;")</f>
        <v>---&gt;</v>
      </c>
      <c r="H1393" s="2" t="s">
        <v>2003</v>
      </c>
      <c r="I1393" s="2" t="s">
        <v>177</v>
      </c>
      <c r="J1393" s="2" t="s">
        <v>2004</v>
      </c>
      <c r="K1393" s="2"/>
    </row>
    <row r="1394" spans="1:11" ht="26.4" hidden="1" x14ac:dyDescent="0.3">
      <c r="A1394" t="str">
        <f t="shared" si="21"/>
        <v>Vesper|Dirgen|COUN</v>
      </c>
      <c r="B1394" s="2" t="s">
        <v>1768</v>
      </c>
      <c r="C1394" s="2" t="s">
        <v>1890</v>
      </c>
      <c r="D1394" s="2" t="s">
        <v>1974</v>
      </c>
      <c r="E1394" s="2" t="s">
        <v>163</v>
      </c>
      <c r="F1394" s="2" t="s">
        <v>1978</v>
      </c>
      <c r="G1394" s="8" t="str">
        <f>IF(ISNA(VLOOKUP(B1394&amp;"|"&amp;C1394&amp;"|"&amp;D1394&amp;"|"&amp;E1394,QuestionTriggers!A:F,6,FALSE)),"","---&gt;")</f>
        <v/>
      </c>
      <c r="H1394" s="2" t="s">
        <v>611</v>
      </c>
      <c r="I1394" s="2" t="s">
        <v>349</v>
      </c>
      <c r="J1394" s="2" t="s">
        <v>1975</v>
      </c>
      <c r="K1394" s="2"/>
    </row>
    <row r="1395" spans="1:11" ht="26.4" hidden="1" x14ac:dyDescent="0.3">
      <c r="A1395" t="str">
        <f t="shared" si="21"/>
        <v>Vesper|Dirgen|HEALTH</v>
      </c>
      <c r="B1395" s="2" t="s">
        <v>1768</v>
      </c>
      <c r="C1395" s="2" t="s">
        <v>1890</v>
      </c>
      <c r="D1395" s="2" t="s">
        <v>1974</v>
      </c>
      <c r="E1395" s="2" t="s">
        <v>20</v>
      </c>
      <c r="F1395" s="2" t="s">
        <v>93</v>
      </c>
      <c r="G1395" s="8" t="str">
        <f>IF(ISNA(VLOOKUP(B1395&amp;"|"&amp;C1395&amp;"|"&amp;D1395&amp;"|"&amp;E1395,QuestionTriggers!A:F,6,FALSE)),"","---&gt;")</f>
        <v/>
      </c>
      <c r="H1395" s="2" t="s">
        <v>611</v>
      </c>
      <c r="I1395" s="2" t="s">
        <v>349</v>
      </c>
      <c r="J1395" s="2" t="s">
        <v>1975</v>
      </c>
      <c r="K1395" s="2"/>
    </row>
    <row r="1396" spans="1:11" ht="26.4" hidden="1" x14ac:dyDescent="0.3">
      <c r="A1396" t="str">
        <f t="shared" si="21"/>
        <v>Vesper|Dirgen|JOB</v>
      </c>
      <c r="B1396" s="2" t="s">
        <v>1768</v>
      </c>
      <c r="C1396" s="2" t="s">
        <v>1890</v>
      </c>
      <c r="D1396" s="2" t="s">
        <v>1974</v>
      </c>
      <c r="E1396" s="2" t="s">
        <v>18</v>
      </c>
      <c r="F1396" s="2" t="s">
        <v>1977</v>
      </c>
      <c r="G1396" s="8" t="str">
        <f>IF(ISNA(VLOOKUP(B1396&amp;"|"&amp;C1396&amp;"|"&amp;D1396&amp;"|"&amp;E1396,QuestionTriggers!A:F,6,FALSE)),"","---&gt;")</f>
        <v/>
      </c>
      <c r="H1396" s="2" t="s">
        <v>611</v>
      </c>
      <c r="I1396" s="2" t="s">
        <v>349</v>
      </c>
      <c r="J1396" s="2" t="s">
        <v>1975</v>
      </c>
      <c r="K1396" s="2"/>
    </row>
    <row r="1397" spans="1:11" ht="26.4" hidden="1" x14ac:dyDescent="0.3">
      <c r="A1397" t="str">
        <f t="shared" si="21"/>
        <v>Vesper|Dirgen|LOOK</v>
      </c>
      <c r="B1397" s="2" t="s">
        <v>1768</v>
      </c>
      <c r="C1397" s="2" t="s">
        <v>1890</v>
      </c>
      <c r="D1397" s="2" t="s">
        <v>1974</v>
      </c>
      <c r="E1397" s="2" t="s">
        <v>16</v>
      </c>
      <c r="F1397" s="2" t="s">
        <v>1976</v>
      </c>
      <c r="G1397" s="8" t="str">
        <f>IF(ISNA(VLOOKUP(B1397&amp;"|"&amp;C1397&amp;"|"&amp;D1397&amp;"|"&amp;E1397,QuestionTriggers!A:F,6,FALSE)),"","---&gt;")</f>
        <v/>
      </c>
      <c r="H1397" s="2" t="s">
        <v>611</v>
      </c>
      <c r="I1397" s="2" t="s">
        <v>349</v>
      </c>
      <c r="J1397" s="2" t="s">
        <v>1975</v>
      </c>
      <c r="K1397" s="2"/>
    </row>
    <row r="1398" spans="1:11" ht="26.4" hidden="1" x14ac:dyDescent="0.3">
      <c r="A1398" t="str">
        <f t="shared" si="21"/>
        <v>Vesper|Dirgen|NAME</v>
      </c>
      <c r="B1398" s="2" t="s">
        <v>1768</v>
      </c>
      <c r="C1398" s="2" t="s">
        <v>1890</v>
      </c>
      <c r="D1398" s="2" t="s">
        <v>1974</v>
      </c>
      <c r="E1398" s="2" t="s">
        <v>12</v>
      </c>
      <c r="F1398" s="2" t="s">
        <v>1974</v>
      </c>
      <c r="G1398" s="8" t="str">
        <f>IF(ISNA(VLOOKUP(B1398&amp;"|"&amp;C1398&amp;"|"&amp;D1398&amp;"|"&amp;E1398,QuestionTriggers!A:F,6,FALSE)),"","---&gt;")</f>
        <v/>
      </c>
      <c r="H1398" s="2" t="s">
        <v>611</v>
      </c>
      <c r="I1398" s="2" t="s">
        <v>349</v>
      </c>
      <c r="J1398" s="2" t="s">
        <v>1975</v>
      </c>
      <c r="K1398" s="2"/>
    </row>
    <row r="1399" spans="1:11" ht="26.4" hidden="1" x14ac:dyDescent="0.3">
      <c r="A1399" t="str">
        <f t="shared" si="21"/>
        <v>Vesper|Dirgen|VIRT</v>
      </c>
      <c r="B1399" s="2" t="s">
        <v>1768</v>
      </c>
      <c r="C1399" s="2" t="s">
        <v>1890</v>
      </c>
      <c r="D1399" s="2" t="s">
        <v>1974</v>
      </c>
      <c r="E1399" s="2" t="s">
        <v>273</v>
      </c>
      <c r="F1399" s="2" t="s">
        <v>1979</v>
      </c>
      <c r="G1399" s="8" t="str">
        <f>IF(ISNA(VLOOKUP(B1399&amp;"|"&amp;C1399&amp;"|"&amp;D1399&amp;"|"&amp;E1399,QuestionTriggers!A:F,6,FALSE)),"","---&gt;")</f>
        <v>---&gt;</v>
      </c>
      <c r="H1399" s="2" t="s">
        <v>611</v>
      </c>
      <c r="I1399" s="2" t="s">
        <v>349</v>
      </c>
      <c r="J1399" s="2" t="s">
        <v>1975</v>
      </c>
      <c r="K1399" s="2"/>
    </row>
    <row r="1400" spans="1:11" hidden="1" x14ac:dyDescent="0.3">
      <c r="A1400" t="str">
        <f t="shared" si="21"/>
        <v>Vesper|Dyka|BORR</v>
      </c>
      <c r="B1400" s="2" t="s">
        <v>1768</v>
      </c>
      <c r="C1400" s="2" t="s">
        <v>1890</v>
      </c>
      <c r="D1400" s="2" t="s">
        <v>2008</v>
      </c>
      <c r="E1400" s="2" t="s">
        <v>2015</v>
      </c>
      <c r="F1400" s="2" t="s">
        <v>2016</v>
      </c>
      <c r="G1400" s="8" t="str">
        <f>IF(ISNA(VLOOKUP(B1400&amp;"|"&amp;C1400&amp;"|"&amp;D1400&amp;"|"&amp;E1400,QuestionTriggers!A:F,6,FALSE)),"","---&gt;")</f>
        <v/>
      </c>
      <c r="H1400" s="2" t="s">
        <v>2009</v>
      </c>
      <c r="I1400" s="2" t="s">
        <v>2010</v>
      </c>
      <c r="J1400" s="2" t="s">
        <v>2011</v>
      </c>
      <c r="K1400" s="2"/>
    </row>
    <row r="1401" spans="1:11" hidden="1" x14ac:dyDescent="0.3">
      <c r="A1401" t="str">
        <f t="shared" si="21"/>
        <v>Vesper|Dyka|HEALTH</v>
      </c>
      <c r="B1401" s="2" t="s">
        <v>1768</v>
      </c>
      <c r="C1401" s="2" t="s">
        <v>1890</v>
      </c>
      <c r="D1401" s="2" t="s">
        <v>2008</v>
      </c>
      <c r="E1401" s="2" t="s">
        <v>20</v>
      </c>
      <c r="F1401" s="2" t="s">
        <v>2014</v>
      </c>
      <c r="G1401" s="8" t="str">
        <f>IF(ISNA(VLOOKUP(B1401&amp;"|"&amp;C1401&amp;"|"&amp;D1401&amp;"|"&amp;E1401,QuestionTriggers!A:F,6,FALSE)),"","---&gt;")</f>
        <v/>
      </c>
      <c r="H1401" s="2" t="s">
        <v>2009</v>
      </c>
      <c r="I1401" s="2" t="s">
        <v>2010</v>
      </c>
      <c r="J1401" s="2" t="s">
        <v>2011</v>
      </c>
      <c r="K1401" s="2"/>
    </row>
    <row r="1402" spans="1:11" hidden="1" x14ac:dyDescent="0.3">
      <c r="A1402" t="str">
        <f t="shared" si="21"/>
        <v>Vesper|Dyka|HORS</v>
      </c>
      <c r="B1402" s="2" t="s">
        <v>1768</v>
      </c>
      <c r="C1402" s="2" t="s">
        <v>1890</v>
      </c>
      <c r="D1402" s="2" t="s">
        <v>2008</v>
      </c>
      <c r="E1402" s="2" t="s">
        <v>2017</v>
      </c>
      <c r="F1402" s="2" t="s">
        <v>2018</v>
      </c>
      <c r="G1402" s="8" t="str">
        <f>IF(ISNA(VLOOKUP(B1402&amp;"|"&amp;C1402&amp;"|"&amp;D1402&amp;"|"&amp;E1402,QuestionTriggers!A:F,6,FALSE)),"","---&gt;")</f>
        <v>---&gt;</v>
      </c>
      <c r="H1402" s="2" t="s">
        <v>2009</v>
      </c>
      <c r="I1402" s="2" t="s">
        <v>2010</v>
      </c>
      <c r="J1402" s="2" t="s">
        <v>2011</v>
      </c>
      <c r="K1402" s="2"/>
    </row>
    <row r="1403" spans="1:11" hidden="1" x14ac:dyDescent="0.3">
      <c r="A1403" t="str">
        <f t="shared" si="21"/>
        <v>Vesper|Dyka|JOB</v>
      </c>
      <c r="B1403" s="2" t="s">
        <v>1768</v>
      </c>
      <c r="C1403" s="2" t="s">
        <v>1890</v>
      </c>
      <c r="D1403" s="2" t="s">
        <v>2008</v>
      </c>
      <c r="E1403" s="2" t="s">
        <v>18</v>
      </c>
      <c r="F1403" s="2" t="s">
        <v>2013</v>
      </c>
      <c r="G1403" s="8" t="str">
        <f>IF(ISNA(VLOOKUP(B1403&amp;"|"&amp;C1403&amp;"|"&amp;D1403&amp;"|"&amp;E1403,QuestionTriggers!A:F,6,FALSE)),"","---&gt;")</f>
        <v/>
      </c>
      <c r="H1403" s="2" t="s">
        <v>2009</v>
      </c>
      <c r="I1403" s="2" t="s">
        <v>2010</v>
      </c>
      <c r="J1403" s="2" t="s">
        <v>2011</v>
      </c>
      <c r="K1403" s="2"/>
    </row>
    <row r="1404" spans="1:11" hidden="1" x14ac:dyDescent="0.3">
      <c r="A1404" t="str">
        <f t="shared" si="21"/>
        <v>Vesper|Dyka|LOOK</v>
      </c>
      <c r="B1404" s="2" t="s">
        <v>1768</v>
      </c>
      <c r="C1404" s="2" t="s">
        <v>1890</v>
      </c>
      <c r="D1404" s="2" t="s">
        <v>2008</v>
      </c>
      <c r="E1404" s="2" t="s">
        <v>16</v>
      </c>
      <c r="F1404" s="2" t="s">
        <v>2012</v>
      </c>
      <c r="G1404" s="8" t="str">
        <f>IF(ISNA(VLOOKUP(B1404&amp;"|"&amp;C1404&amp;"|"&amp;D1404&amp;"|"&amp;E1404,QuestionTriggers!A:F,6,FALSE)),"","---&gt;")</f>
        <v/>
      </c>
      <c r="H1404" s="2" t="s">
        <v>2009</v>
      </c>
      <c r="I1404" s="2" t="s">
        <v>2010</v>
      </c>
      <c r="J1404" s="2" t="s">
        <v>2011</v>
      </c>
      <c r="K1404" s="2"/>
    </row>
    <row r="1405" spans="1:11" hidden="1" x14ac:dyDescent="0.3">
      <c r="A1405" t="str">
        <f t="shared" si="21"/>
        <v>Vesper|Dyka|NAME</v>
      </c>
      <c r="B1405" s="2" t="s">
        <v>1768</v>
      </c>
      <c r="C1405" s="2" t="s">
        <v>1890</v>
      </c>
      <c r="D1405" s="2" t="s">
        <v>2008</v>
      </c>
      <c r="E1405" s="2" t="s">
        <v>12</v>
      </c>
      <c r="F1405" s="2" t="s">
        <v>2008</v>
      </c>
      <c r="G1405" s="8" t="str">
        <f>IF(ISNA(VLOOKUP(B1405&amp;"|"&amp;C1405&amp;"|"&amp;D1405&amp;"|"&amp;E1405,QuestionTriggers!A:F,6,FALSE)),"","---&gt;")</f>
        <v/>
      </c>
      <c r="H1405" s="2" t="s">
        <v>2009</v>
      </c>
      <c r="I1405" s="2" t="s">
        <v>2010</v>
      </c>
      <c r="J1405" s="2" t="s">
        <v>2011</v>
      </c>
      <c r="K1405" s="2"/>
    </row>
    <row r="1406" spans="1:11" ht="26.4" hidden="1" x14ac:dyDescent="0.3">
      <c r="A1406" t="str">
        <f t="shared" si="21"/>
        <v>Vesper|Flatbush|CALU</v>
      </c>
      <c r="B1406" s="2" t="s">
        <v>1768</v>
      </c>
      <c r="C1406" s="2" t="s">
        <v>1890</v>
      </c>
      <c r="D1406" s="2" t="s">
        <v>1991</v>
      </c>
      <c r="E1406" s="2" t="s">
        <v>2000</v>
      </c>
      <c r="F1406" s="2" t="s">
        <v>2001</v>
      </c>
      <c r="G1406" s="8" t="str">
        <f>IF(ISNA(VLOOKUP(B1406&amp;"|"&amp;C1406&amp;"|"&amp;D1406&amp;"|"&amp;E1406,QuestionTriggers!A:F,6,FALSE)),"","---&gt;")</f>
        <v>---&gt;</v>
      </c>
      <c r="H1406" s="2" t="s">
        <v>1992</v>
      </c>
      <c r="I1406" s="2" t="s">
        <v>1993</v>
      </c>
      <c r="J1406" s="2" t="s">
        <v>1994</v>
      </c>
      <c r="K1406" s="2"/>
    </row>
    <row r="1407" spans="1:11" ht="26.4" hidden="1" x14ac:dyDescent="0.3">
      <c r="A1407" t="str">
        <f t="shared" si="21"/>
        <v>Vesper|Flatbush|HEALTH</v>
      </c>
      <c r="B1407" s="2" t="s">
        <v>1768</v>
      </c>
      <c r="C1407" s="2" t="s">
        <v>1890</v>
      </c>
      <c r="D1407" s="2" t="s">
        <v>1991</v>
      </c>
      <c r="E1407" s="2" t="s">
        <v>20</v>
      </c>
      <c r="F1407" s="2" t="s">
        <v>1997</v>
      </c>
      <c r="G1407" s="8" t="str">
        <f>IF(ISNA(VLOOKUP(B1407&amp;"|"&amp;C1407&amp;"|"&amp;D1407&amp;"|"&amp;E1407,QuestionTriggers!A:F,6,FALSE)),"","---&gt;")</f>
        <v/>
      </c>
      <c r="H1407" s="2" t="s">
        <v>1992</v>
      </c>
      <c r="I1407" s="2" t="s">
        <v>1993</v>
      </c>
      <c r="J1407" s="2" t="s">
        <v>1994</v>
      </c>
      <c r="K1407" s="2"/>
    </row>
    <row r="1408" spans="1:11" ht="26.4" hidden="1" x14ac:dyDescent="0.3">
      <c r="A1408" t="str">
        <f t="shared" si="21"/>
        <v>Vesper|Flatbush|JOB</v>
      </c>
      <c r="B1408" s="2" t="s">
        <v>1768</v>
      </c>
      <c r="C1408" s="2" t="s">
        <v>1890</v>
      </c>
      <c r="D1408" s="2" t="s">
        <v>1991</v>
      </c>
      <c r="E1408" s="2" t="s">
        <v>18</v>
      </c>
      <c r="F1408" s="2" t="s">
        <v>1996</v>
      </c>
      <c r="G1408" s="8" t="str">
        <f>IF(ISNA(VLOOKUP(B1408&amp;"|"&amp;C1408&amp;"|"&amp;D1408&amp;"|"&amp;E1408,QuestionTriggers!A:F,6,FALSE)),"","---&gt;")</f>
        <v/>
      </c>
      <c r="H1408" s="2" t="s">
        <v>1992</v>
      </c>
      <c r="I1408" s="2" t="s">
        <v>1993</v>
      </c>
      <c r="J1408" s="2" t="s">
        <v>1994</v>
      </c>
      <c r="K1408" s="2"/>
    </row>
    <row r="1409" spans="1:11" ht="26.4" hidden="1" x14ac:dyDescent="0.3">
      <c r="A1409" t="str">
        <f t="shared" si="21"/>
        <v>Vesper|Flatbush|LOOK</v>
      </c>
      <c r="B1409" s="2" t="s">
        <v>1768</v>
      </c>
      <c r="C1409" s="2" t="s">
        <v>1890</v>
      </c>
      <c r="D1409" s="2" t="s">
        <v>1991</v>
      </c>
      <c r="E1409" s="2" t="s">
        <v>16</v>
      </c>
      <c r="F1409" s="2" t="s">
        <v>1995</v>
      </c>
      <c r="G1409" s="8" t="str">
        <f>IF(ISNA(VLOOKUP(B1409&amp;"|"&amp;C1409&amp;"|"&amp;D1409&amp;"|"&amp;E1409,QuestionTriggers!A:F,6,FALSE)),"","---&gt;")</f>
        <v/>
      </c>
      <c r="H1409" s="2" t="s">
        <v>1992</v>
      </c>
      <c r="I1409" s="2" t="s">
        <v>1993</v>
      </c>
      <c r="J1409" s="2" t="s">
        <v>1994</v>
      </c>
      <c r="K1409" s="2"/>
    </row>
    <row r="1410" spans="1:11" ht="26.4" hidden="1" x14ac:dyDescent="0.3">
      <c r="A1410" t="str">
        <f t="shared" si="21"/>
        <v>Vesper|Flatbush|MAGE</v>
      </c>
      <c r="B1410" s="2" t="s">
        <v>1768</v>
      </c>
      <c r="C1410" s="2" t="s">
        <v>1890</v>
      </c>
      <c r="D1410" s="2" t="s">
        <v>1991</v>
      </c>
      <c r="E1410" s="2" t="s">
        <v>1998</v>
      </c>
      <c r="F1410" s="2" t="s">
        <v>1999</v>
      </c>
      <c r="G1410" s="8" t="str">
        <f>IF(ISNA(VLOOKUP(B1410&amp;"|"&amp;C1410&amp;"|"&amp;D1410&amp;"|"&amp;E1410,QuestionTriggers!A:F,6,FALSE)),"","---&gt;")</f>
        <v/>
      </c>
      <c r="H1410" s="2" t="s">
        <v>1992</v>
      </c>
      <c r="I1410" s="2" t="s">
        <v>1993</v>
      </c>
      <c r="J1410" s="2" t="s">
        <v>1994</v>
      </c>
      <c r="K1410" s="2"/>
    </row>
    <row r="1411" spans="1:11" ht="26.4" hidden="1" x14ac:dyDescent="0.3">
      <c r="A1411" t="str">
        <f t="shared" ref="A1411:A1474" si="22">C1411&amp;"|"&amp;D1411&amp;"|"&amp;E1411</f>
        <v>Vesper|Flatbush|NAME</v>
      </c>
      <c r="B1411" s="2" t="s">
        <v>1768</v>
      </c>
      <c r="C1411" s="2" t="s">
        <v>1890</v>
      </c>
      <c r="D1411" s="2" t="s">
        <v>1991</v>
      </c>
      <c r="E1411" s="2" t="s">
        <v>12</v>
      </c>
      <c r="F1411" s="2" t="s">
        <v>1991</v>
      </c>
      <c r="G1411" s="8" t="str">
        <f>IF(ISNA(VLOOKUP(B1411&amp;"|"&amp;C1411&amp;"|"&amp;D1411&amp;"|"&amp;E1411,QuestionTriggers!A:F,6,FALSE)),"","---&gt;")</f>
        <v/>
      </c>
      <c r="H1411" s="2" t="s">
        <v>1992</v>
      </c>
      <c r="I1411" s="2" t="s">
        <v>1993</v>
      </c>
      <c r="J1411" s="2" t="s">
        <v>1994</v>
      </c>
      <c r="K1411" s="2"/>
    </row>
    <row r="1412" spans="1:11" hidden="1" x14ac:dyDescent="0.3">
      <c r="A1412" t="str">
        <f t="shared" si="22"/>
        <v>Vesper|Friday|GOLD</v>
      </c>
      <c r="B1412" s="2" t="s">
        <v>1768</v>
      </c>
      <c r="C1412" s="2" t="s">
        <v>1890</v>
      </c>
      <c r="D1412" s="2" t="s">
        <v>1961</v>
      </c>
      <c r="E1412" s="2" t="s">
        <v>1967</v>
      </c>
      <c r="F1412" s="2" t="s">
        <v>1968</v>
      </c>
      <c r="G1412" s="8" t="str">
        <f>IF(ISNA(VLOOKUP(B1412&amp;"|"&amp;C1412&amp;"|"&amp;D1412&amp;"|"&amp;E1412,QuestionTriggers!A:F,6,FALSE)),"","---&gt;")</f>
        <v/>
      </c>
      <c r="H1412" s="2" t="s">
        <v>1962</v>
      </c>
      <c r="I1412" s="2" t="s">
        <v>1963</v>
      </c>
      <c r="J1412" s="2" t="s">
        <v>111</v>
      </c>
      <c r="K1412" s="2"/>
    </row>
    <row r="1413" spans="1:11" hidden="1" x14ac:dyDescent="0.3">
      <c r="A1413" t="str">
        <f t="shared" si="22"/>
        <v>Vesper|Friday|HEALTH</v>
      </c>
      <c r="B1413" s="2" t="s">
        <v>1768</v>
      </c>
      <c r="C1413" s="2" t="s">
        <v>1890</v>
      </c>
      <c r="D1413" s="2" t="s">
        <v>1961</v>
      </c>
      <c r="E1413" s="2" t="s">
        <v>20</v>
      </c>
      <c r="F1413" s="2" t="s">
        <v>1966</v>
      </c>
      <c r="G1413" s="8" t="str">
        <f>IF(ISNA(VLOOKUP(B1413&amp;"|"&amp;C1413&amp;"|"&amp;D1413&amp;"|"&amp;E1413,QuestionTriggers!A:F,6,FALSE)),"","---&gt;")</f>
        <v/>
      </c>
      <c r="H1413" s="2" t="s">
        <v>1962</v>
      </c>
      <c r="I1413" s="2" t="s">
        <v>1963</v>
      </c>
      <c r="J1413" s="2" t="s">
        <v>111</v>
      </c>
      <c r="K1413" s="2"/>
    </row>
    <row r="1414" spans="1:11" hidden="1" x14ac:dyDescent="0.3">
      <c r="A1414" t="str">
        <f t="shared" si="22"/>
        <v>Vesper|Friday|JOB</v>
      </c>
      <c r="B1414" s="2" t="s">
        <v>1768</v>
      </c>
      <c r="C1414" s="2" t="s">
        <v>1890</v>
      </c>
      <c r="D1414" s="2" t="s">
        <v>1961</v>
      </c>
      <c r="E1414" s="2" t="s">
        <v>18</v>
      </c>
      <c r="F1414" s="2" t="s">
        <v>1965</v>
      </c>
      <c r="G1414" s="8" t="str">
        <f>IF(ISNA(VLOOKUP(B1414&amp;"|"&amp;C1414&amp;"|"&amp;D1414&amp;"|"&amp;E1414,QuestionTriggers!A:F,6,FALSE)),"","---&gt;")</f>
        <v/>
      </c>
      <c r="H1414" s="2" t="s">
        <v>1962</v>
      </c>
      <c r="I1414" s="2" t="s">
        <v>1963</v>
      </c>
      <c r="J1414" s="2" t="s">
        <v>111</v>
      </c>
      <c r="K1414" s="2"/>
    </row>
    <row r="1415" spans="1:11" hidden="1" x14ac:dyDescent="0.3">
      <c r="A1415" t="str">
        <f t="shared" si="22"/>
        <v>Vesper|Friday|LOOK</v>
      </c>
      <c r="B1415" s="2" t="s">
        <v>1768</v>
      </c>
      <c r="C1415" s="2" t="s">
        <v>1890</v>
      </c>
      <c r="D1415" s="2" t="s">
        <v>1961</v>
      </c>
      <c r="E1415" s="2" t="s">
        <v>16</v>
      </c>
      <c r="F1415" s="2" t="s">
        <v>1964</v>
      </c>
      <c r="G1415" s="8" t="str">
        <f>IF(ISNA(VLOOKUP(B1415&amp;"|"&amp;C1415&amp;"|"&amp;D1415&amp;"|"&amp;E1415,QuestionTriggers!A:F,6,FALSE)),"","---&gt;")</f>
        <v/>
      </c>
      <c r="H1415" s="2" t="s">
        <v>1962</v>
      </c>
      <c r="I1415" s="2" t="s">
        <v>1963</v>
      </c>
      <c r="J1415" s="2" t="s">
        <v>111</v>
      </c>
      <c r="K1415" s="2"/>
    </row>
    <row r="1416" spans="1:11" hidden="1" x14ac:dyDescent="0.3">
      <c r="A1416" t="str">
        <f t="shared" si="22"/>
        <v>Vesper|Friday|NAME</v>
      </c>
      <c r="B1416" s="2" t="s">
        <v>1768</v>
      </c>
      <c r="C1416" s="2" t="s">
        <v>1890</v>
      </c>
      <c r="D1416" s="2" t="s">
        <v>1961</v>
      </c>
      <c r="E1416" s="2" t="s">
        <v>12</v>
      </c>
      <c r="F1416" s="2" t="s">
        <v>1961</v>
      </c>
      <c r="G1416" s="8" t="str">
        <f>IF(ISNA(VLOOKUP(B1416&amp;"|"&amp;C1416&amp;"|"&amp;D1416&amp;"|"&amp;E1416,QuestionTriggers!A:F,6,FALSE)),"","---&gt;")</f>
        <v/>
      </c>
      <c r="H1416" s="2" t="s">
        <v>1962</v>
      </c>
      <c r="I1416" s="2" t="s">
        <v>1963</v>
      </c>
      <c r="J1416" s="2" t="s">
        <v>111</v>
      </c>
      <c r="K1416" s="2"/>
    </row>
    <row r="1417" spans="1:11" hidden="1" x14ac:dyDescent="0.3">
      <c r="A1417" t="str">
        <f t="shared" si="22"/>
        <v>Vesper|Friday|WARN</v>
      </c>
      <c r="B1417" s="2" t="s">
        <v>1768</v>
      </c>
      <c r="C1417" s="2" t="s">
        <v>1890</v>
      </c>
      <c r="D1417" s="2" t="s">
        <v>1961</v>
      </c>
      <c r="E1417" s="2" t="s">
        <v>115</v>
      </c>
      <c r="F1417" s="2" t="s">
        <v>1968</v>
      </c>
      <c r="G1417" s="8" t="str">
        <f>IF(ISNA(VLOOKUP(B1417&amp;"|"&amp;C1417&amp;"|"&amp;D1417&amp;"|"&amp;E1417,QuestionTriggers!A:F,6,FALSE)),"","---&gt;")</f>
        <v>---&gt;</v>
      </c>
      <c r="H1417" s="2" t="s">
        <v>1962</v>
      </c>
      <c r="I1417" s="2" t="s">
        <v>1963</v>
      </c>
      <c r="J1417" s="2" t="s">
        <v>111</v>
      </c>
      <c r="K1417" s="2"/>
    </row>
    <row r="1418" spans="1:11" hidden="1" x14ac:dyDescent="0.3">
      <c r="A1418" t="str">
        <f t="shared" si="22"/>
        <v>Vesper|Gate Guard|HEALTH</v>
      </c>
      <c r="B1418" s="2" t="s">
        <v>1768</v>
      </c>
      <c r="C1418" s="2" t="s">
        <v>1890</v>
      </c>
      <c r="D1418" s="2" t="s">
        <v>26</v>
      </c>
      <c r="E1418" s="2" t="s">
        <v>20</v>
      </c>
      <c r="F1418" s="2" t="s">
        <v>1900</v>
      </c>
      <c r="G1418" s="8" t="str">
        <f>IF(ISNA(VLOOKUP(B1418&amp;"|"&amp;C1418&amp;"|"&amp;D1418&amp;"|"&amp;E1418,QuestionTriggers!A:F,6,FALSE)),"","---&gt;")</f>
        <v/>
      </c>
      <c r="H1418" s="2" t="s">
        <v>1898</v>
      </c>
      <c r="I1418" s="2" t="s">
        <v>1899</v>
      </c>
      <c r="J1418" s="2" t="s">
        <v>1900</v>
      </c>
      <c r="K1418" s="2"/>
    </row>
    <row r="1419" spans="1:11" hidden="1" x14ac:dyDescent="0.3">
      <c r="A1419" t="str">
        <f t="shared" si="22"/>
        <v>Vesper|Gate Guard|JOB</v>
      </c>
      <c r="B1419" s="2" t="s">
        <v>1768</v>
      </c>
      <c r="C1419" s="2" t="s">
        <v>1890</v>
      </c>
      <c r="D1419" s="2" t="s">
        <v>26</v>
      </c>
      <c r="E1419" s="2" t="s">
        <v>18</v>
      </c>
      <c r="F1419" s="2" t="s">
        <v>1900</v>
      </c>
      <c r="G1419" s="8" t="str">
        <f>IF(ISNA(VLOOKUP(B1419&amp;"|"&amp;C1419&amp;"|"&amp;D1419&amp;"|"&amp;E1419,QuestionTriggers!A:F,6,FALSE)),"","---&gt;")</f>
        <v/>
      </c>
      <c r="H1419" s="2" t="s">
        <v>1898</v>
      </c>
      <c r="I1419" s="2" t="s">
        <v>1899</v>
      </c>
      <c r="J1419" s="2" t="s">
        <v>1900</v>
      </c>
      <c r="K1419" s="2"/>
    </row>
    <row r="1420" spans="1:11" hidden="1" x14ac:dyDescent="0.3">
      <c r="A1420" t="str">
        <f t="shared" si="22"/>
        <v>Vesper|Gate Guard|LOOK</v>
      </c>
      <c r="B1420" s="2" t="s">
        <v>1768</v>
      </c>
      <c r="C1420" s="2" t="s">
        <v>1890</v>
      </c>
      <c r="D1420" s="2" t="s">
        <v>26</v>
      </c>
      <c r="E1420" s="2" t="s">
        <v>16</v>
      </c>
      <c r="F1420" s="2" t="s">
        <v>1901</v>
      </c>
      <c r="G1420" s="8" t="str">
        <f>IF(ISNA(VLOOKUP(B1420&amp;"|"&amp;C1420&amp;"|"&amp;D1420&amp;"|"&amp;E1420,QuestionTriggers!A:F,6,FALSE)),"","---&gt;")</f>
        <v/>
      </c>
      <c r="H1420" s="2" t="s">
        <v>1898</v>
      </c>
      <c r="I1420" s="2" t="s">
        <v>1899</v>
      </c>
      <c r="J1420" s="2" t="s">
        <v>1900</v>
      </c>
      <c r="K1420" s="2"/>
    </row>
    <row r="1421" spans="1:11" hidden="1" x14ac:dyDescent="0.3">
      <c r="A1421" t="str">
        <f t="shared" si="22"/>
        <v>Vesper|Gate Guard|NAME</v>
      </c>
      <c r="B1421" s="2" t="s">
        <v>1768</v>
      </c>
      <c r="C1421" s="2" t="s">
        <v>1890</v>
      </c>
      <c r="D1421" s="2" t="s">
        <v>26</v>
      </c>
      <c r="E1421" s="2" t="s">
        <v>12</v>
      </c>
      <c r="F1421" s="2" t="s">
        <v>337</v>
      </c>
      <c r="G1421" s="8" t="str">
        <f>IF(ISNA(VLOOKUP(B1421&amp;"|"&amp;C1421&amp;"|"&amp;D1421&amp;"|"&amp;E1421,QuestionTriggers!A:F,6,FALSE)),"","---&gt;")</f>
        <v/>
      </c>
      <c r="H1421" s="2" t="s">
        <v>1898</v>
      </c>
      <c r="I1421" s="2" t="s">
        <v>1899</v>
      </c>
      <c r="J1421" s="2" t="s">
        <v>1900</v>
      </c>
      <c r="K1421" s="2"/>
    </row>
    <row r="1422" spans="1:11" hidden="1" x14ac:dyDescent="0.3">
      <c r="A1422" t="str">
        <f t="shared" si="22"/>
        <v>Vesper|Gate Guard|TOUG</v>
      </c>
      <c r="B1422" s="2" t="s">
        <v>1768</v>
      </c>
      <c r="C1422" s="2" t="s">
        <v>1890</v>
      </c>
      <c r="D1422" s="2" t="s">
        <v>26</v>
      </c>
      <c r="E1422" s="2" t="s">
        <v>1902</v>
      </c>
      <c r="F1422" s="2" t="s">
        <v>1900</v>
      </c>
      <c r="G1422" s="8" t="str">
        <f>IF(ISNA(VLOOKUP(B1422&amp;"|"&amp;C1422&amp;"|"&amp;D1422&amp;"|"&amp;E1422,QuestionTriggers!A:F,6,FALSE)),"","---&gt;")</f>
        <v/>
      </c>
      <c r="H1422" s="2" t="s">
        <v>1898</v>
      </c>
      <c r="I1422" s="2" t="s">
        <v>1899</v>
      </c>
      <c r="J1422" s="2" t="s">
        <v>1900</v>
      </c>
      <c r="K1422" s="2"/>
    </row>
    <row r="1423" spans="1:11" hidden="1" x14ac:dyDescent="0.3">
      <c r="A1423" t="str">
        <f t="shared" si="22"/>
        <v>Vesper|Gate Guard|UG</v>
      </c>
      <c r="B1423" s="2" t="s">
        <v>1768</v>
      </c>
      <c r="C1423" s="2" t="s">
        <v>1890</v>
      </c>
      <c r="D1423" s="2" t="s">
        <v>26</v>
      </c>
      <c r="E1423" s="2" t="s">
        <v>1903</v>
      </c>
      <c r="F1423" s="2" t="s">
        <v>1904</v>
      </c>
      <c r="G1423" s="8" t="str">
        <f>IF(ISNA(VLOOKUP(B1423&amp;"|"&amp;C1423&amp;"|"&amp;D1423&amp;"|"&amp;E1423,QuestionTriggers!A:F,6,FALSE)),"","---&gt;")</f>
        <v>---&gt;</v>
      </c>
      <c r="H1423" s="2" t="s">
        <v>1898</v>
      </c>
      <c r="I1423" s="2" t="s">
        <v>1899</v>
      </c>
      <c r="J1423" s="2" t="s">
        <v>1900</v>
      </c>
      <c r="K1423" s="2"/>
    </row>
    <row r="1424" spans="1:11" hidden="1" x14ac:dyDescent="0.3">
      <c r="A1424" t="str">
        <f t="shared" si="22"/>
        <v>Vesper|Gem|HEALTH</v>
      </c>
      <c r="B1424" s="2" t="s">
        <v>1768</v>
      </c>
      <c r="C1424" s="2" t="s">
        <v>1890</v>
      </c>
      <c r="D1424" s="2" t="s">
        <v>1945</v>
      </c>
      <c r="E1424" s="2" t="s">
        <v>20</v>
      </c>
      <c r="F1424" s="2" t="s">
        <v>1951</v>
      </c>
      <c r="G1424" s="8" t="str">
        <f>IF(ISNA(VLOOKUP(B1424&amp;"|"&amp;C1424&amp;"|"&amp;D1424&amp;"|"&amp;E1424,QuestionTriggers!A:F,6,FALSE)),"","---&gt;")</f>
        <v/>
      </c>
      <c r="H1424" s="2" t="s">
        <v>1946</v>
      </c>
      <c r="I1424" s="2" t="s">
        <v>1947</v>
      </c>
      <c r="J1424" s="2" t="s">
        <v>1948</v>
      </c>
      <c r="K1424" s="2"/>
    </row>
    <row r="1425" spans="1:11" hidden="1" x14ac:dyDescent="0.3">
      <c r="A1425" t="str">
        <f t="shared" si="22"/>
        <v>Vesper|Gem|JOB</v>
      </c>
      <c r="B1425" s="2" t="s">
        <v>1768</v>
      </c>
      <c r="C1425" s="2" t="s">
        <v>1890</v>
      </c>
      <c r="D1425" s="2" t="s">
        <v>1945</v>
      </c>
      <c r="E1425" s="2" t="s">
        <v>18</v>
      </c>
      <c r="F1425" s="2" t="s">
        <v>1950</v>
      </c>
      <c r="G1425" s="8" t="str">
        <f>IF(ISNA(VLOOKUP(B1425&amp;"|"&amp;C1425&amp;"|"&amp;D1425&amp;"|"&amp;E1425,QuestionTriggers!A:F,6,FALSE)),"","---&gt;")</f>
        <v/>
      </c>
      <c r="H1425" s="2" t="s">
        <v>1946</v>
      </c>
      <c r="I1425" s="2" t="s">
        <v>1947</v>
      </c>
      <c r="J1425" s="2" t="s">
        <v>1948</v>
      </c>
      <c r="K1425" s="2"/>
    </row>
    <row r="1426" spans="1:11" hidden="1" x14ac:dyDescent="0.3">
      <c r="A1426" t="str">
        <f t="shared" si="22"/>
        <v>Vesper|Gem|LOOK</v>
      </c>
      <c r="B1426" s="2" t="s">
        <v>1768</v>
      </c>
      <c r="C1426" s="2" t="s">
        <v>1890</v>
      </c>
      <c r="D1426" s="2" t="s">
        <v>1945</v>
      </c>
      <c r="E1426" s="2" t="s">
        <v>16</v>
      </c>
      <c r="F1426" s="2" t="s">
        <v>1949</v>
      </c>
      <c r="G1426" s="8" t="str">
        <f>IF(ISNA(VLOOKUP(B1426&amp;"|"&amp;C1426&amp;"|"&amp;D1426&amp;"|"&amp;E1426,QuestionTriggers!A:F,6,FALSE)),"","---&gt;")</f>
        <v/>
      </c>
      <c r="H1426" s="2" t="s">
        <v>1946</v>
      </c>
      <c r="I1426" s="2" t="s">
        <v>1947</v>
      </c>
      <c r="J1426" s="2" t="s">
        <v>1948</v>
      </c>
      <c r="K1426" s="2"/>
    </row>
    <row r="1427" spans="1:11" hidden="1" x14ac:dyDescent="0.3">
      <c r="A1427" t="str">
        <f t="shared" si="22"/>
        <v>Vesper|Gem|MANT</v>
      </c>
      <c r="B1427" s="3" t="s">
        <v>1768</v>
      </c>
      <c r="C1427" s="3" t="s">
        <v>1890</v>
      </c>
      <c r="D1427" s="3" t="s">
        <v>1945</v>
      </c>
      <c r="E1427" s="3" t="s">
        <v>742</v>
      </c>
      <c r="F1427" s="3" t="s">
        <v>1953</v>
      </c>
      <c r="G1427" s="8" t="str">
        <f>IF(ISNA(VLOOKUP(B1427&amp;"|"&amp;C1427&amp;"|"&amp;D1427&amp;"|"&amp;E1427,QuestionTriggers!A:F,6,FALSE)),"","---&gt;")</f>
        <v>---&gt;</v>
      </c>
      <c r="H1427" s="2" t="s">
        <v>1946</v>
      </c>
      <c r="I1427" s="2" t="s">
        <v>1947</v>
      </c>
      <c r="J1427" s="2" t="s">
        <v>1948</v>
      </c>
      <c r="K1427" s="2"/>
    </row>
    <row r="1428" spans="1:11" hidden="1" x14ac:dyDescent="0.3">
      <c r="A1428" t="str">
        <f t="shared" si="22"/>
        <v>Vesper|Gem|NAME</v>
      </c>
      <c r="B1428" s="2" t="s">
        <v>1768</v>
      </c>
      <c r="C1428" s="2" t="s">
        <v>1890</v>
      </c>
      <c r="D1428" s="2" t="s">
        <v>1945</v>
      </c>
      <c r="E1428" s="2" t="s">
        <v>12</v>
      </c>
      <c r="F1428" s="2" t="s">
        <v>1945</v>
      </c>
      <c r="G1428" s="8" t="str">
        <f>IF(ISNA(VLOOKUP(B1428&amp;"|"&amp;C1428&amp;"|"&amp;D1428&amp;"|"&amp;E1428,QuestionTriggers!A:F,6,FALSE)),"","---&gt;")</f>
        <v/>
      </c>
      <c r="H1428" s="2" t="s">
        <v>1946</v>
      </c>
      <c r="I1428" s="2" t="s">
        <v>1947</v>
      </c>
      <c r="J1428" s="2" t="s">
        <v>1948</v>
      </c>
      <c r="K1428" s="2"/>
    </row>
    <row r="1429" spans="1:11" hidden="1" x14ac:dyDescent="0.3">
      <c r="A1429" t="str">
        <f t="shared" si="22"/>
        <v>Vesper|Gem|WORK</v>
      </c>
      <c r="B1429" s="2" t="s">
        <v>1768</v>
      </c>
      <c r="C1429" s="2" t="s">
        <v>1890</v>
      </c>
      <c r="D1429" s="2" t="s">
        <v>1945</v>
      </c>
      <c r="E1429" s="2" t="s">
        <v>1932</v>
      </c>
      <c r="F1429" s="2" t="s">
        <v>1952</v>
      </c>
      <c r="G1429" s="8" t="str">
        <f>IF(ISNA(VLOOKUP(B1429&amp;"|"&amp;C1429&amp;"|"&amp;D1429&amp;"|"&amp;E1429,QuestionTriggers!A:F,6,FALSE)),"","---&gt;")</f>
        <v/>
      </c>
      <c r="H1429" s="2" t="s">
        <v>1946</v>
      </c>
      <c r="I1429" s="2" t="s">
        <v>1947</v>
      </c>
      <c r="J1429" s="2" t="s">
        <v>1948</v>
      </c>
      <c r="K1429" s="2"/>
    </row>
    <row r="1430" spans="1:11" ht="26.4" hidden="1" x14ac:dyDescent="0.3">
      <c r="A1430" t="str">
        <f t="shared" si="22"/>
        <v>Vesper|Joseph|HEALTH</v>
      </c>
      <c r="B1430" s="2" t="s">
        <v>1768</v>
      </c>
      <c r="C1430" s="2" t="s">
        <v>1890</v>
      </c>
      <c r="D1430" s="2" t="s">
        <v>1954</v>
      </c>
      <c r="E1430" s="2" t="s">
        <v>20</v>
      </c>
      <c r="F1430" s="2" t="s">
        <v>181</v>
      </c>
      <c r="G1430" s="8" t="str">
        <f>IF(ISNA(VLOOKUP(B1430&amp;"|"&amp;C1430&amp;"|"&amp;D1430&amp;"|"&amp;E1430,QuestionTriggers!A:F,6,FALSE)),"","---&gt;")</f>
        <v/>
      </c>
      <c r="H1430" s="2" t="s">
        <v>1955</v>
      </c>
      <c r="I1430" s="2" t="s">
        <v>312</v>
      </c>
      <c r="J1430" s="2" t="s">
        <v>1956</v>
      </c>
      <c r="K1430" s="2"/>
    </row>
    <row r="1431" spans="1:11" ht="26.4" hidden="1" x14ac:dyDescent="0.3">
      <c r="A1431" t="str">
        <f t="shared" si="22"/>
        <v>Vesper|Joseph|JOB</v>
      </c>
      <c r="B1431" s="2" t="s">
        <v>1768</v>
      </c>
      <c r="C1431" s="2" t="s">
        <v>1890</v>
      </c>
      <c r="D1431" s="2" t="s">
        <v>1954</v>
      </c>
      <c r="E1431" s="2" t="s">
        <v>18</v>
      </c>
      <c r="F1431" s="2" t="s">
        <v>1957</v>
      </c>
      <c r="G1431" s="8" t="str">
        <f>IF(ISNA(VLOOKUP(B1431&amp;"|"&amp;C1431&amp;"|"&amp;D1431&amp;"|"&amp;E1431,QuestionTriggers!A:F,6,FALSE)),"","---&gt;")</f>
        <v/>
      </c>
      <c r="H1431" s="2" t="s">
        <v>1955</v>
      </c>
      <c r="I1431" s="2" t="s">
        <v>312</v>
      </c>
      <c r="J1431" s="2" t="s">
        <v>1956</v>
      </c>
      <c r="K1431" s="2"/>
    </row>
    <row r="1432" spans="1:11" ht="26.4" hidden="1" x14ac:dyDescent="0.3">
      <c r="A1432" t="str">
        <f t="shared" si="22"/>
        <v>Vesper|Joseph|LOOK</v>
      </c>
      <c r="B1432" s="2" t="s">
        <v>1768</v>
      </c>
      <c r="C1432" s="2" t="s">
        <v>1890</v>
      </c>
      <c r="D1432" s="2" t="s">
        <v>1954</v>
      </c>
      <c r="E1432" s="2" t="s">
        <v>16</v>
      </c>
      <c r="F1432" s="2" t="s">
        <v>987</v>
      </c>
      <c r="G1432" s="8" t="str">
        <f>IF(ISNA(VLOOKUP(B1432&amp;"|"&amp;C1432&amp;"|"&amp;D1432&amp;"|"&amp;E1432,QuestionTriggers!A:F,6,FALSE)),"","---&gt;")</f>
        <v/>
      </c>
      <c r="H1432" s="2" t="s">
        <v>1955</v>
      </c>
      <c r="I1432" s="2" t="s">
        <v>312</v>
      </c>
      <c r="J1432" s="2" t="s">
        <v>1956</v>
      </c>
      <c r="K1432" s="2"/>
    </row>
    <row r="1433" spans="1:11" ht="26.4" hidden="1" x14ac:dyDescent="0.3">
      <c r="A1433" t="str">
        <f t="shared" si="22"/>
        <v>Vesper|Joseph|NAME</v>
      </c>
      <c r="B1433" s="2" t="s">
        <v>1768</v>
      </c>
      <c r="C1433" s="2" t="s">
        <v>1890</v>
      </c>
      <c r="D1433" s="2" t="s">
        <v>1954</v>
      </c>
      <c r="E1433" s="2" t="s">
        <v>12</v>
      </c>
      <c r="F1433" s="2" t="s">
        <v>1954</v>
      </c>
      <c r="G1433" s="8" t="str">
        <f>IF(ISNA(VLOOKUP(B1433&amp;"|"&amp;C1433&amp;"|"&amp;D1433&amp;"|"&amp;E1433,QuestionTriggers!A:F,6,FALSE)),"","---&gt;")</f>
        <v/>
      </c>
      <c r="H1433" s="2" t="s">
        <v>1955</v>
      </c>
      <c r="I1433" s="2" t="s">
        <v>312</v>
      </c>
      <c r="J1433" s="2" t="s">
        <v>1956</v>
      </c>
      <c r="K1433" s="2"/>
    </row>
    <row r="1434" spans="1:11" ht="26.4" hidden="1" x14ac:dyDescent="0.3">
      <c r="A1434" t="str">
        <f t="shared" si="22"/>
        <v>Vesper|Joseph|SHEP</v>
      </c>
      <c r="B1434" s="2" t="s">
        <v>1768</v>
      </c>
      <c r="C1434" s="2" t="s">
        <v>1890</v>
      </c>
      <c r="D1434" s="2" t="s">
        <v>1954</v>
      </c>
      <c r="E1434" s="2" t="s">
        <v>1958</v>
      </c>
      <c r="F1434" s="2" t="s">
        <v>1959</v>
      </c>
      <c r="G1434" s="8" t="str">
        <f>IF(ISNA(VLOOKUP(B1434&amp;"|"&amp;C1434&amp;"|"&amp;D1434&amp;"|"&amp;E1434,QuestionTriggers!A:F,6,FALSE)),"","---&gt;")</f>
        <v/>
      </c>
      <c r="H1434" s="2" t="s">
        <v>1955</v>
      </c>
      <c r="I1434" s="2" t="s">
        <v>312</v>
      </c>
      <c r="J1434" s="2" t="s">
        <v>1956</v>
      </c>
      <c r="K1434" s="2"/>
    </row>
    <row r="1435" spans="1:11" ht="26.4" hidden="1" x14ac:dyDescent="0.3">
      <c r="A1435" t="str">
        <f t="shared" si="22"/>
        <v>Vesper|Joseph|SHRI</v>
      </c>
      <c r="B1435" s="2" t="s">
        <v>1768</v>
      </c>
      <c r="C1435" s="2" t="s">
        <v>1890</v>
      </c>
      <c r="D1435" s="2" t="s">
        <v>1954</v>
      </c>
      <c r="E1435" s="2" t="s">
        <v>184</v>
      </c>
      <c r="F1435" s="2" t="s">
        <v>1960</v>
      </c>
      <c r="G1435" s="8" t="str">
        <f>IF(ISNA(VLOOKUP(B1435&amp;"|"&amp;C1435&amp;"|"&amp;D1435&amp;"|"&amp;E1435,QuestionTriggers!A:F,6,FALSE)),"","---&gt;")</f>
        <v>---&gt;</v>
      </c>
      <c r="H1435" s="2" t="s">
        <v>1955</v>
      </c>
      <c r="I1435" s="2" t="s">
        <v>312</v>
      </c>
      <c r="J1435" s="2" t="s">
        <v>1956</v>
      </c>
      <c r="K1435" s="2"/>
    </row>
    <row r="1436" spans="1:11" hidden="1" x14ac:dyDescent="0.3">
      <c r="A1436" t="str">
        <f t="shared" si="22"/>
        <v>Vesper|Plain|HEALTH</v>
      </c>
      <c r="B1436" s="2" t="s">
        <v>1768</v>
      </c>
      <c r="C1436" s="2" t="s">
        <v>1890</v>
      </c>
      <c r="D1436" s="2" t="s">
        <v>1934</v>
      </c>
      <c r="E1436" s="2" t="s">
        <v>20</v>
      </c>
      <c r="F1436" s="2" t="s">
        <v>938</v>
      </c>
      <c r="G1436" s="8" t="str">
        <f>IF(ISNA(VLOOKUP(B1436&amp;"|"&amp;C1436&amp;"|"&amp;D1436&amp;"|"&amp;E1436,QuestionTriggers!A:F,6,FALSE)),"","---&gt;")</f>
        <v/>
      </c>
      <c r="H1436" s="2"/>
      <c r="I1436" s="2"/>
      <c r="J1436" s="2"/>
      <c r="K1436" s="2"/>
    </row>
    <row r="1437" spans="1:11" ht="26.4" hidden="1" x14ac:dyDescent="0.3">
      <c r="A1437" t="str">
        <f t="shared" si="22"/>
        <v>Vesper|Plain|HUMI</v>
      </c>
      <c r="B1437" s="3" t="s">
        <v>1768</v>
      </c>
      <c r="C1437" s="3" t="s">
        <v>1890</v>
      </c>
      <c r="D1437" s="3" t="s">
        <v>1934</v>
      </c>
      <c r="E1437" s="3" t="s">
        <v>253</v>
      </c>
      <c r="F1437" s="3" t="s">
        <v>1936</v>
      </c>
      <c r="G1437" s="8" t="str">
        <f>IF(ISNA(VLOOKUP(B1437&amp;"|"&amp;C1437&amp;"|"&amp;D1437&amp;"|"&amp;E1437,QuestionTriggers!A:F,6,FALSE)),"","---&gt;")</f>
        <v/>
      </c>
      <c r="H1437" s="2"/>
      <c r="I1437" s="2"/>
      <c r="J1437" s="2"/>
      <c r="K1437" s="2"/>
    </row>
    <row r="1438" spans="1:11" hidden="1" x14ac:dyDescent="0.3">
      <c r="A1438" t="str">
        <f t="shared" si="22"/>
        <v>Vesper|Plain|JOB</v>
      </c>
      <c r="B1438" s="2" t="s">
        <v>1768</v>
      </c>
      <c r="C1438" s="2" t="s">
        <v>1890</v>
      </c>
      <c r="D1438" s="2" t="s">
        <v>1934</v>
      </c>
      <c r="E1438" s="2" t="s">
        <v>18</v>
      </c>
      <c r="F1438" s="2" t="s">
        <v>1935</v>
      </c>
      <c r="G1438" s="8" t="str">
        <f>IF(ISNA(VLOOKUP(B1438&amp;"|"&amp;C1438&amp;"|"&amp;D1438&amp;"|"&amp;E1438,QuestionTriggers!A:F,6,FALSE)),"","---&gt;")</f>
        <v/>
      </c>
      <c r="H1438" s="2"/>
      <c r="I1438" s="2"/>
      <c r="J1438" s="2"/>
      <c r="K1438" s="2"/>
    </row>
    <row r="1439" spans="1:11" hidden="1" x14ac:dyDescent="0.3">
      <c r="A1439" t="str">
        <f t="shared" si="22"/>
        <v>Vesper|Plain|LOOK</v>
      </c>
      <c r="B1439" s="2" t="s">
        <v>1768</v>
      </c>
      <c r="C1439" s="2" t="s">
        <v>1890</v>
      </c>
      <c r="D1439" s="2" t="s">
        <v>1934</v>
      </c>
      <c r="E1439" s="2" t="s">
        <v>16</v>
      </c>
      <c r="F1439" s="2" t="s">
        <v>1060</v>
      </c>
      <c r="G1439" s="8" t="str">
        <f>IF(ISNA(VLOOKUP(B1439&amp;"|"&amp;C1439&amp;"|"&amp;D1439&amp;"|"&amp;E1439,QuestionTriggers!A:F,6,FALSE)),"","---&gt;")</f>
        <v/>
      </c>
      <c r="H1439" s="2"/>
      <c r="I1439" s="2"/>
      <c r="J1439" s="2"/>
      <c r="K1439" s="2"/>
    </row>
    <row r="1440" spans="1:11" hidden="1" x14ac:dyDescent="0.3">
      <c r="A1440" t="str">
        <f t="shared" si="22"/>
        <v>Vesper|Plain|NAME</v>
      </c>
      <c r="B1440" s="2" t="s">
        <v>1768</v>
      </c>
      <c r="C1440" s="2" t="s">
        <v>1890</v>
      </c>
      <c r="D1440" s="2" t="s">
        <v>1934</v>
      </c>
      <c r="E1440" s="2" t="s">
        <v>12</v>
      </c>
      <c r="F1440" s="2" t="s">
        <v>1934</v>
      </c>
      <c r="G1440" s="8" t="str">
        <f>IF(ISNA(VLOOKUP(B1440&amp;"|"&amp;C1440&amp;"|"&amp;D1440&amp;"|"&amp;E1440,QuestionTriggers!A:F,6,FALSE)),"","---&gt;")</f>
        <v/>
      </c>
      <c r="H1440" s="2"/>
      <c r="I1440" s="2"/>
      <c r="J1440" s="2"/>
      <c r="K1440" s="2"/>
    </row>
    <row r="1441" spans="1:11" ht="26.4" hidden="1" x14ac:dyDescent="0.3">
      <c r="A1441" t="str">
        <f t="shared" si="22"/>
        <v>Vesper|Plain|PRID</v>
      </c>
      <c r="B1441" s="2" t="s">
        <v>1768</v>
      </c>
      <c r="C1441" s="2" t="s">
        <v>1890</v>
      </c>
      <c r="D1441" s="2" t="s">
        <v>1934</v>
      </c>
      <c r="E1441" s="2" t="s">
        <v>255</v>
      </c>
      <c r="F1441" s="2" t="s">
        <v>1937</v>
      </c>
      <c r="G1441" s="8" t="str">
        <f>IF(ISNA(VLOOKUP(B1441&amp;"|"&amp;C1441&amp;"|"&amp;D1441&amp;"|"&amp;E1441,QuestionTriggers!A:F,6,FALSE)),"","---&gt;")</f>
        <v/>
      </c>
      <c r="H1441" s="2"/>
      <c r="I1441" s="2"/>
      <c r="J1441" s="2"/>
      <c r="K1441" s="2"/>
    </row>
    <row r="1442" spans="1:11" ht="26.4" hidden="1" x14ac:dyDescent="0.3">
      <c r="A1442" t="str">
        <f t="shared" si="22"/>
        <v>Vesper|Randal|HEALTH</v>
      </c>
      <c r="B1442" s="2" t="s">
        <v>1768</v>
      </c>
      <c r="C1442" s="2" t="s">
        <v>1890</v>
      </c>
      <c r="D1442" s="2" t="s">
        <v>1969</v>
      </c>
      <c r="E1442" s="2" t="s">
        <v>20</v>
      </c>
      <c r="F1442" s="2" t="s">
        <v>181</v>
      </c>
      <c r="G1442" s="8" t="str">
        <f>IF(ISNA(VLOOKUP(B1442&amp;"|"&amp;C1442&amp;"|"&amp;D1442&amp;"|"&amp;E1442,QuestionTriggers!A:F,6,FALSE)),"","---&gt;")</f>
        <v/>
      </c>
      <c r="H1442" s="2" t="s">
        <v>1970</v>
      </c>
      <c r="I1442" s="2" t="s">
        <v>312</v>
      </c>
      <c r="J1442" s="2" t="s">
        <v>1971</v>
      </c>
      <c r="K1442" s="2"/>
    </row>
    <row r="1443" spans="1:11" ht="26.4" hidden="1" x14ac:dyDescent="0.3">
      <c r="A1443" t="str">
        <f t="shared" si="22"/>
        <v>Vesper|Randal|JOB</v>
      </c>
      <c r="B1443" s="2" t="s">
        <v>1768</v>
      </c>
      <c r="C1443" s="2" t="s">
        <v>1890</v>
      </c>
      <c r="D1443" s="2" t="s">
        <v>1969</v>
      </c>
      <c r="E1443" s="2" t="s">
        <v>18</v>
      </c>
      <c r="F1443" s="2" t="s">
        <v>1972</v>
      </c>
      <c r="G1443" s="8" t="str">
        <f>IF(ISNA(VLOOKUP(B1443&amp;"|"&amp;C1443&amp;"|"&amp;D1443&amp;"|"&amp;E1443,QuestionTriggers!A:F,6,FALSE)),"","---&gt;")</f>
        <v/>
      </c>
      <c r="H1443" s="2" t="s">
        <v>1970</v>
      </c>
      <c r="I1443" s="2" t="s">
        <v>312</v>
      </c>
      <c r="J1443" s="2" t="s">
        <v>1971</v>
      </c>
      <c r="K1443" s="2"/>
    </row>
    <row r="1444" spans="1:11" ht="26.4" hidden="1" x14ac:dyDescent="0.3">
      <c r="A1444" t="str">
        <f t="shared" si="22"/>
        <v>Vesper|Randal|LOOK</v>
      </c>
      <c r="B1444" s="2" t="s">
        <v>1768</v>
      </c>
      <c r="C1444" s="2" t="s">
        <v>1890</v>
      </c>
      <c r="D1444" s="2" t="s">
        <v>1969</v>
      </c>
      <c r="E1444" s="2" t="s">
        <v>16</v>
      </c>
      <c r="F1444" s="2" t="s">
        <v>531</v>
      </c>
      <c r="G1444" s="8" t="str">
        <f>IF(ISNA(VLOOKUP(B1444&amp;"|"&amp;C1444&amp;"|"&amp;D1444&amp;"|"&amp;E1444,QuestionTriggers!A:F,6,FALSE)),"","---&gt;")</f>
        <v/>
      </c>
      <c r="H1444" s="2" t="s">
        <v>1970</v>
      </c>
      <c r="I1444" s="2" t="s">
        <v>312</v>
      </c>
      <c r="J1444" s="2" t="s">
        <v>1971</v>
      </c>
      <c r="K1444" s="2"/>
    </row>
    <row r="1445" spans="1:11" ht="26.4" hidden="1" x14ac:dyDescent="0.3">
      <c r="A1445" t="str">
        <f t="shared" si="22"/>
        <v>Vesper|Randal|NAME</v>
      </c>
      <c r="B1445" s="2" t="s">
        <v>1768</v>
      </c>
      <c r="C1445" s="2" t="s">
        <v>1890</v>
      </c>
      <c r="D1445" s="2" t="s">
        <v>1969</v>
      </c>
      <c r="E1445" s="2" t="s">
        <v>12</v>
      </c>
      <c r="F1445" s="2" t="s">
        <v>1969</v>
      </c>
      <c r="G1445" s="8" t="str">
        <f>IF(ISNA(VLOOKUP(B1445&amp;"|"&amp;C1445&amp;"|"&amp;D1445&amp;"|"&amp;E1445,QuestionTriggers!A:F,6,FALSE)),"","---&gt;")</f>
        <v/>
      </c>
      <c r="H1445" s="2" t="s">
        <v>1970</v>
      </c>
      <c r="I1445" s="2" t="s">
        <v>312</v>
      </c>
      <c r="J1445" s="2" t="s">
        <v>1971</v>
      </c>
      <c r="K1445" s="2"/>
    </row>
    <row r="1446" spans="1:11" ht="26.4" hidden="1" x14ac:dyDescent="0.3">
      <c r="A1446" t="str">
        <f t="shared" si="22"/>
        <v>Vesper|Randal|SHRI</v>
      </c>
      <c r="B1446" s="2" t="s">
        <v>1768</v>
      </c>
      <c r="C1446" s="2" t="s">
        <v>1890</v>
      </c>
      <c r="D1446" s="2" t="s">
        <v>1969</v>
      </c>
      <c r="E1446" s="2" t="s">
        <v>184</v>
      </c>
      <c r="F1446" s="2" t="s">
        <v>1973</v>
      </c>
      <c r="G1446" s="8" t="str">
        <f>IF(ISNA(VLOOKUP(B1446&amp;"|"&amp;C1446&amp;"|"&amp;D1446&amp;"|"&amp;E1446,QuestionTriggers!A:F,6,FALSE)),"","---&gt;")</f>
        <v>---&gt;</v>
      </c>
      <c r="H1446" s="2" t="s">
        <v>1970</v>
      </c>
      <c r="I1446" s="2" t="s">
        <v>312</v>
      </c>
      <c r="J1446" s="2" t="s">
        <v>1971</v>
      </c>
      <c r="K1446" s="2"/>
    </row>
    <row r="1447" spans="1:11" hidden="1" x14ac:dyDescent="0.3">
      <c r="A1447" t="str">
        <f t="shared" si="22"/>
        <v>Vesper|Servile|HEALTH</v>
      </c>
      <c r="B1447" s="2" t="s">
        <v>1768</v>
      </c>
      <c r="C1447" s="2" t="s">
        <v>1890</v>
      </c>
      <c r="D1447" s="2" t="s">
        <v>1905</v>
      </c>
      <c r="E1447" s="2" t="s">
        <v>20</v>
      </c>
      <c r="F1447" s="2" t="s">
        <v>1909</v>
      </c>
      <c r="G1447" s="8" t="str">
        <f>IF(ISNA(VLOOKUP(B1447&amp;"|"&amp;C1447&amp;"|"&amp;D1447&amp;"|"&amp;E1447,QuestionTriggers!A:F,6,FALSE)),"","---&gt;")</f>
        <v/>
      </c>
      <c r="H1447" s="2" t="s">
        <v>1906</v>
      </c>
      <c r="I1447" s="2" t="s">
        <v>1907</v>
      </c>
      <c r="J1447" s="2" t="s">
        <v>1907</v>
      </c>
      <c r="K1447" s="2"/>
    </row>
    <row r="1448" spans="1:11" hidden="1" x14ac:dyDescent="0.3">
      <c r="A1448" t="str">
        <f t="shared" si="22"/>
        <v>Vesper|Servile|HELP</v>
      </c>
      <c r="B1448" s="2" t="s">
        <v>1768</v>
      </c>
      <c r="C1448" s="2" t="s">
        <v>1890</v>
      </c>
      <c r="D1448" s="2" t="s">
        <v>1905</v>
      </c>
      <c r="E1448" s="2" t="s">
        <v>94</v>
      </c>
      <c r="F1448" s="2" t="s">
        <v>1910</v>
      </c>
      <c r="G1448" s="8" t="str">
        <f>IF(ISNA(VLOOKUP(B1448&amp;"|"&amp;C1448&amp;"|"&amp;D1448&amp;"|"&amp;E1448,QuestionTriggers!A:F,6,FALSE)),"","---&gt;")</f>
        <v/>
      </c>
      <c r="H1448" s="2" t="s">
        <v>1906</v>
      </c>
      <c r="I1448" s="2" t="s">
        <v>1907</v>
      </c>
      <c r="J1448" s="2" t="s">
        <v>1907</v>
      </c>
      <c r="K1448" s="2"/>
    </row>
    <row r="1449" spans="1:11" hidden="1" x14ac:dyDescent="0.3">
      <c r="A1449" t="str">
        <f t="shared" si="22"/>
        <v>Vesper|Servile|JOB</v>
      </c>
      <c r="B1449" s="2" t="s">
        <v>1768</v>
      </c>
      <c r="C1449" s="2" t="s">
        <v>1890</v>
      </c>
      <c r="D1449" s="2" t="s">
        <v>1905</v>
      </c>
      <c r="E1449" s="2" t="s">
        <v>18</v>
      </c>
      <c r="F1449" s="2" t="s">
        <v>1908</v>
      </c>
      <c r="G1449" s="8" t="str">
        <f>IF(ISNA(VLOOKUP(B1449&amp;"|"&amp;C1449&amp;"|"&amp;D1449&amp;"|"&amp;E1449,QuestionTriggers!A:F,6,FALSE)),"","---&gt;")</f>
        <v/>
      </c>
      <c r="H1449" s="2" t="s">
        <v>1906</v>
      </c>
      <c r="I1449" s="2" t="s">
        <v>1907</v>
      </c>
      <c r="J1449" s="2" t="s">
        <v>1907</v>
      </c>
      <c r="K1449" s="2"/>
    </row>
    <row r="1450" spans="1:11" hidden="1" x14ac:dyDescent="0.3">
      <c r="A1450" t="str">
        <f t="shared" si="22"/>
        <v>Vesper|Servile|LOOK</v>
      </c>
      <c r="B1450" s="2" t="s">
        <v>1768</v>
      </c>
      <c r="C1450" s="2" t="s">
        <v>1890</v>
      </c>
      <c r="D1450" s="2" t="s">
        <v>1905</v>
      </c>
      <c r="E1450" s="2" t="s">
        <v>16</v>
      </c>
      <c r="F1450" s="2" t="s">
        <v>762</v>
      </c>
      <c r="G1450" s="8" t="str">
        <f>IF(ISNA(VLOOKUP(B1450&amp;"|"&amp;C1450&amp;"|"&amp;D1450&amp;"|"&amp;E1450,QuestionTriggers!A:F,6,FALSE)),"","---&gt;")</f>
        <v/>
      </c>
      <c r="H1450" s="2" t="s">
        <v>1906</v>
      </c>
      <c r="I1450" s="2" t="s">
        <v>1907</v>
      </c>
      <c r="J1450" s="2" t="s">
        <v>1907</v>
      </c>
      <c r="K1450" s="2"/>
    </row>
    <row r="1451" spans="1:11" hidden="1" x14ac:dyDescent="0.3">
      <c r="A1451" t="str">
        <f t="shared" si="22"/>
        <v>Vesper|Servile|NAME</v>
      </c>
      <c r="B1451" s="2" t="s">
        <v>1768</v>
      </c>
      <c r="C1451" s="2" t="s">
        <v>1890</v>
      </c>
      <c r="D1451" s="2" t="s">
        <v>1905</v>
      </c>
      <c r="E1451" s="2" t="s">
        <v>12</v>
      </c>
      <c r="F1451" s="2" t="s">
        <v>1905</v>
      </c>
      <c r="G1451" s="8" t="str">
        <f>IF(ISNA(VLOOKUP(B1451&amp;"|"&amp;C1451&amp;"|"&amp;D1451&amp;"|"&amp;E1451,QuestionTriggers!A:F,6,FALSE)),"","---&gt;")</f>
        <v/>
      </c>
      <c r="H1451" s="2" t="s">
        <v>1906</v>
      </c>
      <c r="I1451" s="2" t="s">
        <v>1907</v>
      </c>
      <c r="J1451" s="2" t="s">
        <v>1907</v>
      </c>
      <c r="K1451" s="2"/>
    </row>
    <row r="1452" spans="1:11" hidden="1" x14ac:dyDescent="0.3">
      <c r="A1452" t="str">
        <f t="shared" si="22"/>
        <v>Vesper|Servile|SKUL</v>
      </c>
      <c r="B1452" s="2" t="s">
        <v>1768</v>
      </c>
      <c r="C1452" s="2" t="s">
        <v>1890</v>
      </c>
      <c r="D1452" s="2" t="s">
        <v>1905</v>
      </c>
      <c r="E1452" s="2" t="s">
        <v>1244</v>
      </c>
      <c r="F1452" s="2" t="s">
        <v>1911</v>
      </c>
      <c r="G1452" s="8" t="str">
        <f>IF(ISNA(VLOOKUP(B1452&amp;"|"&amp;C1452&amp;"|"&amp;D1452&amp;"|"&amp;E1452,QuestionTriggers!A:F,6,FALSE)),"","---&gt;")</f>
        <v>---&gt;</v>
      </c>
      <c r="H1452" s="2" t="s">
        <v>1906</v>
      </c>
      <c r="I1452" s="2" t="s">
        <v>1907</v>
      </c>
      <c r="J1452" s="2" t="s">
        <v>1907</v>
      </c>
      <c r="K1452" s="2"/>
    </row>
    <row r="1453" spans="1:11" hidden="1" x14ac:dyDescent="0.3">
      <c r="A1453" t="str">
        <f t="shared" si="22"/>
        <v>Vesper|Shazbot|FUNN</v>
      </c>
      <c r="B1453" s="2" t="s">
        <v>1768</v>
      </c>
      <c r="C1453" s="2" t="s">
        <v>1890</v>
      </c>
      <c r="D1453" s="2" t="s">
        <v>1980</v>
      </c>
      <c r="E1453" s="2" t="s">
        <v>1987</v>
      </c>
      <c r="F1453" s="2" t="s">
        <v>1988</v>
      </c>
      <c r="G1453" s="8" t="str">
        <f>IF(ISNA(VLOOKUP(B1453&amp;"|"&amp;C1453&amp;"|"&amp;D1453&amp;"|"&amp;E1453,QuestionTriggers!A:F,6,FALSE)),"","---&gt;")</f>
        <v/>
      </c>
      <c r="H1453" s="2" t="s">
        <v>1981</v>
      </c>
      <c r="I1453" s="2" t="s">
        <v>1982</v>
      </c>
      <c r="J1453" s="2" t="s">
        <v>1983</v>
      </c>
      <c r="K1453" s="2"/>
    </row>
    <row r="1454" spans="1:11" hidden="1" x14ac:dyDescent="0.3">
      <c r="A1454" t="str">
        <f t="shared" si="22"/>
        <v>Vesper|Shazbot|HEALTH</v>
      </c>
      <c r="B1454" s="2" t="s">
        <v>1768</v>
      </c>
      <c r="C1454" s="2" t="s">
        <v>1890</v>
      </c>
      <c r="D1454" s="2" t="s">
        <v>1980</v>
      </c>
      <c r="E1454" s="2" t="s">
        <v>20</v>
      </c>
      <c r="F1454" s="2" t="s">
        <v>1986</v>
      </c>
      <c r="G1454" s="8" t="str">
        <f>IF(ISNA(VLOOKUP(B1454&amp;"|"&amp;C1454&amp;"|"&amp;D1454&amp;"|"&amp;E1454,QuestionTriggers!A:F,6,FALSE)),"","---&gt;")</f>
        <v/>
      </c>
      <c r="H1454" s="2" t="s">
        <v>1981</v>
      </c>
      <c r="I1454" s="2" t="s">
        <v>1982</v>
      </c>
      <c r="J1454" s="2" t="s">
        <v>1983</v>
      </c>
      <c r="K1454" s="2"/>
    </row>
    <row r="1455" spans="1:11" hidden="1" x14ac:dyDescent="0.3">
      <c r="A1455" t="str">
        <f t="shared" si="22"/>
        <v>Vesper|Shazbot|JOB</v>
      </c>
      <c r="B1455" s="2" t="s">
        <v>1768</v>
      </c>
      <c r="C1455" s="2" t="s">
        <v>1890</v>
      </c>
      <c r="D1455" s="2" t="s">
        <v>1980</v>
      </c>
      <c r="E1455" s="2" t="s">
        <v>18</v>
      </c>
      <c r="F1455" s="2" t="s">
        <v>1985</v>
      </c>
      <c r="G1455" s="8" t="str">
        <f>IF(ISNA(VLOOKUP(B1455&amp;"|"&amp;C1455&amp;"|"&amp;D1455&amp;"|"&amp;E1455,QuestionTriggers!A:F,6,FALSE)),"","---&gt;")</f>
        <v/>
      </c>
      <c r="H1455" s="2" t="s">
        <v>1981</v>
      </c>
      <c r="I1455" s="2" t="s">
        <v>1982</v>
      </c>
      <c r="J1455" s="2" t="s">
        <v>1983</v>
      </c>
      <c r="K1455" s="2"/>
    </row>
    <row r="1456" spans="1:11" hidden="1" x14ac:dyDescent="0.3">
      <c r="A1456" t="str">
        <f t="shared" si="22"/>
        <v>Vesper|Shazbot|LOOK</v>
      </c>
      <c r="B1456" s="2" t="s">
        <v>1768</v>
      </c>
      <c r="C1456" s="2" t="s">
        <v>1890</v>
      </c>
      <c r="D1456" s="2" t="s">
        <v>1980</v>
      </c>
      <c r="E1456" s="2" t="s">
        <v>16</v>
      </c>
      <c r="F1456" s="2" t="s">
        <v>1984</v>
      </c>
      <c r="G1456" s="8" t="str">
        <f>IF(ISNA(VLOOKUP(B1456&amp;"|"&amp;C1456&amp;"|"&amp;D1456&amp;"|"&amp;E1456,QuestionTriggers!A:F,6,FALSE)),"","---&gt;")</f>
        <v/>
      </c>
      <c r="H1456" s="2" t="s">
        <v>1981</v>
      </c>
      <c r="I1456" s="2" t="s">
        <v>1982</v>
      </c>
      <c r="J1456" s="2" t="s">
        <v>1983</v>
      </c>
      <c r="K1456" s="2"/>
    </row>
    <row r="1457" spans="1:11" hidden="1" x14ac:dyDescent="0.3">
      <c r="A1457" t="str">
        <f t="shared" si="22"/>
        <v>Vesper|Shazbot|NAME</v>
      </c>
      <c r="B1457" s="2" t="s">
        <v>1768</v>
      </c>
      <c r="C1457" s="2" t="s">
        <v>1890</v>
      </c>
      <c r="D1457" s="2" t="s">
        <v>1980</v>
      </c>
      <c r="E1457" s="2" t="s">
        <v>12</v>
      </c>
      <c r="F1457" s="2" t="s">
        <v>1980</v>
      </c>
      <c r="G1457" s="8" t="str">
        <f>IF(ISNA(VLOOKUP(B1457&amp;"|"&amp;C1457&amp;"|"&amp;D1457&amp;"|"&amp;E1457,QuestionTriggers!A:F,6,FALSE)),"","---&gt;")</f>
        <v/>
      </c>
      <c r="H1457" s="2" t="s">
        <v>1981</v>
      </c>
      <c r="I1457" s="2" t="s">
        <v>1982</v>
      </c>
      <c r="J1457" s="2" t="s">
        <v>1983</v>
      </c>
      <c r="K1457" s="2"/>
    </row>
    <row r="1458" spans="1:11" hidden="1" x14ac:dyDescent="0.3">
      <c r="A1458" t="str">
        <f t="shared" si="22"/>
        <v>Vesper|Shazbot|NATE</v>
      </c>
      <c r="B1458" s="2" t="s">
        <v>1768</v>
      </c>
      <c r="C1458" s="2" t="s">
        <v>1890</v>
      </c>
      <c r="D1458" s="2" t="s">
        <v>1980</v>
      </c>
      <c r="E1458" s="2" t="s">
        <v>1989</v>
      </c>
      <c r="F1458" s="2" t="s">
        <v>1990</v>
      </c>
      <c r="G1458" s="8" t="str">
        <f>IF(ISNA(VLOOKUP(B1458&amp;"|"&amp;C1458&amp;"|"&amp;D1458&amp;"|"&amp;E1458,QuestionTriggers!A:F,6,FALSE)),"","---&gt;")</f>
        <v>---&gt;</v>
      </c>
      <c r="H1458" s="2" t="s">
        <v>1981</v>
      </c>
      <c r="I1458" s="2" t="s">
        <v>1982</v>
      </c>
      <c r="J1458" s="2" t="s">
        <v>1983</v>
      </c>
      <c r="K1458" s="2"/>
    </row>
    <row r="1459" spans="1:11" hidden="1" x14ac:dyDescent="0.3">
      <c r="A1459" t="str">
        <f t="shared" si="22"/>
        <v>Vesper|Simple|HEALTH</v>
      </c>
      <c r="B1459" s="2" t="s">
        <v>1768</v>
      </c>
      <c r="C1459" s="2" t="s">
        <v>1890</v>
      </c>
      <c r="D1459" s="2" t="s">
        <v>1938</v>
      </c>
      <c r="E1459" s="2" t="s">
        <v>20</v>
      </c>
      <c r="F1459" s="2" t="s">
        <v>1369</v>
      </c>
      <c r="G1459" s="8" t="str">
        <f>IF(ISNA(VLOOKUP(B1459&amp;"|"&amp;C1459&amp;"|"&amp;D1459&amp;"|"&amp;E1459,QuestionTriggers!A:F,6,FALSE)),"","---&gt;")</f>
        <v/>
      </c>
      <c r="H1459" s="2" t="s">
        <v>1939</v>
      </c>
      <c r="I1459" s="2" t="s">
        <v>177</v>
      </c>
      <c r="J1459" s="2" t="s">
        <v>1940</v>
      </c>
      <c r="K1459" s="2"/>
    </row>
    <row r="1460" spans="1:11" ht="26.4" hidden="1" x14ac:dyDescent="0.3">
      <c r="A1460" t="str">
        <f t="shared" si="22"/>
        <v>Vesper|Simple|HUMI</v>
      </c>
      <c r="B1460" s="2" t="s">
        <v>1768</v>
      </c>
      <c r="C1460" s="2" t="s">
        <v>1890</v>
      </c>
      <c r="D1460" s="2" t="s">
        <v>1938</v>
      </c>
      <c r="E1460" s="2" t="s">
        <v>253</v>
      </c>
      <c r="F1460" s="2" t="s">
        <v>1944</v>
      </c>
      <c r="G1460" s="8" t="str">
        <f>IF(ISNA(VLOOKUP(B1460&amp;"|"&amp;C1460&amp;"|"&amp;D1460&amp;"|"&amp;E1460,QuestionTriggers!A:F,6,FALSE)),"","---&gt;")</f>
        <v>---&gt;</v>
      </c>
      <c r="H1460" s="2" t="s">
        <v>1939</v>
      </c>
      <c r="I1460" s="2" t="s">
        <v>177</v>
      </c>
      <c r="J1460" s="2" t="s">
        <v>1940</v>
      </c>
      <c r="K1460" s="2"/>
    </row>
    <row r="1461" spans="1:11" hidden="1" x14ac:dyDescent="0.3">
      <c r="A1461" t="str">
        <f t="shared" si="22"/>
        <v>Vesper|Simple|JOB</v>
      </c>
      <c r="B1461" s="2" t="s">
        <v>1768</v>
      </c>
      <c r="C1461" s="2" t="s">
        <v>1890</v>
      </c>
      <c r="D1461" s="2" t="s">
        <v>1938</v>
      </c>
      <c r="E1461" s="2" t="s">
        <v>18</v>
      </c>
      <c r="F1461" s="2" t="s">
        <v>1942</v>
      </c>
      <c r="G1461" s="8" t="str">
        <f>IF(ISNA(VLOOKUP(B1461&amp;"|"&amp;C1461&amp;"|"&amp;D1461&amp;"|"&amp;E1461,QuestionTriggers!A:F,6,FALSE)),"","---&gt;")</f>
        <v/>
      </c>
      <c r="H1461" s="2" t="s">
        <v>1939</v>
      </c>
      <c r="I1461" s="2" t="s">
        <v>177</v>
      </c>
      <c r="J1461" s="2" t="s">
        <v>1940</v>
      </c>
      <c r="K1461" s="2"/>
    </row>
    <row r="1462" spans="1:11" hidden="1" x14ac:dyDescent="0.3">
      <c r="A1462" t="str">
        <f t="shared" si="22"/>
        <v>Vesper|Simple|LOOK</v>
      </c>
      <c r="B1462" s="2" t="s">
        <v>1768</v>
      </c>
      <c r="C1462" s="2" t="s">
        <v>1890</v>
      </c>
      <c r="D1462" s="2" t="s">
        <v>1938</v>
      </c>
      <c r="E1462" s="2" t="s">
        <v>16</v>
      </c>
      <c r="F1462" s="2" t="s">
        <v>1941</v>
      </c>
      <c r="G1462" s="8" t="str">
        <f>IF(ISNA(VLOOKUP(B1462&amp;"|"&amp;C1462&amp;"|"&amp;D1462&amp;"|"&amp;E1462,QuestionTriggers!A:F,6,FALSE)),"","---&gt;")</f>
        <v/>
      </c>
      <c r="H1462" s="2" t="s">
        <v>1939</v>
      </c>
      <c r="I1462" s="2" t="s">
        <v>177</v>
      </c>
      <c r="J1462" s="2" t="s">
        <v>1940</v>
      </c>
      <c r="K1462" s="2"/>
    </row>
    <row r="1463" spans="1:11" hidden="1" x14ac:dyDescent="0.3">
      <c r="A1463" t="str">
        <f t="shared" si="22"/>
        <v>Vesper|Simple|NAME</v>
      </c>
      <c r="B1463" s="2" t="s">
        <v>1768</v>
      </c>
      <c r="C1463" s="2" t="s">
        <v>1890</v>
      </c>
      <c r="D1463" s="2" t="s">
        <v>1938</v>
      </c>
      <c r="E1463" s="2" t="s">
        <v>12</v>
      </c>
      <c r="F1463" s="2" t="s">
        <v>1938</v>
      </c>
      <c r="G1463" s="8" t="str">
        <f>IF(ISNA(VLOOKUP(B1463&amp;"|"&amp;C1463&amp;"|"&amp;D1463&amp;"|"&amp;E1463,QuestionTriggers!A:F,6,FALSE)),"","---&gt;")</f>
        <v/>
      </c>
      <c r="H1463" s="2" t="s">
        <v>1939</v>
      </c>
      <c r="I1463" s="2" t="s">
        <v>177</v>
      </c>
      <c r="J1463" s="2" t="s">
        <v>1940</v>
      </c>
      <c r="K1463" s="2"/>
    </row>
    <row r="1464" spans="1:11" hidden="1" x14ac:dyDescent="0.3">
      <c r="A1464" t="str">
        <f t="shared" si="22"/>
        <v>Vesper|Simple|SHRI</v>
      </c>
      <c r="B1464" s="2" t="s">
        <v>1768</v>
      </c>
      <c r="C1464" s="2" t="s">
        <v>1890</v>
      </c>
      <c r="D1464" s="2" t="s">
        <v>1938</v>
      </c>
      <c r="E1464" s="2" t="s">
        <v>184</v>
      </c>
      <c r="F1464" s="2" t="s">
        <v>1943</v>
      </c>
      <c r="G1464" s="8" t="str">
        <f>IF(ISNA(VLOOKUP(B1464&amp;"|"&amp;C1464&amp;"|"&amp;D1464&amp;"|"&amp;E1464,QuestionTriggers!A:F,6,FALSE)),"","---&gt;")</f>
        <v/>
      </c>
      <c r="H1464" s="2" t="s">
        <v>1939</v>
      </c>
      <c r="I1464" s="2" t="s">
        <v>177</v>
      </c>
      <c r="J1464" s="2" t="s">
        <v>1940</v>
      </c>
      <c r="K1464" s="2"/>
    </row>
    <row r="1465" spans="1:11" hidden="1" x14ac:dyDescent="0.3">
      <c r="A1465" t="str">
        <f t="shared" si="22"/>
        <v>Vesper|Traveling Dan|HEALTH</v>
      </c>
      <c r="B1465" s="2" t="s">
        <v>1768</v>
      </c>
      <c r="C1465" s="2" t="s">
        <v>1890</v>
      </c>
      <c r="D1465" s="2" t="s">
        <v>1912</v>
      </c>
      <c r="E1465" s="2" t="s">
        <v>20</v>
      </c>
      <c r="F1465" s="2" t="s">
        <v>1918</v>
      </c>
      <c r="G1465" s="8" t="str">
        <f>IF(ISNA(VLOOKUP(B1465&amp;"|"&amp;C1465&amp;"|"&amp;D1465&amp;"|"&amp;E1465,QuestionTriggers!A:F,6,FALSE)),"","---&gt;")</f>
        <v/>
      </c>
      <c r="H1465" s="2" t="s">
        <v>1913</v>
      </c>
      <c r="I1465" s="2" t="s">
        <v>1914</v>
      </c>
      <c r="J1465" s="2" t="s">
        <v>1915</v>
      </c>
      <c r="K1465" s="2"/>
    </row>
    <row r="1466" spans="1:11" hidden="1" x14ac:dyDescent="0.3">
      <c r="A1466" t="str">
        <f t="shared" si="22"/>
        <v>Vesper|Traveling Dan|JOB</v>
      </c>
      <c r="B1466" s="2" t="s">
        <v>1768</v>
      </c>
      <c r="C1466" s="2" t="s">
        <v>1890</v>
      </c>
      <c r="D1466" s="2" t="s">
        <v>1912</v>
      </c>
      <c r="E1466" s="2" t="s">
        <v>18</v>
      </c>
      <c r="F1466" s="2" t="s">
        <v>1917</v>
      </c>
      <c r="G1466" s="8" t="str">
        <f>IF(ISNA(VLOOKUP(B1466&amp;"|"&amp;C1466&amp;"|"&amp;D1466&amp;"|"&amp;E1466,QuestionTriggers!A:F,6,FALSE)),"","---&gt;")</f>
        <v/>
      </c>
      <c r="H1466" s="2" t="s">
        <v>1913</v>
      </c>
      <c r="I1466" s="2" t="s">
        <v>1914</v>
      </c>
      <c r="J1466" s="2" t="s">
        <v>1915</v>
      </c>
      <c r="K1466" s="2"/>
    </row>
    <row r="1467" spans="1:11" hidden="1" x14ac:dyDescent="0.3">
      <c r="A1467" t="str">
        <f t="shared" si="22"/>
        <v>Vesper|Traveling Dan|LOOK</v>
      </c>
      <c r="B1467" s="2" t="s">
        <v>1768</v>
      </c>
      <c r="C1467" s="2" t="s">
        <v>1890</v>
      </c>
      <c r="D1467" s="2" t="s">
        <v>1912</v>
      </c>
      <c r="E1467" s="2" t="s">
        <v>16</v>
      </c>
      <c r="F1467" s="2" t="s">
        <v>1916</v>
      </c>
      <c r="G1467" s="8" t="str">
        <f>IF(ISNA(VLOOKUP(B1467&amp;"|"&amp;C1467&amp;"|"&amp;D1467&amp;"|"&amp;E1467,QuestionTriggers!A:F,6,FALSE)),"","---&gt;")</f>
        <v/>
      </c>
      <c r="H1467" s="2" t="s">
        <v>1913</v>
      </c>
      <c r="I1467" s="2" t="s">
        <v>1914</v>
      </c>
      <c r="J1467" s="2" t="s">
        <v>1915</v>
      </c>
      <c r="K1467" s="2"/>
    </row>
    <row r="1468" spans="1:11" hidden="1" x14ac:dyDescent="0.3">
      <c r="A1468" t="str">
        <f t="shared" si="22"/>
        <v>Vesper|Traveling Dan|NAME</v>
      </c>
      <c r="B1468" s="2" t="s">
        <v>1768</v>
      </c>
      <c r="C1468" s="2" t="s">
        <v>1890</v>
      </c>
      <c r="D1468" s="2" t="s">
        <v>1912</v>
      </c>
      <c r="E1468" s="2" t="s">
        <v>12</v>
      </c>
      <c r="F1468" s="2" t="s">
        <v>1912</v>
      </c>
      <c r="G1468" s="8" t="str">
        <f>IF(ISNA(VLOOKUP(B1468&amp;"|"&amp;C1468&amp;"|"&amp;D1468&amp;"|"&amp;E1468,QuestionTriggers!A:F,6,FALSE)),"","---&gt;")</f>
        <v/>
      </c>
      <c r="H1468" s="2" t="s">
        <v>1913</v>
      </c>
      <c r="I1468" s="2" t="s">
        <v>1914</v>
      </c>
      <c r="J1468" s="2" t="s">
        <v>1915</v>
      </c>
      <c r="K1468" s="2"/>
    </row>
    <row r="1469" spans="1:11" hidden="1" x14ac:dyDescent="0.3">
      <c r="A1469" t="str">
        <f t="shared" si="22"/>
        <v>Vesper|Traveling Dan|TINK</v>
      </c>
      <c r="B1469" s="2" t="s">
        <v>1768</v>
      </c>
      <c r="C1469" s="2" t="s">
        <v>1890</v>
      </c>
      <c r="D1469" s="2" t="s">
        <v>1912</v>
      </c>
      <c r="E1469" s="2" t="s">
        <v>1919</v>
      </c>
      <c r="F1469" s="2" t="s">
        <v>1920</v>
      </c>
      <c r="G1469" s="8" t="str">
        <f>IF(ISNA(VLOOKUP(B1469&amp;"|"&amp;C1469&amp;"|"&amp;D1469&amp;"|"&amp;E1469,QuestionTriggers!A:F,6,FALSE)),"","---&gt;")</f>
        <v/>
      </c>
      <c r="H1469" s="2" t="s">
        <v>1913</v>
      </c>
      <c r="I1469" s="2" t="s">
        <v>1914</v>
      </c>
      <c r="J1469" s="2" t="s">
        <v>1915</v>
      </c>
      <c r="K1469" s="2"/>
    </row>
    <row r="1470" spans="1:11" hidden="1" x14ac:dyDescent="0.3">
      <c r="A1470" t="str">
        <f t="shared" si="22"/>
        <v>Vesper|Traveling Dan|TRAV</v>
      </c>
      <c r="B1470" s="2" t="s">
        <v>1768</v>
      </c>
      <c r="C1470" s="2" t="s">
        <v>1890</v>
      </c>
      <c r="D1470" s="2" t="s">
        <v>1912</v>
      </c>
      <c r="E1470" s="2" t="s">
        <v>1921</v>
      </c>
      <c r="F1470" s="2" t="s">
        <v>1922</v>
      </c>
      <c r="G1470" s="8" t="str">
        <f>IF(ISNA(VLOOKUP(B1470&amp;"|"&amp;C1470&amp;"|"&amp;D1470&amp;"|"&amp;E1470,QuestionTriggers!A:F,6,FALSE)),"","---&gt;")</f>
        <v>---&gt;</v>
      </c>
      <c r="H1470" s="2" t="s">
        <v>1913</v>
      </c>
      <c r="I1470" s="2" t="s">
        <v>1914</v>
      </c>
      <c r="J1470" s="2" t="s">
        <v>1915</v>
      </c>
      <c r="K1470" s="2"/>
    </row>
    <row r="1471" spans="1:11" ht="26.4" hidden="1" x14ac:dyDescent="0.3">
      <c r="A1471" t="str">
        <f t="shared" si="22"/>
        <v>Vesper|Twin Gates|HEALTH</v>
      </c>
      <c r="B1471" s="2" t="s">
        <v>1768</v>
      </c>
      <c r="C1471" s="2" t="s">
        <v>1890</v>
      </c>
      <c r="D1471" s="2" t="s">
        <v>1891</v>
      </c>
      <c r="E1471" s="2" t="s">
        <v>20</v>
      </c>
      <c r="F1471" s="2" t="s">
        <v>93</v>
      </c>
      <c r="G1471" s="8" t="str">
        <f>IF(ISNA(VLOOKUP(B1471&amp;"|"&amp;C1471&amp;"|"&amp;D1471&amp;"|"&amp;E1471,QuestionTriggers!A:F,6,FALSE)),"","---&gt;")</f>
        <v/>
      </c>
      <c r="H1471" s="2" t="s">
        <v>1892</v>
      </c>
      <c r="I1471" s="2" t="s">
        <v>1893</v>
      </c>
      <c r="J1471" s="2" t="s">
        <v>1893</v>
      </c>
      <c r="K1471" s="2"/>
    </row>
    <row r="1472" spans="1:11" ht="26.4" hidden="1" x14ac:dyDescent="0.3">
      <c r="A1472" t="str">
        <f t="shared" si="22"/>
        <v>Vesper|Twin Gates|JOB</v>
      </c>
      <c r="B1472" s="2" t="s">
        <v>1768</v>
      </c>
      <c r="C1472" s="2" t="s">
        <v>1890</v>
      </c>
      <c r="D1472" s="2" t="s">
        <v>1891</v>
      </c>
      <c r="E1472" s="2" t="s">
        <v>18</v>
      </c>
      <c r="F1472" s="2" t="s">
        <v>1894</v>
      </c>
      <c r="G1472" s="8" t="str">
        <f>IF(ISNA(VLOOKUP(B1472&amp;"|"&amp;C1472&amp;"|"&amp;D1472&amp;"|"&amp;E1472,QuestionTriggers!A:F,6,FALSE)),"","---&gt;")</f>
        <v/>
      </c>
      <c r="H1472" s="2" t="s">
        <v>1892</v>
      </c>
      <c r="I1472" s="2" t="s">
        <v>1893</v>
      </c>
      <c r="J1472" s="2" t="s">
        <v>1893</v>
      </c>
      <c r="K1472" s="2"/>
    </row>
    <row r="1473" spans="1:11" ht="26.4" hidden="1" x14ac:dyDescent="0.3">
      <c r="A1473" t="str">
        <f t="shared" si="22"/>
        <v>Vesper|Twin Gates|LOOK</v>
      </c>
      <c r="B1473" s="2" t="s">
        <v>1768</v>
      </c>
      <c r="C1473" s="2" t="s">
        <v>1890</v>
      </c>
      <c r="D1473" s="2" t="s">
        <v>1891</v>
      </c>
      <c r="E1473" s="2" t="s">
        <v>16</v>
      </c>
      <c r="F1473" s="2" t="s">
        <v>788</v>
      </c>
      <c r="G1473" s="8" t="str">
        <f>IF(ISNA(VLOOKUP(B1473&amp;"|"&amp;C1473&amp;"|"&amp;D1473&amp;"|"&amp;E1473,QuestionTriggers!A:F,6,FALSE)),"","---&gt;")</f>
        <v/>
      </c>
      <c r="H1473" s="2" t="s">
        <v>1892</v>
      </c>
      <c r="I1473" s="2" t="s">
        <v>1893</v>
      </c>
      <c r="J1473" s="2" t="s">
        <v>1893</v>
      </c>
      <c r="K1473" s="2"/>
    </row>
    <row r="1474" spans="1:11" ht="26.4" hidden="1" x14ac:dyDescent="0.3">
      <c r="A1474" t="str">
        <f t="shared" si="22"/>
        <v>Vesper|Twin Gates|NAME</v>
      </c>
      <c r="B1474" s="2" t="s">
        <v>1768</v>
      </c>
      <c r="C1474" s="2" t="s">
        <v>1890</v>
      </c>
      <c r="D1474" s="2" t="s">
        <v>1891</v>
      </c>
      <c r="E1474" s="2" t="s">
        <v>12</v>
      </c>
      <c r="F1474" s="2" t="s">
        <v>1891</v>
      </c>
      <c r="G1474" s="8" t="str">
        <f>IF(ISNA(VLOOKUP(B1474&amp;"|"&amp;C1474&amp;"|"&amp;D1474&amp;"|"&amp;E1474,QuestionTriggers!A:F,6,FALSE)),"","---&gt;")</f>
        <v/>
      </c>
      <c r="H1474" s="2" t="s">
        <v>1892</v>
      </c>
      <c r="I1474" s="2" t="s">
        <v>1893</v>
      </c>
      <c r="J1474" s="2" t="s">
        <v>1893</v>
      </c>
      <c r="K1474" s="2"/>
    </row>
    <row r="1475" spans="1:11" ht="26.4" hidden="1" x14ac:dyDescent="0.3">
      <c r="A1475" t="str">
        <f t="shared" ref="A1475:A1538" si="23">C1475&amp;"|"&amp;D1475&amp;"|"&amp;E1475</f>
        <v>Vesper|Twin Gates|VESP</v>
      </c>
      <c r="B1475" s="2" t="s">
        <v>1768</v>
      </c>
      <c r="C1475" s="2" t="s">
        <v>1890</v>
      </c>
      <c r="D1475" s="2" t="s">
        <v>1891</v>
      </c>
      <c r="E1475" s="2" t="s">
        <v>1895</v>
      </c>
      <c r="F1475" s="2" t="s">
        <v>1896</v>
      </c>
      <c r="G1475" s="8" t="str">
        <f>IF(ISNA(VLOOKUP(B1475&amp;"|"&amp;C1475&amp;"|"&amp;D1475&amp;"|"&amp;E1475,QuestionTriggers!A:F,6,FALSE)),"","---&gt;")</f>
        <v/>
      </c>
      <c r="H1475" s="2" t="s">
        <v>1892</v>
      </c>
      <c r="I1475" s="2" t="s">
        <v>1893</v>
      </c>
      <c r="J1475" s="2" t="s">
        <v>1893</v>
      </c>
      <c r="K1475" s="2"/>
    </row>
    <row r="1476" spans="1:11" ht="26.4" hidden="1" x14ac:dyDescent="0.3">
      <c r="A1476" t="str">
        <f t="shared" si="23"/>
        <v>Vesper|Twin Gates|WELC</v>
      </c>
      <c r="B1476" s="2" t="s">
        <v>1768</v>
      </c>
      <c r="C1476" s="2" t="s">
        <v>1890</v>
      </c>
      <c r="D1476" s="2" t="s">
        <v>1891</v>
      </c>
      <c r="E1476" s="2" t="s">
        <v>423</v>
      </c>
      <c r="F1476" s="2" t="s">
        <v>1897</v>
      </c>
      <c r="G1476" s="8" t="str">
        <f>IF(ISNA(VLOOKUP(B1476&amp;"|"&amp;C1476&amp;"|"&amp;D1476&amp;"|"&amp;E1476,QuestionTriggers!A:F,6,FALSE)),"","---&gt;")</f>
        <v>---&gt;</v>
      </c>
      <c r="H1476" s="2" t="s">
        <v>1892</v>
      </c>
      <c r="I1476" s="2" t="s">
        <v>1893</v>
      </c>
      <c r="J1476" s="2" t="s">
        <v>1893</v>
      </c>
      <c r="K1476" s="2"/>
    </row>
    <row r="1477" spans="1:11" x14ac:dyDescent="0.3">
      <c r="A1477" t="str">
        <f t="shared" si="23"/>
        <v>Yew|Beggar|FELO</v>
      </c>
      <c r="B1477" s="2" t="s">
        <v>713</v>
      </c>
      <c r="C1477" s="2" t="s">
        <v>1263</v>
      </c>
      <c r="D1477" s="2" t="s">
        <v>1318</v>
      </c>
      <c r="E1477" s="2" t="s">
        <v>1324</v>
      </c>
      <c r="F1477" s="6" t="s">
        <v>2525</v>
      </c>
      <c r="G1477" s="8" t="str">
        <f>IF(ISNA(VLOOKUP(B1477&amp;"|"&amp;C1477&amp;"|"&amp;D1477&amp;"|"&amp;E1477,QuestionTriggers!A:F,6,FALSE)),"","---&gt;")</f>
        <v>---&gt;</v>
      </c>
      <c r="H1477" s="2" t="s">
        <v>1320</v>
      </c>
      <c r="I1477" s="2" t="s">
        <v>1321</v>
      </c>
      <c r="J1477" s="2" t="s">
        <v>177</v>
      </c>
      <c r="K1477" s="2"/>
    </row>
    <row r="1478" spans="1:11" x14ac:dyDescent="0.3">
      <c r="A1478" t="str">
        <f t="shared" si="23"/>
        <v>Yew|Beggar|HEALTH</v>
      </c>
      <c r="B1478" s="2" t="s">
        <v>713</v>
      </c>
      <c r="C1478" s="2" t="s">
        <v>1263</v>
      </c>
      <c r="D1478" s="2" t="s">
        <v>1318</v>
      </c>
      <c r="E1478" s="2" t="s">
        <v>20</v>
      </c>
      <c r="F1478" s="6" t="s">
        <v>2526</v>
      </c>
      <c r="G1478" s="8" t="str">
        <f>IF(ISNA(VLOOKUP(B1478&amp;"|"&amp;C1478&amp;"|"&amp;D1478&amp;"|"&amp;E1478,QuestionTriggers!A:F,6,FALSE)),"","---&gt;")</f>
        <v/>
      </c>
      <c r="H1478" s="2" t="s">
        <v>1320</v>
      </c>
      <c r="I1478" s="2" t="s">
        <v>1321</v>
      </c>
      <c r="J1478" s="2" t="s">
        <v>177</v>
      </c>
      <c r="K1478" s="2"/>
    </row>
    <row r="1479" spans="1:11" x14ac:dyDescent="0.3">
      <c r="A1479" t="str">
        <f t="shared" si="23"/>
        <v>Yew|Beggar|JOB</v>
      </c>
      <c r="B1479" s="2" t="s">
        <v>713</v>
      </c>
      <c r="C1479" s="2" t="s">
        <v>1263</v>
      </c>
      <c r="D1479" s="2" t="s">
        <v>1318</v>
      </c>
      <c r="E1479" s="2" t="s">
        <v>18</v>
      </c>
      <c r="F1479" s="2" t="s">
        <v>1322</v>
      </c>
      <c r="G1479" s="8" t="str">
        <f>IF(ISNA(VLOOKUP(B1479&amp;"|"&amp;C1479&amp;"|"&amp;D1479&amp;"|"&amp;E1479,QuestionTriggers!A:F,6,FALSE)),"","---&gt;")</f>
        <v/>
      </c>
      <c r="H1479" s="2" t="s">
        <v>1320</v>
      </c>
      <c r="I1479" s="2" t="s">
        <v>1321</v>
      </c>
      <c r="J1479" s="2" t="s">
        <v>177</v>
      </c>
      <c r="K1479" s="2"/>
    </row>
    <row r="1480" spans="1:11" x14ac:dyDescent="0.3">
      <c r="A1480" t="str">
        <f t="shared" si="23"/>
        <v>Yew|Beggar|LOOK</v>
      </c>
      <c r="B1480" s="2" t="s">
        <v>713</v>
      </c>
      <c r="C1480" s="2" t="s">
        <v>1263</v>
      </c>
      <c r="D1480" s="2" t="s">
        <v>1318</v>
      </c>
      <c r="E1480" s="2" t="s">
        <v>16</v>
      </c>
      <c r="F1480" s="2" t="s">
        <v>995</v>
      </c>
      <c r="G1480" s="8" t="str">
        <f>IF(ISNA(VLOOKUP(B1480&amp;"|"&amp;C1480&amp;"|"&amp;D1480&amp;"|"&amp;E1480,QuestionTriggers!A:F,6,FALSE)),"","---&gt;")</f>
        <v/>
      </c>
      <c r="H1480" s="2" t="s">
        <v>1320</v>
      </c>
      <c r="I1480" s="2" t="s">
        <v>1321</v>
      </c>
      <c r="J1480" s="2" t="s">
        <v>177</v>
      </c>
      <c r="K1480" s="2"/>
    </row>
    <row r="1481" spans="1:11" x14ac:dyDescent="0.3">
      <c r="A1481" t="str">
        <f t="shared" si="23"/>
        <v>Yew|Beggar|NAME</v>
      </c>
      <c r="B1481" s="2" t="s">
        <v>713</v>
      </c>
      <c r="C1481" s="2" t="s">
        <v>1263</v>
      </c>
      <c r="D1481" s="2" t="s">
        <v>1318</v>
      </c>
      <c r="E1481" s="2" t="s">
        <v>12</v>
      </c>
      <c r="F1481" s="2" t="s">
        <v>1319</v>
      </c>
      <c r="G1481" s="8" t="str">
        <f>IF(ISNA(VLOOKUP(B1481&amp;"|"&amp;C1481&amp;"|"&amp;D1481&amp;"|"&amp;E1481,QuestionTriggers!A:F,6,FALSE)),"","---&gt;")</f>
        <v/>
      </c>
      <c r="H1481" s="2" t="s">
        <v>1320</v>
      </c>
      <c r="I1481" s="2" t="s">
        <v>1321</v>
      </c>
      <c r="J1481" s="2" t="s">
        <v>177</v>
      </c>
      <c r="K1481" s="2"/>
    </row>
    <row r="1482" spans="1:11" x14ac:dyDescent="0.3">
      <c r="A1482" t="str">
        <f t="shared" si="23"/>
        <v>Yew|Beggar|I have sinned.</v>
      </c>
      <c r="B1482" s="2" t="s">
        <v>713</v>
      </c>
      <c r="C1482" s="2" t="s">
        <v>1263</v>
      </c>
      <c r="D1482" s="2" t="s">
        <v>1318</v>
      </c>
      <c r="E1482" s="6" t="s">
        <v>1322</v>
      </c>
      <c r="F1482" s="2" t="s">
        <v>1323</v>
      </c>
      <c r="G1482" s="8" t="str">
        <f>IF(ISNA(VLOOKUP(B1482&amp;"|"&amp;C1482&amp;"|"&amp;D1482&amp;"|"&amp;E1482,QuestionTriggers!A:F,6,FALSE)),"","---&gt;")</f>
        <v/>
      </c>
      <c r="H1482" s="2" t="s">
        <v>1320</v>
      </c>
      <c r="I1482" s="2" t="s">
        <v>1321</v>
      </c>
      <c r="J1482" s="2" t="s">
        <v>177</v>
      </c>
      <c r="K1482" s="2"/>
    </row>
    <row r="1483" spans="1:11" x14ac:dyDescent="0.3">
      <c r="A1483" t="str">
        <f t="shared" si="23"/>
        <v>Yew|Calumny|HEALTH</v>
      </c>
      <c r="B1483" s="2" t="s">
        <v>713</v>
      </c>
      <c r="C1483" s="2" t="s">
        <v>1263</v>
      </c>
      <c r="D1483" s="2" t="s">
        <v>1345</v>
      </c>
      <c r="E1483" s="2" t="s">
        <v>20</v>
      </c>
      <c r="F1483" s="2" t="s">
        <v>93</v>
      </c>
      <c r="G1483" s="8" t="str">
        <f>IF(ISNA(VLOOKUP(B1483&amp;"|"&amp;C1483&amp;"|"&amp;D1483&amp;"|"&amp;E1483,QuestionTriggers!A:F,6,FALSE)),"","---&gt;")</f>
        <v/>
      </c>
      <c r="H1483" s="2" t="s">
        <v>1346</v>
      </c>
      <c r="I1483" s="2" t="s">
        <v>1347</v>
      </c>
      <c r="J1483" s="2" t="s">
        <v>1348</v>
      </c>
      <c r="K1483" s="2"/>
    </row>
    <row r="1484" spans="1:11" x14ac:dyDescent="0.3">
      <c r="A1484" t="str">
        <f t="shared" si="23"/>
        <v>Yew|Calumny|JOB</v>
      </c>
      <c r="B1484" s="2" t="s">
        <v>713</v>
      </c>
      <c r="C1484" s="2" t="s">
        <v>1263</v>
      </c>
      <c r="D1484" s="2" t="s">
        <v>1345</v>
      </c>
      <c r="E1484" s="2" t="s">
        <v>18</v>
      </c>
      <c r="F1484" s="2" t="s">
        <v>1350</v>
      </c>
      <c r="G1484" s="8" t="str">
        <f>IF(ISNA(VLOOKUP(B1484&amp;"|"&amp;C1484&amp;"|"&amp;D1484&amp;"|"&amp;E1484,QuestionTriggers!A:F,6,FALSE)),"","---&gt;")</f>
        <v/>
      </c>
      <c r="H1484" s="2" t="s">
        <v>1346</v>
      </c>
      <c r="I1484" s="2" t="s">
        <v>1347</v>
      </c>
      <c r="J1484" s="2" t="s">
        <v>1348</v>
      </c>
      <c r="K1484" s="2"/>
    </row>
    <row r="1485" spans="1:11" x14ac:dyDescent="0.3">
      <c r="A1485" t="str">
        <f t="shared" si="23"/>
        <v>Yew|Calumny|LOOK</v>
      </c>
      <c r="B1485" s="2" t="s">
        <v>713</v>
      </c>
      <c r="C1485" s="2" t="s">
        <v>1263</v>
      </c>
      <c r="D1485" s="2" t="s">
        <v>1345</v>
      </c>
      <c r="E1485" s="2" t="s">
        <v>16</v>
      </c>
      <c r="F1485" s="2" t="s">
        <v>1349</v>
      </c>
      <c r="G1485" s="8" t="str">
        <f>IF(ISNA(VLOOKUP(B1485&amp;"|"&amp;C1485&amp;"|"&amp;D1485&amp;"|"&amp;E1485,QuestionTriggers!A:F,6,FALSE)),"","---&gt;")</f>
        <v/>
      </c>
      <c r="H1485" s="2" t="s">
        <v>1346</v>
      </c>
      <c r="I1485" s="2" t="s">
        <v>1347</v>
      </c>
      <c r="J1485" s="2" t="s">
        <v>1348</v>
      </c>
      <c r="K1485" s="2"/>
    </row>
    <row r="1486" spans="1:11" ht="26.4" x14ac:dyDescent="0.3">
      <c r="A1486" t="str">
        <f t="shared" si="23"/>
        <v>Yew|Calumny|MAND</v>
      </c>
      <c r="B1486" s="2" t="s">
        <v>713</v>
      </c>
      <c r="C1486" s="2" t="s">
        <v>1263</v>
      </c>
      <c r="D1486" s="2" t="s">
        <v>1345</v>
      </c>
      <c r="E1486" s="2" t="s">
        <v>1352</v>
      </c>
      <c r="F1486" s="2" t="s">
        <v>1353</v>
      </c>
      <c r="G1486" s="8" t="str">
        <f>IF(ISNA(VLOOKUP(B1486&amp;"|"&amp;C1486&amp;"|"&amp;D1486&amp;"|"&amp;E1486,QuestionTriggers!A:F,6,FALSE)),"","---&gt;")</f>
        <v>---&gt;</v>
      </c>
      <c r="H1486" s="2" t="s">
        <v>1346</v>
      </c>
      <c r="I1486" s="2" t="s">
        <v>1347</v>
      </c>
      <c r="J1486" s="2" t="s">
        <v>1348</v>
      </c>
      <c r="K1486" s="2"/>
    </row>
    <row r="1487" spans="1:11" x14ac:dyDescent="0.3">
      <c r="A1487" t="str">
        <f t="shared" si="23"/>
        <v>Yew|Calumny|NAME</v>
      </c>
      <c r="B1487" s="2" t="s">
        <v>713</v>
      </c>
      <c r="C1487" s="2" t="s">
        <v>1263</v>
      </c>
      <c r="D1487" s="2" t="s">
        <v>1345</v>
      </c>
      <c r="E1487" s="2" t="s">
        <v>12</v>
      </c>
      <c r="F1487" s="2" t="s">
        <v>1345</v>
      </c>
      <c r="G1487" s="8" t="str">
        <f>IF(ISNA(VLOOKUP(B1487&amp;"|"&amp;C1487&amp;"|"&amp;D1487&amp;"|"&amp;E1487,QuestionTriggers!A:F,6,FALSE)),"","---&gt;")</f>
        <v/>
      </c>
      <c r="H1487" s="2" t="s">
        <v>1346</v>
      </c>
      <c r="I1487" s="2" t="s">
        <v>1347</v>
      </c>
      <c r="J1487" s="2" t="s">
        <v>1348</v>
      </c>
      <c r="K1487" s="2"/>
    </row>
    <row r="1488" spans="1:11" x14ac:dyDescent="0.3">
      <c r="A1488" t="str">
        <f t="shared" si="23"/>
        <v>Yew|Calumny|SPEL</v>
      </c>
      <c r="B1488" s="2" t="s">
        <v>713</v>
      </c>
      <c r="C1488" s="2" t="s">
        <v>1263</v>
      </c>
      <c r="D1488" s="2" t="s">
        <v>1345</v>
      </c>
      <c r="E1488" s="2" t="s">
        <v>365</v>
      </c>
      <c r="F1488" s="2" t="s">
        <v>1351</v>
      </c>
      <c r="G1488" s="8" t="str">
        <f>IF(ISNA(VLOOKUP(B1488&amp;"|"&amp;C1488&amp;"|"&amp;D1488&amp;"|"&amp;E1488,QuestionTriggers!A:F,6,FALSE)),"","---&gt;")</f>
        <v/>
      </c>
      <c r="H1488" s="2" t="s">
        <v>1346</v>
      </c>
      <c r="I1488" s="2" t="s">
        <v>1347</v>
      </c>
      <c r="J1488" s="2" t="s">
        <v>1348</v>
      </c>
      <c r="K1488" s="2"/>
    </row>
    <row r="1489" spans="1:11" ht="26.4" x14ac:dyDescent="0.3">
      <c r="A1489" t="str">
        <f t="shared" si="23"/>
        <v>Yew|Court Guard|COUR</v>
      </c>
      <c r="B1489" s="2" t="s">
        <v>713</v>
      </c>
      <c r="C1489" s="2" t="s">
        <v>1263</v>
      </c>
      <c r="D1489" s="2" t="s">
        <v>1380</v>
      </c>
      <c r="E1489" s="2" t="s">
        <v>237</v>
      </c>
      <c r="F1489" s="2" t="s">
        <v>1388</v>
      </c>
      <c r="G1489" s="8" t="str">
        <f>IF(ISNA(VLOOKUP(B1489&amp;"|"&amp;C1489&amp;"|"&amp;D1489&amp;"|"&amp;E1489,QuestionTriggers!A:F,6,FALSE)),"","---&gt;")</f>
        <v>---&gt;</v>
      </c>
      <c r="H1489" s="2" t="s">
        <v>1381</v>
      </c>
      <c r="I1489" s="2" t="s">
        <v>1382</v>
      </c>
      <c r="J1489" s="2" t="s">
        <v>1383</v>
      </c>
      <c r="K1489" s="2"/>
    </row>
    <row r="1490" spans="1:11" ht="26.4" x14ac:dyDescent="0.3">
      <c r="A1490" t="str">
        <f t="shared" si="23"/>
        <v>Yew|Court Guard|HEALTH</v>
      </c>
      <c r="B1490" s="2" t="s">
        <v>713</v>
      </c>
      <c r="C1490" s="2" t="s">
        <v>1263</v>
      </c>
      <c r="D1490" s="2" t="s">
        <v>1380</v>
      </c>
      <c r="E1490" s="2" t="s">
        <v>20</v>
      </c>
      <c r="F1490" s="2" t="s">
        <v>1386</v>
      </c>
      <c r="G1490" s="8" t="str">
        <f>IF(ISNA(VLOOKUP(B1490&amp;"|"&amp;C1490&amp;"|"&amp;D1490&amp;"|"&amp;E1490,QuestionTriggers!A:F,6,FALSE)),"","---&gt;")</f>
        <v/>
      </c>
      <c r="H1490" s="2" t="s">
        <v>1381</v>
      </c>
      <c r="I1490" s="2" t="s">
        <v>1382</v>
      </c>
      <c r="J1490" s="2" t="s">
        <v>1383</v>
      </c>
      <c r="K1490" s="2"/>
    </row>
    <row r="1491" spans="1:11" ht="26.4" x14ac:dyDescent="0.3">
      <c r="A1491" t="str">
        <f t="shared" si="23"/>
        <v>Yew|Court Guard|JOB</v>
      </c>
      <c r="B1491" s="2" t="s">
        <v>713</v>
      </c>
      <c r="C1491" s="2" t="s">
        <v>1263</v>
      </c>
      <c r="D1491" s="2" t="s">
        <v>1380</v>
      </c>
      <c r="E1491" s="2" t="s">
        <v>18</v>
      </c>
      <c r="F1491" s="2" t="s">
        <v>1385</v>
      </c>
      <c r="G1491" s="8" t="str">
        <f>IF(ISNA(VLOOKUP(B1491&amp;"|"&amp;C1491&amp;"|"&amp;D1491&amp;"|"&amp;E1491,QuestionTriggers!A:F,6,FALSE)),"","---&gt;")</f>
        <v/>
      </c>
      <c r="H1491" s="2" t="s">
        <v>1381</v>
      </c>
      <c r="I1491" s="2" t="s">
        <v>1382</v>
      </c>
      <c r="J1491" s="2" t="s">
        <v>1383</v>
      </c>
      <c r="K1491" s="2"/>
    </row>
    <row r="1492" spans="1:11" ht="26.4" x14ac:dyDescent="0.3">
      <c r="A1492" t="str">
        <f t="shared" si="23"/>
        <v>Yew|Court Guard|JUST</v>
      </c>
      <c r="B1492" s="2" t="s">
        <v>713</v>
      </c>
      <c r="C1492" s="2" t="s">
        <v>1263</v>
      </c>
      <c r="D1492" s="2" t="s">
        <v>1380</v>
      </c>
      <c r="E1492" s="2" t="s">
        <v>245</v>
      </c>
      <c r="F1492" s="2" t="s">
        <v>1387</v>
      </c>
      <c r="G1492" s="8" t="str">
        <f>IF(ISNA(VLOOKUP(B1492&amp;"|"&amp;C1492&amp;"|"&amp;D1492&amp;"|"&amp;E1492,QuestionTriggers!A:F,6,FALSE)),"","---&gt;")</f>
        <v/>
      </c>
      <c r="H1492" s="2" t="s">
        <v>1381</v>
      </c>
      <c r="I1492" s="2" t="s">
        <v>1382</v>
      </c>
      <c r="J1492" s="2" t="s">
        <v>1383</v>
      </c>
      <c r="K1492" s="2"/>
    </row>
    <row r="1493" spans="1:11" ht="26.4" x14ac:dyDescent="0.3">
      <c r="A1493" t="str">
        <f t="shared" si="23"/>
        <v>Yew|Court Guard|LOOK</v>
      </c>
      <c r="B1493" s="2" t="s">
        <v>713</v>
      </c>
      <c r="C1493" s="2" t="s">
        <v>1263</v>
      </c>
      <c r="D1493" s="2" t="s">
        <v>1380</v>
      </c>
      <c r="E1493" s="2" t="s">
        <v>16</v>
      </c>
      <c r="F1493" s="2" t="s">
        <v>1384</v>
      </c>
      <c r="G1493" s="8" t="str">
        <f>IF(ISNA(VLOOKUP(B1493&amp;"|"&amp;C1493&amp;"|"&amp;D1493&amp;"|"&amp;E1493,QuestionTriggers!A:F,6,FALSE)),"","---&gt;")</f>
        <v/>
      </c>
      <c r="H1493" s="2" t="s">
        <v>1381</v>
      </c>
      <c r="I1493" s="2" t="s">
        <v>1382</v>
      </c>
      <c r="J1493" s="2" t="s">
        <v>1383</v>
      </c>
      <c r="K1493" s="2"/>
    </row>
    <row r="1494" spans="1:11" ht="26.4" x14ac:dyDescent="0.3">
      <c r="A1494" t="str">
        <f t="shared" si="23"/>
        <v>Yew|Court Guard|NAME</v>
      </c>
      <c r="B1494" s="2" t="s">
        <v>713</v>
      </c>
      <c r="C1494" s="2" t="s">
        <v>1263</v>
      </c>
      <c r="D1494" s="2" t="s">
        <v>1380</v>
      </c>
      <c r="E1494" s="2" t="s">
        <v>12</v>
      </c>
      <c r="F1494" s="2" t="s">
        <v>27</v>
      </c>
      <c r="G1494" s="8" t="str">
        <f>IF(ISNA(VLOOKUP(B1494&amp;"|"&amp;C1494&amp;"|"&amp;D1494&amp;"|"&amp;E1494,QuestionTriggers!A:F,6,FALSE)),"","---&gt;")</f>
        <v/>
      </c>
      <c r="H1494" s="2" t="s">
        <v>1381</v>
      </c>
      <c r="I1494" s="2" t="s">
        <v>1382</v>
      </c>
      <c r="J1494" s="2" t="s">
        <v>1383</v>
      </c>
      <c r="K1494" s="2"/>
    </row>
    <row r="1495" spans="1:11" ht="26.4" x14ac:dyDescent="0.3">
      <c r="A1495" t="str">
        <f t="shared" si="23"/>
        <v>Yew|Druid|HEALTH</v>
      </c>
      <c r="B1495" s="2" t="s">
        <v>713</v>
      </c>
      <c r="C1495" s="2" t="s">
        <v>1263</v>
      </c>
      <c r="D1495" s="2" t="s">
        <v>1303</v>
      </c>
      <c r="E1495" s="2" t="s">
        <v>20</v>
      </c>
      <c r="F1495" s="2" t="s">
        <v>93</v>
      </c>
      <c r="G1495" s="8" t="str">
        <f>IF(ISNA(VLOOKUP(B1495&amp;"|"&amp;C1495&amp;"|"&amp;D1495&amp;"|"&amp;E1495,QuestionTriggers!A:F,6,FALSE)),"","---&gt;")</f>
        <v/>
      </c>
      <c r="H1495" s="2" t="s">
        <v>1304</v>
      </c>
      <c r="I1495" s="2" t="s">
        <v>1305</v>
      </c>
      <c r="J1495" s="2" t="s">
        <v>1306</v>
      </c>
      <c r="K1495" s="2"/>
    </row>
    <row r="1496" spans="1:11" ht="26.4" x14ac:dyDescent="0.3">
      <c r="A1496" t="str">
        <f t="shared" si="23"/>
        <v>Yew|Druid|JOB</v>
      </c>
      <c r="B1496" s="2" t="s">
        <v>713</v>
      </c>
      <c r="C1496" s="2" t="s">
        <v>1263</v>
      </c>
      <c r="D1496" s="2" t="s">
        <v>1303</v>
      </c>
      <c r="E1496" s="2" t="s">
        <v>18</v>
      </c>
      <c r="F1496" s="2" t="s">
        <v>1308</v>
      </c>
      <c r="G1496" s="8" t="str">
        <f>IF(ISNA(VLOOKUP(B1496&amp;"|"&amp;C1496&amp;"|"&amp;D1496&amp;"|"&amp;E1496,QuestionTriggers!A:F,6,FALSE)),"","---&gt;")</f>
        <v/>
      </c>
      <c r="H1496" s="2" t="s">
        <v>1304</v>
      </c>
      <c r="I1496" s="2" t="s">
        <v>1305</v>
      </c>
      <c r="J1496" s="2" t="s">
        <v>1306</v>
      </c>
      <c r="K1496" s="2"/>
    </row>
    <row r="1497" spans="1:11" ht="26.4" x14ac:dyDescent="0.3">
      <c r="A1497" t="str">
        <f t="shared" si="23"/>
        <v>Yew|Druid|JUST</v>
      </c>
      <c r="B1497" s="2" t="s">
        <v>713</v>
      </c>
      <c r="C1497" s="2" t="s">
        <v>1263</v>
      </c>
      <c r="D1497" s="2" t="s">
        <v>1303</v>
      </c>
      <c r="E1497" s="2" t="s">
        <v>245</v>
      </c>
      <c r="F1497" s="2" t="s">
        <v>1309</v>
      </c>
      <c r="G1497" s="8" t="str">
        <f>IF(ISNA(VLOOKUP(B1497&amp;"|"&amp;C1497&amp;"|"&amp;D1497&amp;"|"&amp;E1497,QuestionTriggers!A:F,6,FALSE)),"","---&gt;")</f>
        <v/>
      </c>
      <c r="H1497" s="2" t="s">
        <v>1304</v>
      </c>
      <c r="I1497" s="2" t="s">
        <v>1305</v>
      </c>
      <c r="J1497" s="2" t="s">
        <v>1306</v>
      </c>
      <c r="K1497" s="2"/>
    </row>
    <row r="1498" spans="1:11" ht="26.4" x14ac:dyDescent="0.3">
      <c r="A1498" t="str">
        <f t="shared" si="23"/>
        <v>Yew|Druid|LOOK</v>
      </c>
      <c r="B1498" s="2" t="s">
        <v>713</v>
      </c>
      <c r="C1498" s="2" t="s">
        <v>1263</v>
      </c>
      <c r="D1498" s="2" t="s">
        <v>1303</v>
      </c>
      <c r="E1498" s="2" t="s">
        <v>16</v>
      </c>
      <c r="F1498" s="2" t="s">
        <v>1307</v>
      </c>
      <c r="G1498" s="8" t="str">
        <f>IF(ISNA(VLOOKUP(B1498&amp;"|"&amp;C1498&amp;"|"&amp;D1498&amp;"|"&amp;E1498,QuestionTriggers!A:F,6,FALSE)),"","---&gt;")</f>
        <v/>
      </c>
      <c r="H1498" s="2" t="s">
        <v>1304</v>
      </c>
      <c r="I1498" s="2" t="s">
        <v>1305</v>
      </c>
      <c r="J1498" s="2" t="s">
        <v>1306</v>
      </c>
      <c r="K1498" s="2"/>
    </row>
    <row r="1499" spans="1:11" ht="26.4" x14ac:dyDescent="0.3">
      <c r="A1499" t="str">
        <f t="shared" si="23"/>
        <v>Yew|Druid|NAME</v>
      </c>
      <c r="B1499" s="2" t="s">
        <v>713</v>
      </c>
      <c r="C1499" s="2" t="s">
        <v>1263</v>
      </c>
      <c r="D1499" s="2" t="s">
        <v>1303</v>
      </c>
      <c r="E1499" s="2" t="s">
        <v>12</v>
      </c>
      <c r="F1499" s="2" t="s">
        <v>1303</v>
      </c>
      <c r="G1499" s="8" t="str">
        <f>IF(ISNA(VLOOKUP(B1499&amp;"|"&amp;C1499&amp;"|"&amp;D1499&amp;"|"&amp;E1499,QuestionTriggers!A:F,6,FALSE)),"","---&gt;")</f>
        <v/>
      </c>
      <c r="H1499" s="2" t="s">
        <v>1304</v>
      </c>
      <c r="I1499" s="2" t="s">
        <v>1305</v>
      </c>
      <c r="J1499" s="2" t="s">
        <v>1306</v>
      </c>
      <c r="K1499" s="2"/>
    </row>
    <row r="1500" spans="1:11" ht="26.4" x14ac:dyDescent="0.3">
      <c r="A1500" t="str">
        <f t="shared" si="23"/>
        <v>Yew|Druid|SHRI</v>
      </c>
      <c r="B1500" s="2" t="s">
        <v>713</v>
      </c>
      <c r="C1500" s="2" t="s">
        <v>1263</v>
      </c>
      <c r="D1500" s="2" t="s">
        <v>1303</v>
      </c>
      <c r="E1500" s="2" t="s">
        <v>184</v>
      </c>
      <c r="F1500" s="2" t="s">
        <v>1310</v>
      </c>
      <c r="G1500" s="8" t="str">
        <f>IF(ISNA(VLOOKUP(B1500&amp;"|"&amp;C1500&amp;"|"&amp;D1500&amp;"|"&amp;E1500,QuestionTriggers!A:F,6,FALSE)),"","---&gt;")</f>
        <v>---&gt;</v>
      </c>
      <c r="H1500" s="2" t="s">
        <v>1304</v>
      </c>
      <c r="I1500" s="2" t="s">
        <v>1305</v>
      </c>
      <c r="J1500" s="2" t="s">
        <v>1306</v>
      </c>
      <c r="K1500" s="2"/>
    </row>
    <row r="1501" spans="1:11" x14ac:dyDescent="0.3">
      <c r="A1501" t="str">
        <f t="shared" si="23"/>
        <v>Yew|Dwp|HEALTH</v>
      </c>
      <c r="B1501" s="2" t="s">
        <v>713</v>
      </c>
      <c r="C1501" s="2" t="s">
        <v>1263</v>
      </c>
      <c r="D1501" s="2" t="s">
        <v>1272</v>
      </c>
      <c r="E1501" s="2" t="s">
        <v>20</v>
      </c>
      <c r="F1501" s="2" t="s">
        <v>181</v>
      </c>
      <c r="G1501" s="8" t="str">
        <f>IF(ISNA(VLOOKUP(B1501&amp;"|"&amp;C1501&amp;"|"&amp;D1501&amp;"|"&amp;E1501,QuestionTriggers!A:F,6,FALSE)),"","---&gt;")</f>
        <v/>
      </c>
      <c r="H1501" s="2" t="s">
        <v>1273</v>
      </c>
      <c r="I1501" s="2" t="s">
        <v>1274</v>
      </c>
      <c r="J1501" s="2" t="s">
        <v>1275</v>
      </c>
      <c r="K1501" s="2"/>
    </row>
    <row r="1502" spans="1:11" x14ac:dyDescent="0.3">
      <c r="A1502" t="str">
        <f t="shared" si="23"/>
        <v>Yew|Dwp|JOB</v>
      </c>
      <c r="B1502" s="2" t="s">
        <v>713</v>
      </c>
      <c r="C1502" s="2" t="s">
        <v>1263</v>
      </c>
      <c r="D1502" s="2" t="s">
        <v>1272</v>
      </c>
      <c r="E1502" s="2" t="s">
        <v>18</v>
      </c>
      <c r="F1502" s="2" t="s">
        <v>1276</v>
      </c>
      <c r="G1502" s="8" t="str">
        <f>IF(ISNA(VLOOKUP(B1502&amp;"|"&amp;C1502&amp;"|"&amp;D1502&amp;"|"&amp;E1502,QuestionTriggers!A:F,6,FALSE)),"","---&gt;")</f>
        <v/>
      </c>
      <c r="H1502" s="2" t="s">
        <v>1273</v>
      </c>
      <c r="I1502" s="2" t="s">
        <v>1274</v>
      </c>
      <c r="J1502" s="2" t="s">
        <v>1275</v>
      </c>
      <c r="K1502" s="2"/>
    </row>
    <row r="1503" spans="1:11" ht="26.4" x14ac:dyDescent="0.3">
      <c r="A1503" t="str">
        <f t="shared" si="23"/>
        <v>Yew|Dwp|JUST</v>
      </c>
      <c r="B1503" s="2" t="s">
        <v>713</v>
      </c>
      <c r="C1503" s="2" t="s">
        <v>1263</v>
      </c>
      <c r="D1503" s="2" t="s">
        <v>1272</v>
      </c>
      <c r="E1503" s="2" t="s">
        <v>245</v>
      </c>
      <c r="F1503" s="2" t="s">
        <v>1277</v>
      </c>
      <c r="G1503" s="8" t="str">
        <f>IF(ISNA(VLOOKUP(B1503&amp;"|"&amp;C1503&amp;"|"&amp;D1503&amp;"|"&amp;E1503,QuestionTriggers!A:F,6,FALSE)),"","---&gt;")</f>
        <v/>
      </c>
      <c r="H1503" s="2" t="s">
        <v>1273</v>
      </c>
      <c r="I1503" s="2" t="s">
        <v>1274</v>
      </c>
      <c r="J1503" s="2" t="s">
        <v>1275</v>
      </c>
      <c r="K1503" s="2"/>
    </row>
    <row r="1504" spans="1:11" x14ac:dyDescent="0.3">
      <c r="A1504" t="str">
        <f t="shared" si="23"/>
        <v>Yew|Dwp|LOOK</v>
      </c>
      <c r="B1504" s="2" t="s">
        <v>713</v>
      </c>
      <c r="C1504" s="2" t="s">
        <v>1263</v>
      </c>
      <c r="D1504" s="2" t="s">
        <v>1272</v>
      </c>
      <c r="E1504" s="2" t="s">
        <v>16</v>
      </c>
      <c r="F1504" s="2" t="s">
        <v>448</v>
      </c>
      <c r="G1504" s="8" t="str">
        <f>IF(ISNA(VLOOKUP(B1504&amp;"|"&amp;C1504&amp;"|"&amp;D1504&amp;"|"&amp;E1504,QuestionTriggers!A:F,6,FALSE)),"","---&gt;")</f>
        <v/>
      </c>
      <c r="H1504" s="2" t="s">
        <v>1273</v>
      </c>
      <c r="I1504" s="2" t="s">
        <v>1274</v>
      </c>
      <c r="J1504" s="2" t="s">
        <v>1275</v>
      </c>
      <c r="K1504" s="2"/>
    </row>
    <row r="1505" spans="1:11" x14ac:dyDescent="0.3">
      <c r="A1505" t="str">
        <f t="shared" si="23"/>
        <v>Yew|Dwp|NAME</v>
      </c>
      <c r="B1505" s="2" t="s">
        <v>713</v>
      </c>
      <c r="C1505" s="2" t="s">
        <v>1263</v>
      </c>
      <c r="D1505" s="2" t="s">
        <v>1272</v>
      </c>
      <c r="E1505" s="2" t="s">
        <v>12</v>
      </c>
      <c r="F1505" s="2" t="s">
        <v>1272</v>
      </c>
      <c r="G1505" s="8" t="str">
        <f>IF(ISNA(VLOOKUP(B1505&amp;"|"&amp;C1505&amp;"|"&amp;D1505&amp;"|"&amp;E1505,QuestionTriggers!A:F,6,FALSE)),"","---&gt;")</f>
        <v/>
      </c>
      <c r="H1505" s="2" t="s">
        <v>1273</v>
      </c>
      <c r="I1505" s="2" t="s">
        <v>1274</v>
      </c>
      <c r="J1505" s="2" t="s">
        <v>1275</v>
      </c>
      <c r="K1505" s="2"/>
    </row>
    <row r="1506" spans="1:11" x14ac:dyDescent="0.3">
      <c r="A1506" t="str">
        <f t="shared" si="23"/>
        <v>Yew|Dwp|YEW</v>
      </c>
      <c r="B1506" s="2" t="s">
        <v>713</v>
      </c>
      <c r="C1506" s="2" t="s">
        <v>1263</v>
      </c>
      <c r="D1506" s="2" t="s">
        <v>1272</v>
      </c>
      <c r="E1506" s="2" t="s">
        <v>1094</v>
      </c>
      <c r="F1506" s="2" t="s">
        <v>1278</v>
      </c>
      <c r="G1506" s="8" t="str">
        <f>IF(ISNA(VLOOKUP(B1506&amp;"|"&amp;C1506&amp;"|"&amp;D1506&amp;"|"&amp;E1506,QuestionTriggers!A:F,6,FALSE)),"","---&gt;")</f>
        <v>---&gt;</v>
      </c>
      <c r="H1506" s="2" t="s">
        <v>1273</v>
      </c>
      <c r="I1506" s="2" t="s">
        <v>1274</v>
      </c>
      <c r="J1506" s="2" t="s">
        <v>1275</v>
      </c>
      <c r="K1506" s="2"/>
    </row>
    <row r="1507" spans="1:11" hidden="1" x14ac:dyDescent="0.3">
      <c r="A1507" t="str">
        <f t="shared" si="23"/>
        <v>Yew|Flamis|FABR</v>
      </c>
      <c r="B1507" s="2" t="s">
        <v>713</v>
      </c>
      <c r="C1507" s="2" t="s">
        <v>1263</v>
      </c>
      <c r="D1507" s="34" t="s">
        <v>1279</v>
      </c>
      <c r="E1507" s="34" t="s">
        <v>1287</v>
      </c>
      <c r="F1507" s="34" t="s">
        <v>1288</v>
      </c>
      <c r="G1507" s="8" t="str">
        <f>IF(ISNA(VLOOKUP(B1507&amp;"|"&amp;C1507&amp;"|"&amp;D1507&amp;"|"&amp;E1507,QuestionTriggers!A:F,6,FALSE)),"","---&gt;")</f>
        <v>---&gt;</v>
      </c>
      <c r="H1507" s="2" t="s">
        <v>1280</v>
      </c>
      <c r="I1507" s="2" t="s">
        <v>1281</v>
      </c>
      <c r="J1507" s="2" t="s">
        <v>1282</v>
      </c>
      <c r="K1507" s="2" t="s">
        <v>51</v>
      </c>
    </row>
    <row r="1508" spans="1:11" hidden="1" x14ac:dyDescent="0.3">
      <c r="A1508" t="str">
        <f t="shared" si="23"/>
        <v>Yew|Flamis|HEALTH</v>
      </c>
      <c r="B1508" s="2" t="s">
        <v>713</v>
      </c>
      <c r="C1508" s="2" t="s">
        <v>1263</v>
      </c>
      <c r="D1508" s="34" t="s">
        <v>1279</v>
      </c>
      <c r="E1508" s="34" t="s">
        <v>20</v>
      </c>
      <c r="F1508" s="34" t="s">
        <v>1285</v>
      </c>
      <c r="G1508" s="8" t="str">
        <f>IF(ISNA(VLOOKUP(B1508&amp;"|"&amp;C1508&amp;"|"&amp;D1508&amp;"|"&amp;E1508,QuestionTriggers!A:F,6,FALSE)),"","---&gt;")</f>
        <v/>
      </c>
      <c r="H1508" s="2" t="s">
        <v>1280</v>
      </c>
      <c r="I1508" s="2" t="s">
        <v>1281</v>
      </c>
      <c r="J1508" s="2" t="s">
        <v>1282</v>
      </c>
      <c r="K1508" s="2" t="s">
        <v>51</v>
      </c>
    </row>
    <row r="1509" spans="1:11" hidden="1" x14ac:dyDescent="0.3">
      <c r="A1509" t="str">
        <f t="shared" si="23"/>
        <v>Yew|Flamis|JOB</v>
      </c>
      <c r="B1509" s="2" t="s">
        <v>713</v>
      </c>
      <c r="C1509" s="2" t="s">
        <v>1263</v>
      </c>
      <c r="D1509" s="34" t="s">
        <v>1279</v>
      </c>
      <c r="E1509" s="34" t="s">
        <v>18</v>
      </c>
      <c r="F1509" s="34" t="s">
        <v>1284</v>
      </c>
      <c r="G1509" s="8" t="str">
        <f>IF(ISNA(VLOOKUP(B1509&amp;"|"&amp;C1509&amp;"|"&amp;D1509&amp;"|"&amp;E1509,QuestionTriggers!A:F,6,FALSE)),"","---&gt;")</f>
        <v/>
      </c>
      <c r="H1509" s="2" t="s">
        <v>1280</v>
      </c>
      <c r="I1509" s="2" t="s">
        <v>1281</v>
      </c>
      <c r="J1509" s="2" t="s">
        <v>1282</v>
      </c>
      <c r="K1509" s="2" t="s">
        <v>51</v>
      </c>
    </row>
    <row r="1510" spans="1:11" hidden="1" x14ac:dyDescent="0.3">
      <c r="A1510" t="str">
        <f t="shared" si="23"/>
        <v>Yew|Flamis|JUST</v>
      </c>
      <c r="B1510" s="2" t="s">
        <v>713</v>
      </c>
      <c r="C1510" s="2" t="s">
        <v>1263</v>
      </c>
      <c r="D1510" s="34" t="s">
        <v>1279</v>
      </c>
      <c r="E1510" s="34" t="s">
        <v>245</v>
      </c>
      <c r="F1510" s="34" t="s">
        <v>1286</v>
      </c>
      <c r="G1510" s="8" t="str">
        <f>IF(ISNA(VLOOKUP(B1510&amp;"|"&amp;C1510&amp;"|"&amp;D1510&amp;"|"&amp;E1510,QuestionTriggers!A:F,6,FALSE)),"","---&gt;")</f>
        <v/>
      </c>
      <c r="H1510" s="2" t="s">
        <v>1280</v>
      </c>
      <c r="I1510" s="2" t="s">
        <v>1281</v>
      </c>
      <c r="J1510" s="2" t="s">
        <v>1282</v>
      </c>
      <c r="K1510" s="2" t="s">
        <v>51</v>
      </c>
    </row>
    <row r="1511" spans="1:11" hidden="1" x14ac:dyDescent="0.3">
      <c r="A1511" t="str">
        <f t="shared" si="23"/>
        <v>Yew|Flamis|LOOK</v>
      </c>
      <c r="B1511" s="2" t="s">
        <v>713</v>
      </c>
      <c r="C1511" s="2" t="s">
        <v>1263</v>
      </c>
      <c r="D1511" s="34" t="s">
        <v>1279</v>
      </c>
      <c r="E1511" s="34" t="s">
        <v>16</v>
      </c>
      <c r="F1511" s="34" t="s">
        <v>1283</v>
      </c>
      <c r="G1511" s="8" t="str">
        <f>IF(ISNA(VLOOKUP(B1511&amp;"|"&amp;C1511&amp;"|"&amp;D1511&amp;"|"&amp;E1511,QuestionTriggers!A:F,6,FALSE)),"","---&gt;")</f>
        <v/>
      </c>
      <c r="H1511" s="2" t="s">
        <v>1280</v>
      </c>
      <c r="I1511" s="2" t="s">
        <v>1281</v>
      </c>
      <c r="J1511" s="2" t="s">
        <v>1282</v>
      </c>
      <c r="K1511" s="2" t="s">
        <v>51</v>
      </c>
    </row>
    <row r="1512" spans="1:11" hidden="1" x14ac:dyDescent="0.3">
      <c r="A1512" t="str">
        <f t="shared" si="23"/>
        <v>Yew|Flamis|NAME</v>
      </c>
      <c r="B1512" s="2" t="s">
        <v>713</v>
      </c>
      <c r="C1512" s="2" t="s">
        <v>1263</v>
      </c>
      <c r="D1512" s="34" t="s">
        <v>1279</v>
      </c>
      <c r="E1512" s="34" t="s">
        <v>12</v>
      </c>
      <c r="F1512" s="34" t="s">
        <v>1279</v>
      </c>
      <c r="G1512" s="8" t="str">
        <f>IF(ISNA(VLOOKUP(B1512&amp;"|"&amp;C1512&amp;"|"&amp;D1512&amp;"|"&amp;E1512,QuestionTriggers!A:F,6,FALSE)),"","---&gt;")</f>
        <v/>
      </c>
      <c r="H1512" s="2" t="s">
        <v>1280</v>
      </c>
      <c r="I1512" s="2" t="s">
        <v>1281</v>
      </c>
      <c r="J1512" s="2" t="s">
        <v>1282</v>
      </c>
      <c r="K1512" s="2" t="s">
        <v>51</v>
      </c>
    </row>
    <row r="1513" spans="1:11" ht="26.4" hidden="1" x14ac:dyDescent="0.3">
      <c r="A1513" t="str">
        <f t="shared" si="23"/>
        <v>Yew|Frida|BABY</v>
      </c>
      <c r="B1513" s="2" t="s">
        <v>713</v>
      </c>
      <c r="C1513" s="2" t="s">
        <v>1263</v>
      </c>
      <c r="D1513" s="34" t="s">
        <v>1336</v>
      </c>
      <c r="E1513" s="34" t="s">
        <v>1342</v>
      </c>
      <c r="F1513" s="34" t="s">
        <v>1343</v>
      </c>
      <c r="G1513" s="8" t="str">
        <f>IF(ISNA(VLOOKUP(B1513&amp;"|"&amp;C1513&amp;"|"&amp;D1513&amp;"|"&amp;E1513,QuestionTriggers!A:F,6,FALSE)),"","---&gt;")</f>
        <v/>
      </c>
      <c r="H1513" s="2" t="s">
        <v>1337</v>
      </c>
      <c r="I1513" s="2" t="s">
        <v>1338</v>
      </c>
      <c r="J1513" s="2" t="s">
        <v>1339</v>
      </c>
      <c r="K1513" s="2"/>
    </row>
    <row r="1514" spans="1:11" ht="26.4" x14ac:dyDescent="0.3">
      <c r="A1514" t="str">
        <f t="shared" si="23"/>
        <v>Yew|Frida|HEALTH</v>
      </c>
      <c r="B1514" s="2" t="s">
        <v>713</v>
      </c>
      <c r="C1514" s="2" t="s">
        <v>1263</v>
      </c>
      <c r="D1514" s="2" t="s">
        <v>1336</v>
      </c>
      <c r="E1514" s="2" t="s">
        <v>20</v>
      </c>
      <c r="F1514" s="2" t="s">
        <v>1341</v>
      </c>
      <c r="G1514" s="8" t="str">
        <f>IF(ISNA(VLOOKUP(B1514&amp;"|"&amp;C1514&amp;"|"&amp;D1514&amp;"|"&amp;E1514,QuestionTriggers!A:F,6,FALSE)),"","---&gt;")</f>
        <v/>
      </c>
      <c r="H1514" s="2" t="s">
        <v>1337</v>
      </c>
      <c r="I1514" s="2" t="s">
        <v>1338</v>
      </c>
      <c r="J1514" s="2" t="s">
        <v>1339</v>
      </c>
      <c r="K1514" s="2"/>
    </row>
    <row r="1515" spans="1:11" ht="26.4" x14ac:dyDescent="0.3">
      <c r="A1515" t="str">
        <f t="shared" si="23"/>
        <v>Yew|Frida|JOB</v>
      </c>
      <c r="B1515" s="2" t="s">
        <v>713</v>
      </c>
      <c r="C1515" s="2" t="s">
        <v>1263</v>
      </c>
      <c r="D1515" s="2" t="s">
        <v>1336</v>
      </c>
      <c r="E1515" s="2" t="s">
        <v>18</v>
      </c>
      <c r="F1515" s="6" t="s">
        <v>2532</v>
      </c>
      <c r="G1515" s="8" t="str">
        <f>IF(ISNA(VLOOKUP(B1515&amp;"|"&amp;C1515&amp;"|"&amp;D1515&amp;"|"&amp;E1515,QuestionTriggers!A:F,6,FALSE)),"","---&gt;")</f>
        <v/>
      </c>
      <c r="H1515" s="2" t="s">
        <v>1337</v>
      </c>
      <c r="I1515" s="2" t="s">
        <v>1338</v>
      </c>
      <c r="J1515" s="2" t="s">
        <v>1339</v>
      </c>
      <c r="K1515" s="2"/>
    </row>
    <row r="1516" spans="1:11" ht="26.4" hidden="1" x14ac:dyDescent="0.3">
      <c r="A1516" t="str">
        <f t="shared" si="23"/>
        <v>Yew|Frida|JUST</v>
      </c>
      <c r="B1516" s="2" t="s">
        <v>713</v>
      </c>
      <c r="C1516" s="2" t="s">
        <v>1263</v>
      </c>
      <c r="D1516" s="34" t="s">
        <v>1336</v>
      </c>
      <c r="E1516" s="34" t="s">
        <v>245</v>
      </c>
      <c r="F1516" s="34" t="s">
        <v>1344</v>
      </c>
      <c r="G1516" s="8" t="str">
        <f>IF(ISNA(VLOOKUP(B1516&amp;"|"&amp;C1516&amp;"|"&amp;D1516&amp;"|"&amp;E1516,QuestionTriggers!A:F,6,FALSE)),"","---&gt;")</f>
        <v>---&gt;</v>
      </c>
      <c r="H1516" s="2" t="s">
        <v>1337</v>
      </c>
      <c r="I1516" s="2" t="s">
        <v>1338</v>
      </c>
      <c r="J1516" s="2" t="s">
        <v>1339</v>
      </c>
      <c r="K1516" s="2"/>
    </row>
    <row r="1517" spans="1:11" ht="26.4" x14ac:dyDescent="0.3">
      <c r="A1517" t="str">
        <f t="shared" si="23"/>
        <v>Yew|Frida|LOOK</v>
      </c>
      <c r="B1517" s="2" t="s">
        <v>713</v>
      </c>
      <c r="C1517" s="2" t="s">
        <v>1263</v>
      </c>
      <c r="D1517" s="2" t="s">
        <v>1336</v>
      </c>
      <c r="E1517" s="2" t="s">
        <v>16</v>
      </c>
      <c r="F1517" s="2" t="s">
        <v>1340</v>
      </c>
      <c r="G1517" s="8" t="str">
        <f>IF(ISNA(VLOOKUP(B1517&amp;"|"&amp;C1517&amp;"|"&amp;D1517&amp;"|"&amp;E1517,QuestionTriggers!A:F,6,FALSE)),"","---&gt;")</f>
        <v/>
      </c>
      <c r="H1517" s="2" t="s">
        <v>1337</v>
      </c>
      <c r="I1517" s="2" t="s">
        <v>1338</v>
      </c>
      <c r="J1517" s="2" t="s">
        <v>1339</v>
      </c>
      <c r="K1517" s="2"/>
    </row>
    <row r="1518" spans="1:11" ht="26.4" x14ac:dyDescent="0.3">
      <c r="A1518" t="str">
        <f t="shared" si="23"/>
        <v>Yew|Frida|NAME</v>
      </c>
      <c r="B1518" s="2" t="s">
        <v>713</v>
      </c>
      <c r="C1518" s="2" t="s">
        <v>1263</v>
      </c>
      <c r="D1518" s="2" t="s">
        <v>1336</v>
      </c>
      <c r="E1518" s="2" t="s">
        <v>12</v>
      </c>
      <c r="F1518" s="2" t="s">
        <v>1336</v>
      </c>
      <c r="G1518" s="8" t="str">
        <f>IF(ISNA(VLOOKUP(B1518&amp;"|"&amp;C1518&amp;"|"&amp;D1518&amp;"|"&amp;E1518,QuestionTriggers!A:F,6,FALSE)),"","---&gt;")</f>
        <v/>
      </c>
      <c r="H1518" s="2" t="s">
        <v>1337</v>
      </c>
      <c r="I1518" s="2" t="s">
        <v>1338</v>
      </c>
      <c r="J1518" s="2" t="s">
        <v>1339</v>
      </c>
      <c r="K1518" s="2"/>
    </row>
    <row r="1519" spans="1:11" x14ac:dyDescent="0.3">
      <c r="A1519" t="str">
        <f t="shared" si="23"/>
        <v>Yew|Guard|HEALTH</v>
      </c>
      <c r="B1519" s="2" t="s">
        <v>713</v>
      </c>
      <c r="C1519" s="2" t="s">
        <v>1263</v>
      </c>
      <c r="D1519" s="2" t="s">
        <v>337</v>
      </c>
      <c r="E1519" s="2" t="s">
        <v>20</v>
      </c>
      <c r="F1519" s="2" t="s">
        <v>946</v>
      </c>
      <c r="G1519" s="8" t="str">
        <f>IF(ISNA(VLOOKUP(B1519&amp;"|"&amp;C1519&amp;"|"&amp;D1519&amp;"|"&amp;E1519,QuestionTriggers!A:F,6,FALSE)),"","---&gt;")</f>
        <v/>
      </c>
      <c r="H1519" s="2" t="s">
        <v>1373</v>
      </c>
      <c r="I1519" s="2" t="s">
        <v>1374</v>
      </c>
      <c r="J1519" s="2" t="s">
        <v>1375</v>
      </c>
      <c r="K1519" s="2" t="s">
        <v>51</v>
      </c>
    </row>
    <row r="1520" spans="1:11" x14ac:dyDescent="0.3">
      <c r="A1520" t="str">
        <f t="shared" si="23"/>
        <v>Yew|Guard|JOB</v>
      </c>
      <c r="B1520" s="2" t="s">
        <v>713</v>
      </c>
      <c r="C1520" s="2" t="s">
        <v>1263</v>
      </c>
      <c r="D1520" s="2" t="s">
        <v>337</v>
      </c>
      <c r="E1520" s="2" t="s">
        <v>18</v>
      </c>
      <c r="F1520" s="2" t="s">
        <v>1377</v>
      </c>
      <c r="G1520" s="8" t="str">
        <f>IF(ISNA(VLOOKUP(B1520&amp;"|"&amp;C1520&amp;"|"&amp;D1520&amp;"|"&amp;E1520,QuestionTriggers!A:F,6,FALSE)),"","---&gt;")</f>
        <v/>
      </c>
      <c r="H1520" s="2" t="s">
        <v>1373</v>
      </c>
      <c r="I1520" s="2" t="s">
        <v>1374</v>
      </c>
      <c r="J1520" s="2" t="s">
        <v>1375</v>
      </c>
      <c r="K1520" s="2" t="s">
        <v>51</v>
      </c>
    </row>
    <row r="1521" spans="1:11" x14ac:dyDescent="0.3">
      <c r="A1521" t="str">
        <f t="shared" si="23"/>
        <v>Yew|Guard|JUST</v>
      </c>
      <c r="B1521" s="2" t="s">
        <v>713</v>
      </c>
      <c r="C1521" s="2" t="s">
        <v>1263</v>
      </c>
      <c r="D1521" s="2" t="s">
        <v>337</v>
      </c>
      <c r="E1521" s="2" t="s">
        <v>245</v>
      </c>
      <c r="F1521" s="2" t="s">
        <v>1379</v>
      </c>
      <c r="G1521" s="8" t="str">
        <f>IF(ISNA(VLOOKUP(B1521&amp;"|"&amp;C1521&amp;"|"&amp;D1521&amp;"|"&amp;E1521,QuestionTriggers!A:F,6,FALSE)),"","---&gt;")</f>
        <v>---&gt;</v>
      </c>
      <c r="H1521" s="2" t="s">
        <v>1373</v>
      </c>
      <c r="I1521" s="2" t="s">
        <v>1374</v>
      </c>
      <c r="J1521" s="2" t="s">
        <v>1375</v>
      </c>
      <c r="K1521" s="2" t="s">
        <v>51</v>
      </c>
    </row>
    <row r="1522" spans="1:11" x14ac:dyDescent="0.3">
      <c r="A1522" t="str">
        <f t="shared" si="23"/>
        <v>Yew|Guard|LOOK</v>
      </c>
      <c r="B1522" s="2" t="s">
        <v>713</v>
      </c>
      <c r="C1522" s="2" t="s">
        <v>1263</v>
      </c>
      <c r="D1522" s="2" t="s">
        <v>337</v>
      </c>
      <c r="E1522" s="2" t="s">
        <v>16</v>
      </c>
      <c r="F1522" s="2" t="s">
        <v>1376</v>
      </c>
      <c r="G1522" s="8" t="str">
        <f>IF(ISNA(VLOOKUP(B1522&amp;"|"&amp;C1522&amp;"|"&amp;D1522&amp;"|"&amp;E1522,QuestionTriggers!A:F,6,FALSE)),"","---&gt;")</f>
        <v/>
      </c>
      <c r="H1522" s="2" t="s">
        <v>1373</v>
      </c>
      <c r="I1522" s="2" t="s">
        <v>1374</v>
      </c>
      <c r="J1522" s="2" t="s">
        <v>1375</v>
      </c>
      <c r="K1522" s="2" t="s">
        <v>51</v>
      </c>
    </row>
    <row r="1523" spans="1:11" x14ac:dyDescent="0.3">
      <c r="A1523" t="str">
        <f t="shared" si="23"/>
        <v>Yew|Guard|NAME</v>
      </c>
      <c r="B1523" s="2" t="s">
        <v>713</v>
      </c>
      <c r="C1523" s="2" t="s">
        <v>1263</v>
      </c>
      <c r="D1523" s="2" t="s">
        <v>337</v>
      </c>
      <c r="E1523" s="2" t="s">
        <v>12</v>
      </c>
      <c r="F1523" s="2" t="s">
        <v>27</v>
      </c>
      <c r="G1523" s="8" t="str">
        <f>IF(ISNA(VLOOKUP(B1523&amp;"|"&amp;C1523&amp;"|"&amp;D1523&amp;"|"&amp;E1523,QuestionTriggers!A:F,6,FALSE)),"","---&gt;")</f>
        <v/>
      </c>
      <c r="H1523" s="2" t="s">
        <v>1373</v>
      </c>
      <c r="I1523" s="2" t="s">
        <v>1374</v>
      </c>
      <c r="J1523" s="2" t="s">
        <v>1375</v>
      </c>
      <c r="K1523" s="2" t="s">
        <v>51</v>
      </c>
    </row>
    <row r="1524" spans="1:11" x14ac:dyDescent="0.3">
      <c r="A1524" t="str">
        <f t="shared" si="23"/>
        <v>Yew|Guard|PEAC</v>
      </c>
      <c r="B1524" s="2" t="s">
        <v>713</v>
      </c>
      <c r="C1524" s="2" t="s">
        <v>1263</v>
      </c>
      <c r="D1524" s="2" t="s">
        <v>337</v>
      </c>
      <c r="E1524" s="2" t="s">
        <v>173</v>
      </c>
      <c r="F1524" s="2" t="s">
        <v>1378</v>
      </c>
      <c r="G1524" s="8" t="str">
        <f>IF(ISNA(VLOOKUP(B1524&amp;"|"&amp;C1524&amp;"|"&amp;D1524&amp;"|"&amp;E1524,QuestionTriggers!A:F,6,FALSE)),"","---&gt;")</f>
        <v/>
      </c>
      <c r="H1524" s="2" t="s">
        <v>1373</v>
      </c>
      <c r="I1524" s="2" t="s">
        <v>1374</v>
      </c>
      <c r="J1524" s="2" t="s">
        <v>1375</v>
      </c>
      <c r="K1524" s="2" t="s">
        <v>51</v>
      </c>
    </row>
    <row r="1525" spans="1:11" ht="26.4" x14ac:dyDescent="0.3">
      <c r="A1525" t="str">
        <f t="shared" si="23"/>
        <v>Yew|Jaana|HEALTH</v>
      </c>
      <c r="B1525" s="2" t="s">
        <v>713</v>
      </c>
      <c r="C1525" s="2" t="s">
        <v>1263</v>
      </c>
      <c r="D1525" s="2" t="s">
        <v>1264</v>
      </c>
      <c r="E1525" s="2" t="s">
        <v>20</v>
      </c>
      <c r="F1525" s="2" t="s">
        <v>181</v>
      </c>
      <c r="G1525" s="8" t="str">
        <f>IF(ISNA(VLOOKUP(B1525&amp;"|"&amp;C1525&amp;"|"&amp;D1525&amp;"|"&amp;E1525,QuestionTriggers!A:F,6,FALSE)),"","---&gt;")</f>
        <v/>
      </c>
      <c r="H1525" s="2" t="s">
        <v>1265</v>
      </c>
      <c r="I1525" s="2" t="s">
        <v>1266</v>
      </c>
      <c r="J1525" s="2" t="s">
        <v>197</v>
      </c>
      <c r="K1525" s="2"/>
    </row>
    <row r="1526" spans="1:11" ht="26.4" x14ac:dyDescent="0.3">
      <c r="A1526" t="str">
        <f t="shared" si="23"/>
        <v>Yew|Jaana|JOB</v>
      </c>
      <c r="B1526" s="2" t="s">
        <v>713</v>
      </c>
      <c r="C1526" s="2" t="s">
        <v>1263</v>
      </c>
      <c r="D1526" s="2" t="s">
        <v>1264</v>
      </c>
      <c r="E1526" s="2" t="s">
        <v>18</v>
      </c>
      <c r="F1526" s="2" t="s">
        <v>1268</v>
      </c>
      <c r="G1526" s="8" t="str">
        <f>IF(ISNA(VLOOKUP(B1526&amp;"|"&amp;C1526&amp;"|"&amp;D1526&amp;"|"&amp;E1526,QuestionTriggers!A:F,6,FALSE)),"","---&gt;")</f>
        <v/>
      </c>
      <c r="H1526" s="2" t="s">
        <v>1265</v>
      </c>
      <c r="I1526" s="2" t="s">
        <v>1266</v>
      </c>
      <c r="J1526" s="2" t="s">
        <v>197</v>
      </c>
      <c r="K1526" s="2"/>
    </row>
    <row r="1527" spans="1:11" ht="26.4" x14ac:dyDescent="0.3">
      <c r="A1527" t="str">
        <f t="shared" si="23"/>
        <v>Yew|Jaana|JUST</v>
      </c>
      <c r="B1527" s="2" t="s">
        <v>713</v>
      </c>
      <c r="C1527" s="2" t="s">
        <v>1263</v>
      </c>
      <c r="D1527" s="2" t="s">
        <v>1264</v>
      </c>
      <c r="E1527" s="2" t="s">
        <v>245</v>
      </c>
      <c r="F1527" s="2" t="s">
        <v>1269</v>
      </c>
      <c r="G1527" s="8" t="str">
        <f>IF(ISNA(VLOOKUP(B1527&amp;"|"&amp;C1527&amp;"|"&amp;D1527&amp;"|"&amp;E1527,QuestionTriggers!A:F,6,FALSE)),"","---&gt;")</f>
        <v/>
      </c>
      <c r="H1527" s="2" t="s">
        <v>1265</v>
      </c>
      <c r="I1527" s="2" t="s">
        <v>1266</v>
      </c>
      <c r="J1527" s="2" t="s">
        <v>197</v>
      </c>
      <c r="K1527" s="2"/>
    </row>
    <row r="1528" spans="1:11" ht="26.4" x14ac:dyDescent="0.3">
      <c r="A1528" t="str">
        <f t="shared" si="23"/>
        <v>Yew|Jaana|LOOK</v>
      </c>
      <c r="B1528" s="2" t="s">
        <v>713</v>
      </c>
      <c r="C1528" s="2" t="s">
        <v>1263</v>
      </c>
      <c r="D1528" s="2" t="s">
        <v>1264</v>
      </c>
      <c r="E1528" s="2" t="s">
        <v>16</v>
      </c>
      <c r="F1528" s="2" t="s">
        <v>1267</v>
      </c>
      <c r="G1528" s="8" t="str">
        <f>IF(ISNA(VLOOKUP(B1528&amp;"|"&amp;C1528&amp;"|"&amp;D1528&amp;"|"&amp;E1528,QuestionTriggers!A:F,6,FALSE)),"","---&gt;")</f>
        <v/>
      </c>
      <c r="H1528" s="2" t="s">
        <v>1265</v>
      </c>
      <c r="I1528" s="2" t="s">
        <v>1266</v>
      </c>
      <c r="J1528" s="2" t="s">
        <v>197</v>
      </c>
      <c r="K1528" s="2"/>
    </row>
    <row r="1529" spans="1:11" ht="26.4" x14ac:dyDescent="0.3">
      <c r="A1529" t="str">
        <f t="shared" si="23"/>
        <v>Yew|Jaana|NAME</v>
      </c>
      <c r="B1529" s="2" t="s">
        <v>713</v>
      </c>
      <c r="C1529" s="2" t="s">
        <v>1263</v>
      </c>
      <c r="D1529" s="2" t="s">
        <v>1264</v>
      </c>
      <c r="E1529" s="2" t="s">
        <v>12</v>
      </c>
      <c r="F1529" s="2" t="s">
        <v>1264</v>
      </c>
      <c r="G1529" s="8" t="str">
        <f>IF(ISNA(VLOOKUP(B1529&amp;"|"&amp;C1529&amp;"|"&amp;D1529&amp;"|"&amp;E1529,QuestionTriggers!A:F,6,FALSE)),"","---&gt;")</f>
        <v/>
      </c>
      <c r="H1529" s="2" t="s">
        <v>1265</v>
      </c>
      <c r="I1529" s="2" t="s">
        <v>1266</v>
      </c>
      <c r="J1529" s="2" t="s">
        <v>197</v>
      </c>
      <c r="K1529" s="2"/>
    </row>
    <row r="1530" spans="1:11" ht="26.4" x14ac:dyDescent="0.3">
      <c r="A1530" t="str">
        <f t="shared" si="23"/>
        <v>Yew|Jaana|UNDE</v>
      </c>
      <c r="B1530" s="2" t="s">
        <v>713</v>
      </c>
      <c r="C1530" s="2" t="s">
        <v>1263</v>
      </c>
      <c r="D1530" s="2" t="s">
        <v>1264</v>
      </c>
      <c r="E1530" s="2" t="s">
        <v>1270</v>
      </c>
      <c r="F1530" s="2" t="s">
        <v>1271</v>
      </c>
      <c r="G1530" s="8" t="str">
        <f>IF(ISNA(VLOOKUP(B1530&amp;"|"&amp;C1530&amp;"|"&amp;D1530&amp;"|"&amp;E1530,QuestionTriggers!A:F,6,FALSE)),"","---&gt;")</f>
        <v>---&gt;</v>
      </c>
      <c r="H1530" s="2" t="s">
        <v>1265</v>
      </c>
      <c r="I1530" s="2" t="s">
        <v>1266</v>
      </c>
      <c r="J1530" s="2" t="s">
        <v>197</v>
      </c>
      <c r="K1530" s="2"/>
    </row>
    <row r="1531" spans="1:11" ht="26.4" x14ac:dyDescent="0.3">
      <c r="A1531" t="str">
        <f t="shared" si="23"/>
        <v>Yew|Jail Guard|FELO</v>
      </c>
      <c r="B1531" s="2" t="s">
        <v>713</v>
      </c>
      <c r="C1531" s="2" t="s">
        <v>1263</v>
      </c>
      <c r="D1531" s="2" t="s">
        <v>1389</v>
      </c>
      <c r="E1531" s="2" t="s">
        <v>1324</v>
      </c>
      <c r="F1531" s="6" t="s">
        <v>2529</v>
      </c>
      <c r="G1531" s="8" t="str">
        <f>IF(ISNA(VLOOKUP(B1531&amp;"|"&amp;C1531&amp;"|"&amp;D1531&amp;"|"&amp;E1531,QuestionTriggers!A:F,6,FALSE)),"","---&gt;")</f>
        <v>---&gt;</v>
      </c>
      <c r="H1531" s="2" t="s">
        <v>1390</v>
      </c>
      <c r="I1531" s="2" t="s">
        <v>1391</v>
      </c>
      <c r="J1531" s="2" t="s">
        <v>1392</v>
      </c>
      <c r="K1531" s="2"/>
    </row>
    <row r="1532" spans="1:11" ht="26.4" x14ac:dyDescent="0.3">
      <c r="A1532" t="str">
        <f t="shared" si="23"/>
        <v>Yew|Jail Guard|HEALTH</v>
      </c>
      <c r="B1532" s="2" t="s">
        <v>713</v>
      </c>
      <c r="C1532" s="2" t="s">
        <v>1263</v>
      </c>
      <c r="D1532" s="2" t="s">
        <v>1389</v>
      </c>
      <c r="E1532" s="2" t="s">
        <v>20</v>
      </c>
      <c r="F1532" s="2" t="s">
        <v>1395</v>
      </c>
      <c r="G1532" s="8" t="str">
        <f>IF(ISNA(VLOOKUP(B1532&amp;"|"&amp;C1532&amp;"|"&amp;D1532&amp;"|"&amp;E1532,QuestionTriggers!A:F,6,FALSE)),"","---&gt;")</f>
        <v/>
      </c>
      <c r="H1532" s="2" t="s">
        <v>1390</v>
      </c>
      <c r="I1532" s="2" t="s">
        <v>1391</v>
      </c>
      <c r="J1532" s="2" t="s">
        <v>1392</v>
      </c>
      <c r="K1532" s="2"/>
    </row>
    <row r="1533" spans="1:11" ht="26.4" x14ac:dyDescent="0.3">
      <c r="A1533" t="str">
        <f t="shared" si="23"/>
        <v>Yew|Jail Guard|JOB</v>
      </c>
      <c r="B1533" s="2" t="s">
        <v>713</v>
      </c>
      <c r="C1533" s="2" t="s">
        <v>1263</v>
      </c>
      <c r="D1533" s="2" t="s">
        <v>1389</v>
      </c>
      <c r="E1533" s="2" t="s">
        <v>18</v>
      </c>
      <c r="F1533" s="2" t="s">
        <v>1394</v>
      </c>
      <c r="G1533" s="8" t="str">
        <f>IF(ISNA(VLOOKUP(B1533&amp;"|"&amp;C1533&amp;"|"&amp;D1533&amp;"|"&amp;E1533,QuestionTriggers!A:F,6,FALSE)),"","---&gt;")</f>
        <v/>
      </c>
      <c r="H1533" s="2" t="s">
        <v>1390</v>
      </c>
      <c r="I1533" s="2" t="s">
        <v>1391</v>
      </c>
      <c r="J1533" s="2" t="s">
        <v>1392</v>
      </c>
      <c r="K1533" s="2"/>
    </row>
    <row r="1534" spans="1:11" ht="26.4" x14ac:dyDescent="0.3">
      <c r="A1534" t="str">
        <f t="shared" si="23"/>
        <v>Yew|Jail Guard|LOOK</v>
      </c>
      <c r="B1534" s="2" t="s">
        <v>713</v>
      </c>
      <c r="C1534" s="2" t="s">
        <v>1263</v>
      </c>
      <c r="D1534" s="2" t="s">
        <v>1389</v>
      </c>
      <c r="E1534" s="2" t="s">
        <v>16</v>
      </c>
      <c r="F1534" s="2" t="s">
        <v>1393</v>
      </c>
      <c r="G1534" s="8" t="str">
        <f>IF(ISNA(VLOOKUP(B1534&amp;"|"&amp;C1534&amp;"|"&amp;D1534&amp;"|"&amp;E1534,QuestionTriggers!A:F,6,FALSE)),"","---&gt;")</f>
        <v/>
      </c>
      <c r="H1534" s="2" t="s">
        <v>1390</v>
      </c>
      <c r="I1534" s="2" t="s">
        <v>1391</v>
      </c>
      <c r="J1534" s="2" t="s">
        <v>1392</v>
      </c>
      <c r="K1534" s="2"/>
    </row>
    <row r="1535" spans="1:11" ht="26.4" x14ac:dyDescent="0.3">
      <c r="A1535" t="str">
        <f t="shared" si="23"/>
        <v>Yew|Jail Guard|MISD</v>
      </c>
      <c r="B1535" s="2" t="s">
        <v>713</v>
      </c>
      <c r="C1535" s="2" t="s">
        <v>1263</v>
      </c>
      <c r="D1535" s="2" t="s">
        <v>1389</v>
      </c>
      <c r="E1535" s="2" t="s">
        <v>1396</v>
      </c>
      <c r="F1535" s="6" t="s">
        <v>2528</v>
      </c>
      <c r="G1535" s="8" t="str">
        <f>IF(ISNA(VLOOKUP(B1535&amp;"|"&amp;C1535&amp;"|"&amp;D1535&amp;"|"&amp;E1535,QuestionTriggers!A:F,6,FALSE)),"","---&gt;")</f>
        <v/>
      </c>
      <c r="H1535" s="2" t="s">
        <v>1390</v>
      </c>
      <c r="I1535" s="2" t="s">
        <v>1391</v>
      </c>
      <c r="J1535" s="2" t="s">
        <v>1392</v>
      </c>
      <c r="K1535" s="2"/>
    </row>
    <row r="1536" spans="1:11" ht="26.4" x14ac:dyDescent="0.3">
      <c r="A1536" t="str">
        <f t="shared" si="23"/>
        <v>Yew|Jail Guard|NAME</v>
      </c>
      <c r="B1536" s="2" t="s">
        <v>713</v>
      </c>
      <c r="C1536" s="2" t="s">
        <v>1263</v>
      </c>
      <c r="D1536" s="2" t="s">
        <v>1389</v>
      </c>
      <c r="E1536" s="2" t="s">
        <v>12</v>
      </c>
      <c r="F1536" s="2" t="s">
        <v>27</v>
      </c>
      <c r="G1536" s="8" t="str">
        <f>IF(ISNA(VLOOKUP(B1536&amp;"|"&amp;C1536&amp;"|"&amp;D1536&amp;"|"&amp;E1536,QuestionTriggers!A:F,6,FALSE)),"","---&gt;")</f>
        <v/>
      </c>
      <c r="H1536" s="2" t="s">
        <v>1390</v>
      </c>
      <c r="I1536" s="2" t="s">
        <v>1391</v>
      </c>
      <c r="J1536" s="2" t="s">
        <v>1392</v>
      </c>
      <c r="K1536" s="2"/>
    </row>
    <row r="1537" spans="1:11" x14ac:dyDescent="0.3">
      <c r="A1537" t="str">
        <f t="shared" si="23"/>
        <v>Yew|Pinrod|COUN</v>
      </c>
      <c r="B1537" s="2" t="s">
        <v>713</v>
      </c>
      <c r="C1537" s="2" t="s">
        <v>1263</v>
      </c>
      <c r="D1537" s="2" t="s">
        <v>1289</v>
      </c>
      <c r="E1537" s="2" t="s">
        <v>163</v>
      </c>
      <c r="F1537" s="2" t="s">
        <v>1295</v>
      </c>
      <c r="G1537" s="8" t="str">
        <f>IF(ISNA(VLOOKUP(B1537&amp;"|"&amp;C1537&amp;"|"&amp;D1537&amp;"|"&amp;E1537,QuestionTriggers!A:F,6,FALSE)),"","---&gt;")</f>
        <v/>
      </c>
      <c r="H1537" s="2" t="s">
        <v>1290</v>
      </c>
      <c r="I1537" s="2" t="s">
        <v>1291</v>
      </c>
      <c r="J1537" s="2" t="s">
        <v>1292</v>
      </c>
      <c r="K1537" s="2"/>
    </row>
    <row r="1538" spans="1:11" x14ac:dyDescent="0.3">
      <c r="A1538" t="str">
        <f t="shared" si="23"/>
        <v>Yew|Pinrod|HEALTH</v>
      </c>
      <c r="B1538" s="2" t="s">
        <v>713</v>
      </c>
      <c r="C1538" s="2" t="s">
        <v>1263</v>
      </c>
      <c r="D1538" s="2" t="s">
        <v>1289</v>
      </c>
      <c r="E1538" s="2" t="s">
        <v>20</v>
      </c>
      <c r="F1538" s="2" t="s">
        <v>189</v>
      </c>
      <c r="G1538" s="8" t="str">
        <f>IF(ISNA(VLOOKUP(B1538&amp;"|"&amp;C1538&amp;"|"&amp;D1538&amp;"|"&amp;E1538,QuestionTriggers!A:F,6,FALSE)),"","---&gt;")</f>
        <v/>
      </c>
      <c r="H1538" s="2" t="s">
        <v>1290</v>
      </c>
      <c r="I1538" s="2" t="s">
        <v>1291</v>
      </c>
      <c r="J1538" s="2" t="s">
        <v>1292</v>
      </c>
      <c r="K1538" s="2"/>
    </row>
    <row r="1539" spans="1:11" x14ac:dyDescent="0.3">
      <c r="A1539" t="str">
        <f t="shared" ref="A1539:A1602" si="24">C1539&amp;"|"&amp;D1539&amp;"|"&amp;E1539</f>
        <v>Yew|Pinrod|JOB</v>
      </c>
      <c r="B1539" s="2" t="s">
        <v>713</v>
      </c>
      <c r="C1539" s="2" t="s">
        <v>1263</v>
      </c>
      <c r="D1539" s="2" t="s">
        <v>1289</v>
      </c>
      <c r="E1539" s="2" t="s">
        <v>18</v>
      </c>
      <c r="F1539" s="2" t="s">
        <v>1294</v>
      </c>
      <c r="G1539" s="8" t="str">
        <f>IF(ISNA(VLOOKUP(B1539&amp;"|"&amp;C1539&amp;"|"&amp;D1539&amp;"|"&amp;E1539,QuestionTriggers!A:F,6,FALSE)),"","---&gt;")</f>
        <v/>
      </c>
      <c r="H1539" s="2" t="s">
        <v>1290</v>
      </c>
      <c r="I1539" s="2" t="s">
        <v>1291</v>
      </c>
      <c r="J1539" s="2" t="s">
        <v>1292</v>
      </c>
      <c r="K1539" s="2"/>
    </row>
    <row r="1540" spans="1:11" ht="26.4" x14ac:dyDescent="0.3">
      <c r="A1540" t="str">
        <f t="shared" si="24"/>
        <v>Yew|Pinrod|JUST</v>
      </c>
      <c r="B1540" s="2" t="s">
        <v>713</v>
      </c>
      <c r="C1540" s="2" t="s">
        <v>1263</v>
      </c>
      <c r="D1540" s="2" t="s">
        <v>1289</v>
      </c>
      <c r="E1540" s="2" t="s">
        <v>245</v>
      </c>
      <c r="F1540" s="2" t="s">
        <v>1296</v>
      </c>
      <c r="G1540" s="8" t="str">
        <f>IF(ISNA(VLOOKUP(B1540&amp;"|"&amp;C1540&amp;"|"&amp;D1540&amp;"|"&amp;E1540,QuestionTriggers!A:F,6,FALSE)),"","---&gt;")</f>
        <v>---&gt;</v>
      </c>
      <c r="H1540" s="2" t="s">
        <v>1290</v>
      </c>
      <c r="I1540" s="2" t="s">
        <v>1291</v>
      </c>
      <c r="J1540" s="2" t="s">
        <v>1292</v>
      </c>
      <c r="K1540" s="2"/>
    </row>
    <row r="1541" spans="1:11" x14ac:dyDescent="0.3">
      <c r="A1541" t="str">
        <f t="shared" si="24"/>
        <v>Yew|Pinrod|LOOK</v>
      </c>
      <c r="B1541" s="2" t="s">
        <v>713</v>
      </c>
      <c r="C1541" s="2" t="s">
        <v>1263</v>
      </c>
      <c r="D1541" s="2" t="s">
        <v>1289</v>
      </c>
      <c r="E1541" s="2" t="s">
        <v>16</v>
      </c>
      <c r="F1541" s="2" t="s">
        <v>1293</v>
      </c>
      <c r="G1541" s="8" t="str">
        <f>IF(ISNA(VLOOKUP(B1541&amp;"|"&amp;C1541&amp;"|"&amp;D1541&amp;"|"&amp;E1541,QuestionTriggers!A:F,6,FALSE)),"","---&gt;")</f>
        <v/>
      </c>
      <c r="H1541" s="2" t="s">
        <v>1290</v>
      </c>
      <c r="I1541" s="2" t="s">
        <v>1291</v>
      </c>
      <c r="J1541" s="2" t="s">
        <v>1292</v>
      </c>
      <c r="K1541" s="2"/>
    </row>
    <row r="1542" spans="1:11" x14ac:dyDescent="0.3">
      <c r="A1542" t="str">
        <f t="shared" si="24"/>
        <v>Yew|Pinrod|NAME</v>
      </c>
      <c r="B1542" s="2" t="s">
        <v>713</v>
      </c>
      <c r="C1542" s="2" t="s">
        <v>1263</v>
      </c>
      <c r="D1542" s="2" t="s">
        <v>1289</v>
      </c>
      <c r="E1542" s="2" t="s">
        <v>12</v>
      </c>
      <c r="F1542" s="2" t="s">
        <v>1289</v>
      </c>
      <c r="G1542" s="8" t="str">
        <f>IF(ISNA(VLOOKUP(B1542&amp;"|"&amp;C1542&amp;"|"&amp;D1542&amp;"|"&amp;E1542,QuestionTriggers!A:F,6,FALSE)),"","---&gt;")</f>
        <v/>
      </c>
      <c r="H1542" s="2" t="s">
        <v>1290</v>
      </c>
      <c r="I1542" s="2" t="s">
        <v>1291</v>
      </c>
      <c r="J1542" s="2" t="s">
        <v>1292</v>
      </c>
      <c r="K1542" s="2"/>
    </row>
    <row r="1543" spans="1:11" x14ac:dyDescent="0.3">
      <c r="A1543" t="str">
        <f t="shared" si="24"/>
        <v>Yew|Ranger Rick|HEALTH</v>
      </c>
      <c r="B1543" s="2" t="s">
        <v>713</v>
      </c>
      <c r="C1543" s="2" t="s">
        <v>1263</v>
      </c>
      <c r="D1543" s="21" t="s">
        <v>2534</v>
      </c>
      <c r="E1543" s="2" t="s">
        <v>20</v>
      </c>
      <c r="F1543" s="2" t="s">
        <v>946</v>
      </c>
      <c r="G1543" s="8" t="str">
        <f>IF(ISNA(VLOOKUP(B1543&amp;"|"&amp;C1543&amp;"|"&amp;D1543&amp;"|"&amp;E1543,QuestionTriggers!A:F,6,FALSE)),"","---&gt;")</f>
        <v/>
      </c>
      <c r="H1543" s="2" t="s">
        <v>1355</v>
      </c>
      <c r="I1543" s="2" t="s">
        <v>1356</v>
      </c>
      <c r="J1543" s="2" t="s">
        <v>1357</v>
      </c>
      <c r="K1543" s="2"/>
    </row>
    <row r="1544" spans="1:11" x14ac:dyDescent="0.3">
      <c r="A1544" t="str">
        <f t="shared" si="24"/>
        <v>Yew|Ranger Rick|HOME</v>
      </c>
      <c r="B1544" s="2" t="s">
        <v>713</v>
      </c>
      <c r="C1544" s="2" t="s">
        <v>1263</v>
      </c>
      <c r="D1544" s="21" t="s">
        <v>2534</v>
      </c>
      <c r="E1544" s="2" t="s">
        <v>1360</v>
      </c>
      <c r="F1544" s="2" t="s">
        <v>1361</v>
      </c>
      <c r="G1544" s="8" t="str">
        <f>IF(ISNA(VLOOKUP(B1544&amp;"|"&amp;C1544&amp;"|"&amp;D1544&amp;"|"&amp;E1544,QuestionTriggers!A:F,6,FALSE)),"","---&gt;")</f>
        <v/>
      </c>
      <c r="H1544" s="2" t="s">
        <v>1355</v>
      </c>
      <c r="I1544" s="2" t="s">
        <v>1356</v>
      </c>
      <c r="J1544" s="2" t="s">
        <v>1357</v>
      </c>
      <c r="K1544" s="2"/>
    </row>
    <row r="1545" spans="1:11" x14ac:dyDescent="0.3">
      <c r="A1545" t="str">
        <f t="shared" si="24"/>
        <v>Yew|Ranger Rick|JOB</v>
      </c>
      <c r="B1545" s="2" t="s">
        <v>713</v>
      </c>
      <c r="C1545" s="2" t="s">
        <v>1263</v>
      </c>
      <c r="D1545" s="21" t="s">
        <v>2534</v>
      </c>
      <c r="E1545" s="2" t="s">
        <v>18</v>
      </c>
      <c r="F1545" s="2" t="s">
        <v>1359</v>
      </c>
      <c r="G1545" s="8" t="str">
        <f>IF(ISNA(VLOOKUP(B1545&amp;"|"&amp;C1545&amp;"|"&amp;D1545&amp;"|"&amp;E1545,QuestionTriggers!A:F,6,FALSE)),"","---&gt;")</f>
        <v/>
      </c>
      <c r="H1545" s="2" t="s">
        <v>1355</v>
      </c>
      <c r="I1545" s="2" t="s">
        <v>1356</v>
      </c>
      <c r="J1545" s="2" t="s">
        <v>1357</v>
      </c>
      <c r="K1545" s="2"/>
    </row>
    <row r="1546" spans="1:11" x14ac:dyDescent="0.3">
      <c r="A1546" t="str">
        <f t="shared" si="24"/>
        <v>Yew|Ranger Rick|LOOK</v>
      </c>
      <c r="B1546" s="2" t="s">
        <v>713</v>
      </c>
      <c r="C1546" s="2" t="s">
        <v>1263</v>
      </c>
      <c r="D1546" s="21" t="s">
        <v>2534</v>
      </c>
      <c r="E1546" s="2" t="s">
        <v>16</v>
      </c>
      <c r="F1546" s="2" t="s">
        <v>1358</v>
      </c>
      <c r="G1546" s="8" t="str">
        <f>IF(ISNA(VLOOKUP(B1546&amp;"|"&amp;C1546&amp;"|"&amp;D1546&amp;"|"&amp;E1546,QuestionTriggers!A:F,6,FALSE)),"","---&gt;")</f>
        <v/>
      </c>
      <c r="H1546" s="2" t="s">
        <v>1355</v>
      </c>
      <c r="I1546" s="2" t="s">
        <v>1356</v>
      </c>
      <c r="J1546" s="2" t="s">
        <v>1357</v>
      </c>
      <c r="K1546" s="2"/>
    </row>
    <row r="1547" spans="1:11" x14ac:dyDescent="0.3">
      <c r="A1547" t="str">
        <f t="shared" si="24"/>
        <v>Yew|Ranger Rick|NAME</v>
      </c>
      <c r="B1547" s="2" t="s">
        <v>713</v>
      </c>
      <c r="C1547" s="2" t="s">
        <v>1263</v>
      </c>
      <c r="D1547" s="21" t="s">
        <v>2534</v>
      </c>
      <c r="E1547" s="2" t="s">
        <v>12</v>
      </c>
      <c r="F1547" s="2" t="s">
        <v>1354</v>
      </c>
      <c r="G1547" s="8" t="str">
        <f>IF(ISNA(VLOOKUP(B1547&amp;"|"&amp;C1547&amp;"|"&amp;D1547&amp;"|"&amp;E1547,QuestionTriggers!A:F,6,FALSE)),"","---&gt;")</f>
        <v/>
      </c>
      <c r="H1547" s="2" t="s">
        <v>1355</v>
      </c>
      <c r="I1547" s="2" t="s">
        <v>1356</v>
      </c>
      <c r="J1547" s="2" t="s">
        <v>1357</v>
      </c>
      <c r="K1547" s="2"/>
    </row>
    <row r="1548" spans="1:11" x14ac:dyDescent="0.3">
      <c r="A1548" t="str">
        <f t="shared" si="24"/>
        <v>Yew|Ranger Rick|RANG</v>
      </c>
      <c r="B1548" s="2" t="s">
        <v>713</v>
      </c>
      <c r="C1548" s="2" t="s">
        <v>1263</v>
      </c>
      <c r="D1548" s="21" t="s">
        <v>2534</v>
      </c>
      <c r="E1548" s="2" t="s">
        <v>1362</v>
      </c>
      <c r="F1548" s="2" t="s">
        <v>1363</v>
      </c>
      <c r="G1548" s="8" t="str">
        <f>IF(ISNA(VLOOKUP(B1548&amp;"|"&amp;C1548&amp;"|"&amp;D1548&amp;"|"&amp;E1548,QuestionTriggers!A:F,6,FALSE)),"","---&gt;")</f>
        <v/>
      </c>
      <c r="H1548" s="2" t="s">
        <v>1355</v>
      </c>
      <c r="I1548" s="2" t="s">
        <v>1356</v>
      </c>
      <c r="J1548" s="2" t="s">
        <v>1357</v>
      </c>
      <c r="K1548" s="2"/>
    </row>
    <row r="1549" spans="1:11" ht="26.4" x14ac:dyDescent="0.3">
      <c r="A1549" t="str">
        <f t="shared" si="24"/>
        <v>Yew|Short Round|HEALTH</v>
      </c>
      <c r="B1549" s="2" t="s">
        <v>713</v>
      </c>
      <c r="C1549" s="2" t="s">
        <v>1263</v>
      </c>
      <c r="D1549" s="2" t="s">
        <v>1364</v>
      </c>
      <c r="E1549" s="2" t="s">
        <v>20</v>
      </c>
      <c r="F1549" s="2" t="s">
        <v>1369</v>
      </c>
      <c r="G1549" s="8" t="str">
        <f>IF(ISNA(VLOOKUP(B1549&amp;"|"&amp;C1549&amp;"|"&amp;D1549&amp;"|"&amp;E1549,QuestionTriggers!A:F,6,FALSE)),"","---&gt;")</f>
        <v/>
      </c>
      <c r="H1549" s="2" t="s">
        <v>1365</v>
      </c>
      <c r="I1549" s="2" t="s">
        <v>1366</v>
      </c>
      <c r="J1549" s="2" t="s">
        <v>1367</v>
      </c>
      <c r="K1549" s="2"/>
    </row>
    <row r="1550" spans="1:11" ht="26.4" x14ac:dyDescent="0.3">
      <c r="A1550" t="str">
        <f t="shared" si="24"/>
        <v>Yew|Short Round|JOB</v>
      </c>
      <c r="B1550" s="2" t="s">
        <v>713</v>
      </c>
      <c r="C1550" s="2" t="s">
        <v>1263</v>
      </c>
      <c r="D1550" s="2" t="s">
        <v>1364</v>
      </c>
      <c r="E1550" s="2" t="s">
        <v>18</v>
      </c>
      <c r="F1550" s="2" t="s">
        <v>1368</v>
      </c>
      <c r="G1550" s="8" t="str">
        <f>IF(ISNA(VLOOKUP(B1550&amp;"|"&amp;C1550&amp;"|"&amp;D1550&amp;"|"&amp;E1550,QuestionTriggers!A:F,6,FALSE)),"","---&gt;")</f>
        <v/>
      </c>
      <c r="H1550" s="2" t="s">
        <v>1365</v>
      </c>
      <c r="I1550" s="2" t="s">
        <v>1366</v>
      </c>
      <c r="J1550" s="2" t="s">
        <v>1367</v>
      </c>
      <c r="K1550" s="2"/>
    </row>
    <row r="1551" spans="1:11" ht="26.4" x14ac:dyDescent="0.3">
      <c r="A1551" t="str">
        <f t="shared" si="24"/>
        <v>Yew|Short Round|JONE</v>
      </c>
      <c r="B1551" s="2" t="s">
        <v>713</v>
      </c>
      <c r="C1551" s="2" t="s">
        <v>1263</v>
      </c>
      <c r="D1551" s="2" t="s">
        <v>1364</v>
      </c>
      <c r="E1551" s="2" t="s">
        <v>1370</v>
      </c>
      <c r="F1551" s="2" t="s">
        <v>1371</v>
      </c>
      <c r="G1551" s="8" t="str">
        <f>IF(ISNA(VLOOKUP(B1551&amp;"|"&amp;C1551&amp;"|"&amp;D1551&amp;"|"&amp;E1551,QuestionTriggers!A:F,6,FALSE)),"","---&gt;")</f>
        <v/>
      </c>
      <c r="H1551" s="2" t="s">
        <v>1365</v>
      </c>
      <c r="I1551" s="2" t="s">
        <v>1366</v>
      </c>
      <c r="J1551" s="2" t="s">
        <v>1367</v>
      </c>
      <c r="K1551" s="2"/>
    </row>
    <row r="1552" spans="1:11" ht="26.4" x14ac:dyDescent="0.3">
      <c r="A1552" t="str">
        <f t="shared" si="24"/>
        <v>Yew|Short Round|LOOK</v>
      </c>
      <c r="B1552" s="2" t="s">
        <v>713</v>
      </c>
      <c r="C1552" s="2" t="s">
        <v>1263</v>
      </c>
      <c r="D1552" s="2" t="s">
        <v>1364</v>
      </c>
      <c r="E1552" s="2" t="s">
        <v>16</v>
      </c>
      <c r="F1552" s="2" t="s">
        <v>944</v>
      </c>
      <c r="G1552" s="8" t="str">
        <f>IF(ISNA(VLOOKUP(B1552&amp;"|"&amp;C1552&amp;"|"&amp;D1552&amp;"|"&amp;E1552,QuestionTriggers!A:F,6,FALSE)),"","---&gt;")</f>
        <v/>
      </c>
      <c r="H1552" s="2" t="s">
        <v>1365</v>
      </c>
      <c r="I1552" s="2" t="s">
        <v>1366</v>
      </c>
      <c r="J1552" s="2" t="s">
        <v>1367</v>
      </c>
      <c r="K1552" s="2"/>
    </row>
    <row r="1553" spans="1:11" ht="26.4" x14ac:dyDescent="0.3">
      <c r="A1553" t="str">
        <f t="shared" si="24"/>
        <v>Yew|Short Round|NAME</v>
      </c>
      <c r="B1553" s="2" t="s">
        <v>713</v>
      </c>
      <c r="C1553" s="2" t="s">
        <v>1263</v>
      </c>
      <c r="D1553" s="2" t="s">
        <v>1364</v>
      </c>
      <c r="E1553" s="2" t="s">
        <v>12</v>
      </c>
      <c r="F1553" s="2" t="s">
        <v>1364</v>
      </c>
      <c r="G1553" s="8" t="str">
        <f>IF(ISNA(VLOOKUP(B1553&amp;"|"&amp;C1553&amp;"|"&amp;D1553&amp;"|"&amp;E1553,QuestionTriggers!A:F,6,FALSE)),"","---&gt;")</f>
        <v/>
      </c>
      <c r="H1553" s="2" t="s">
        <v>1365</v>
      </c>
      <c r="I1553" s="2" t="s">
        <v>1366</v>
      </c>
      <c r="J1553" s="2" t="s">
        <v>1367</v>
      </c>
      <c r="K1553" s="2"/>
    </row>
    <row r="1554" spans="1:11" ht="26.4" x14ac:dyDescent="0.3">
      <c r="A1554" t="str">
        <f t="shared" si="24"/>
        <v>Yew|Short Round|QUES</v>
      </c>
      <c r="B1554" s="2" t="s">
        <v>713</v>
      </c>
      <c r="C1554" s="2" t="s">
        <v>1263</v>
      </c>
      <c r="D1554" s="2" t="s">
        <v>1364</v>
      </c>
      <c r="E1554" s="2" t="s">
        <v>259</v>
      </c>
      <c r="F1554" s="2" t="s">
        <v>1372</v>
      </c>
      <c r="G1554" s="8" t="str">
        <f>IF(ISNA(VLOOKUP(B1554&amp;"|"&amp;C1554&amp;"|"&amp;D1554&amp;"|"&amp;E1554,QuestionTriggers!A:F,6,FALSE)),"","---&gt;")</f>
        <v>---&gt;</v>
      </c>
      <c r="H1554" s="2" t="s">
        <v>1365</v>
      </c>
      <c r="I1554" s="2" t="s">
        <v>1366</v>
      </c>
      <c r="J1554" s="2" t="s">
        <v>1367</v>
      </c>
      <c r="K1554" s="2"/>
    </row>
    <row r="1555" spans="1:11" x14ac:dyDescent="0.3">
      <c r="A1555" t="str">
        <f t="shared" si="24"/>
        <v>Yew|Cy Lent|BEH</v>
      </c>
      <c r="B1555" s="2" t="s">
        <v>713</v>
      </c>
      <c r="C1555" s="2" t="s">
        <v>1263</v>
      </c>
      <c r="D1555" s="3" t="s">
        <v>2550</v>
      </c>
      <c r="E1555" s="2" t="s">
        <v>1301</v>
      </c>
      <c r="F1555" s="2" t="s">
        <v>1302</v>
      </c>
      <c r="G1555" s="8" t="str">
        <f>IF(ISNA(VLOOKUP(B1555&amp;"|"&amp;C1555&amp;"|"&amp;D1555&amp;"|"&amp;E1555,QuestionTriggers!A:F,6,FALSE)),"","---&gt;")</f>
        <v/>
      </c>
      <c r="H1555" s="2"/>
      <c r="I1555" s="2"/>
      <c r="J1555" s="2"/>
      <c r="K1555" s="2"/>
    </row>
    <row r="1556" spans="1:11" x14ac:dyDescent="0.3">
      <c r="A1556" t="str">
        <f t="shared" si="24"/>
        <v>Yew|Cy Lent|HEALTH</v>
      </c>
      <c r="B1556" s="2" t="s">
        <v>713</v>
      </c>
      <c r="C1556" s="2" t="s">
        <v>1263</v>
      </c>
      <c r="D1556" s="3" t="s">
        <v>2550</v>
      </c>
      <c r="E1556" s="2" t="s">
        <v>20</v>
      </c>
      <c r="F1556" s="2" t="s">
        <v>1300</v>
      </c>
      <c r="G1556" s="8" t="str">
        <f>IF(ISNA(VLOOKUP(B1556&amp;"|"&amp;C1556&amp;"|"&amp;D1556&amp;"|"&amp;E1556,QuestionTriggers!A:F,6,FALSE)),"","---&gt;")</f>
        <v/>
      </c>
      <c r="H1556" s="2"/>
      <c r="I1556" s="2"/>
      <c r="J1556" s="2"/>
      <c r="K1556" s="2"/>
    </row>
    <row r="1557" spans="1:11" x14ac:dyDescent="0.3">
      <c r="A1557" t="str">
        <f t="shared" si="24"/>
        <v>Yew|Cy Lent|JOB</v>
      </c>
      <c r="B1557" s="2" t="s">
        <v>713</v>
      </c>
      <c r="C1557" s="2" t="s">
        <v>1263</v>
      </c>
      <c r="D1557" s="3" t="s">
        <v>2550</v>
      </c>
      <c r="E1557" s="2" t="s">
        <v>18</v>
      </c>
      <c r="F1557" s="2" t="s">
        <v>1299</v>
      </c>
      <c r="G1557" s="8" t="str">
        <f>IF(ISNA(VLOOKUP(B1557&amp;"|"&amp;C1557&amp;"|"&amp;D1557&amp;"|"&amp;E1557,QuestionTriggers!A:F,6,FALSE)),"","---&gt;")</f>
        <v/>
      </c>
      <c r="H1557" s="2"/>
      <c r="I1557" s="2"/>
      <c r="J1557" s="2"/>
      <c r="K1557" s="2"/>
    </row>
    <row r="1558" spans="1:11" x14ac:dyDescent="0.3">
      <c r="A1558" t="str">
        <f t="shared" si="24"/>
        <v>Yew|Cy Lent|LOOK</v>
      </c>
      <c r="B1558" s="2" t="s">
        <v>713</v>
      </c>
      <c r="C1558" s="2" t="s">
        <v>1263</v>
      </c>
      <c r="D1558" s="3" t="s">
        <v>2550</v>
      </c>
      <c r="E1558" s="2" t="s">
        <v>16</v>
      </c>
      <c r="F1558" s="2" t="s">
        <v>1298</v>
      </c>
      <c r="G1558" s="8" t="str">
        <f>IF(ISNA(VLOOKUP(B1558&amp;"|"&amp;C1558&amp;"|"&amp;D1558&amp;"|"&amp;E1558,QuestionTriggers!A:F,6,FALSE)),"","---&gt;")</f>
        <v/>
      </c>
      <c r="H1558" s="2"/>
      <c r="I1558" s="2"/>
      <c r="J1558" s="2"/>
      <c r="K1558" s="2"/>
    </row>
    <row r="1559" spans="1:11" x14ac:dyDescent="0.3">
      <c r="A1559" t="str">
        <f t="shared" si="24"/>
        <v>Yew|Cy Lent|NAME</v>
      </c>
      <c r="B1559" s="2" t="s">
        <v>713</v>
      </c>
      <c r="C1559" s="2" t="s">
        <v>1263</v>
      </c>
      <c r="D1559" s="3" t="s">
        <v>2550</v>
      </c>
      <c r="E1559" s="2" t="s">
        <v>12</v>
      </c>
      <c r="F1559" s="2" t="s">
        <v>1297</v>
      </c>
      <c r="G1559" s="8" t="str">
        <f>IF(ISNA(VLOOKUP(B1559&amp;"|"&amp;C1559&amp;"|"&amp;D1559&amp;"|"&amp;E1559,QuestionTriggers!A:F,6,FALSE)),"","---&gt;")</f>
        <v/>
      </c>
      <c r="H1559" s="2"/>
      <c r="I1559" s="2"/>
      <c r="J1559" s="2"/>
      <c r="K1559" s="2"/>
    </row>
    <row r="1560" spans="1:11" ht="26.4" x14ac:dyDescent="0.3">
      <c r="A1560" t="str">
        <f t="shared" si="24"/>
        <v>Yew|Talfourd|HEALTH</v>
      </c>
      <c r="B1560" s="2" t="s">
        <v>713</v>
      </c>
      <c r="C1560" s="2" t="s">
        <v>1263</v>
      </c>
      <c r="D1560" s="2" t="s">
        <v>1311</v>
      </c>
      <c r="E1560" s="2" t="s">
        <v>20</v>
      </c>
      <c r="F1560" s="2" t="s">
        <v>93</v>
      </c>
      <c r="G1560" s="8" t="str">
        <f>IF(ISNA(VLOOKUP(B1560&amp;"|"&amp;C1560&amp;"|"&amp;D1560&amp;"|"&amp;E1560,QuestionTriggers!A:F,6,FALSE)),"","---&gt;")</f>
        <v/>
      </c>
      <c r="H1560" s="2" t="s">
        <v>1312</v>
      </c>
      <c r="I1560" s="2" t="s">
        <v>1313</v>
      </c>
      <c r="J1560" s="2" t="s">
        <v>1314</v>
      </c>
      <c r="K1560" s="2" t="s">
        <v>51</v>
      </c>
    </row>
    <row r="1561" spans="1:11" ht="26.4" x14ac:dyDescent="0.3">
      <c r="A1561" t="str">
        <f t="shared" si="24"/>
        <v>Yew|Talfourd|JOB</v>
      </c>
      <c r="B1561" s="2" t="s">
        <v>713</v>
      </c>
      <c r="C1561" s="2" t="s">
        <v>1263</v>
      </c>
      <c r="D1561" s="2" t="s">
        <v>1311</v>
      </c>
      <c r="E1561" s="2" t="s">
        <v>18</v>
      </c>
      <c r="F1561" s="2" t="s">
        <v>1316</v>
      </c>
      <c r="G1561" s="8" t="str">
        <f>IF(ISNA(VLOOKUP(B1561&amp;"|"&amp;C1561&amp;"|"&amp;D1561&amp;"|"&amp;E1561,QuestionTriggers!A:F,6,FALSE)),"","---&gt;")</f>
        <v/>
      </c>
      <c r="H1561" s="2" t="s">
        <v>1312</v>
      </c>
      <c r="I1561" s="2" t="s">
        <v>1313</v>
      </c>
      <c r="J1561" s="2" t="s">
        <v>1314</v>
      </c>
      <c r="K1561" s="2" t="s">
        <v>51</v>
      </c>
    </row>
    <row r="1562" spans="1:11" ht="26.4" x14ac:dyDescent="0.3">
      <c r="A1562" t="str">
        <f t="shared" si="24"/>
        <v>Yew|Talfourd|JUST</v>
      </c>
      <c r="B1562" s="2" t="s">
        <v>713</v>
      </c>
      <c r="C1562" s="2" t="s">
        <v>1263</v>
      </c>
      <c r="D1562" s="2" t="s">
        <v>1311</v>
      </c>
      <c r="E1562" s="2" t="s">
        <v>245</v>
      </c>
      <c r="F1562" s="3" t="s">
        <v>2531</v>
      </c>
      <c r="G1562" s="8" t="str">
        <f>IF(ISNA(VLOOKUP(B1562&amp;"|"&amp;C1562&amp;"|"&amp;D1562&amp;"|"&amp;E1562,QuestionTriggers!A:F,6,FALSE)),"","---&gt;")</f>
        <v/>
      </c>
      <c r="H1562" s="2" t="s">
        <v>1312</v>
      </c>
      <c r="I1562" s="2" t="s">
        <v>1313</v>
      </c>
      <c r="J1562" s="2" t="s">
        <v>1314</v>
      </c>
      <c r="K1562" s="2" t="s">
        <v>51</v>
      </c>
    </row>
    <row r="1563" spans="1:11" ht="26.4" x14ac:dyDescent="0.3">
      <c r="A1563" t="str">
        <f t="shared" si="24"/>
        <v>Yew|Talfourd|LOOK</v>
      </c>
      <c r="B1563" s="2" t="s">
        <v>713</v>
      </c>
      <c r="C1563" s="2" t="s">
        <v>1263</v>
      </c>
      <c r="D1563" s="2" t="s">
        <v>1311</v>
      </c>
      <c r="E1563" s="2" t="s">
        <v>16</v>
      </c>
      <c r="F1563" s="2" t="s">
        <v>1315</v>
      </c>
      <c r="G1563" s="8" t="str">
        <f>IF(ISNA(VLOOKUP(B1563&amp;"|"&amp;C1563&amp;"|"&amp;D1563&amp;"|"&amp;E1563,QuestionTriggers!A:F,6,FALSE)),"","---&gt;")</f>
        <v/>
      </c>
      <c r="H1563" s="2" t="s">
        <v>1312</v>
      </c>
      <c r="I1563" s="2" t="s">
        <v>1313</v>
      </c>
      <c r="J1563" s="2" t="s">
        <v>1314</v>
      </c>
      <c r="K1563" s="2" t="s">
        <v>51</v>
      </c>
    </row>
    <row r="1564" spans="1:11" ht="26.4" x14ac:dyDescent="0.3">
      <c r="A1564" t="str">
        <f t="shared" si="24"/>
        <v>Yew|Talfourd|NAME</v>
      </c>
      <c r="B1564" s="2" t="s">
        <v>713</v>
      </c>
      <c r="C1564" s="2" t="s">
        <v>1263</v>
      </c>
      <c r="D1564" s="2" t="s">
        <v>1311</v>
      </c>
      <c r="E1564" s="2" t="s">
        <v>12</v>
      </c>
      <c r="F1564" s="2" t="s">
        <v>1311</v>
      </c>
      <c r="G1564" s="8" t="str">
        <f>IF(ISNA(VLOOKUP(B1564&amp;"|"&amp;C1564&amp;"|"&amp;D1564&amp;"|"&amp;E1564,QuestionTriggers!A:F,6,FALSE)),"","---&gt;")</f>
        <v/>
      </c>
      <c r="H1564" s="2" t="s">
        <v>1312</v>
      </c>
      <c r="I1564" s="2" t="s">
        <v>1313</v>
      </c>
      <c r="J1564" s="2" t="s">
        <v>1314</v>
      </c>
      <c r="K1564" s="2" t="s">
        <v>51</v>
      </c>
    </row>
    <row r="1565" spans="1:11" ht="26.4" x14ac:dyDescent="0.3">
      <c r="A1565" t="str">
        <f t="shared" si="24"/>
        <v>Yew|Talfourd|RUNE</v>
      </c>
      <c r="B1565" s="2" t="s">
        <v>713</v>
      </c>
      <c r="C1565" s="2" t="s">
        <v>1263</v>
      </c>
      <c r="D1565" s="2" t="s">
        <v>1311</v>
      </c>
      <c r="E1565" s="2" t="s">
        <v>847</v>
      </c>
      <c r="F1565" s="2" t="s">
        <v>1317</v>
      </c>
      <c r="G1565" s="8" t="str">
        <f>IF(ISNA(VLOOKUP(B1565&amp;"|"&amp;C1565&amp;"|"&amp;D1565&amp;"|"&amp;E1565,QuestionTriggers!A:F,6,FALSE)),"","---&gt;")</f>
        <v>---&gt;</v>
      </c>
      <c r="H1565" s="2" t="s">
        <v>1312</v>
      </c>
      <c r="I1565" s="2" t="s">
        <v>1313</v>
      </c>
      <c r="J1565" s="2" t="s">
        <v>1314</v>
      </c>
      <c r="K1565" s="2" t="s">
        <v>51</v>
      </c>
    </row>
    <row r="1566" spans="1:11" x14ac:dyDescent="0.3">
      <c r="A1566" t="str">
        <f t="shared" si="24"/>
        <v>Yew|Vorpal|HEALTH</v>
      </c>
      <c r="B1566" s="2" t="s">
        <v>713</v>
      </c>
      <c r="C1566" s="2" t="s">
        <v>1263</v>
      </c>
      <c r="D1566" s="2" t="s">
        <v>1325</v>
      </c>
      <c r="E1566" s="2" t="s">
        <v>20</v>
      </c>
      <c r="F1566" s="2" t="s">
        <v>1331</v>
      </c>
      <c r="G1566" s="8" t="str">
        <f>IF(ISNA(VLOOKUP(B1566&amp;"|"&amp;C1566&amp;"|"&amp;D1566&amp;"|"&amp;E1566,QuestionTriggers!A:F,6,FALSE)),"","---&gt;")</f>
        <v/>
      </c>
      <c r="H1566" s="2" t="s">
        <v>1326</v>
      </c>
      <c r="I1566" s="2" t="s">
        <v>1327</v>
      </c>
      <c r="J1566" s="2" t="s">
        <v>1328</v>
      </c>
      <c r="K1566" s="2"/>
    </row>
    <row r="1567" spans="1:11" x14ac:dyDescent="0.3">
      <c r="A1567" t="str">
        <f t="shared" si="24"/>
        <v>Yew|Vorpal|JOB</v>
      </c>
      <c r="B1567" s="2" t="s">
        <v>713</v>
      </c>
      <c r="C1567" s="2" t="s">
        <v>1263</v>
      </c>
      <c r="D1567" s="2" t="s">
        <v>1325</v>
      </c>
      <c r="E1567" s="2" t="s">
        <v>18</v>
      </c>
      <c r="F1567" s="2" t="s">
        <v>1330</v>
      </c>
      <c r="G1567" s="8" t="str">
        <f>IF(ISNA(VLOOKUP(B1567&amp;"|"&amp;C1567&amp;"|"&amp;D1567&amp;"|"&amp;E1567,QuestionTriggers!A:F,6,FALSE)),"","---&gt;")</f>
        <v/>
      </c>
      <c r="H1567" s="2" t="s">
        <v>1326</v>
      </c>
      <c r="I1567" s="2" t="s">
        <v>1327</v>
      </c>
      <c r="J1567" s="2" t="s">
        <v>1328</v>
      </c>
      <c r="K1567" s="2"/>
    </row>
    <row r="1568" spans="1:11" x14ac:dyDescent="0.3">
      <c r="A1568" t="str">
        <f t="shared" si="24"/>
        <v>Yew|Vorpal|LOOK</v>
      </c>
      <c r="B1568" s="2" t="s">
        <v>713</v>
      </c>
      <c r="C1568" s="2" t="s">
        <v>1263</v>
      </c>
      <c r="D1568" s="2" t="s">
        <v>1325</v>
      </c>
      <c r="E1568" s="2" t="s">
        <v>16</v>
      </c>
      <c r="F1568" s="2" t="s">
        <v>1329</v>
      </c>
      <c r="G1568" s="8" t="str">
        <f>IF(ISNA(VLOOKUP(B1568&amp;"|"&amp;C1568&amp;"|"&amp;D1568&amp;"|"&amp;E1568,QuestionTriggers!A:F,6,FALSE)),"","---&gt;")</f>
        <v/>
      </c>
      <c r="H1568" s="2" t="s">
        <v>1326</v>
      </c>
      <c r="I1568" s="2" t="s">
        <v>1327</v>
      </c>
      <c r="J1568" s="2" t="s">
        <v>1328</v>
      </c>
      <c r="K1568" s="2"/>
    </row>
    <row r="1569" spans="1:11" x14ac:dyDescent="0.3">
      <c r="A1569" t="str">
        <f t="shared" si="24"/>
        <v>Yew|Vorpal|NAME</v>
      </c>
      <c r="B1569" s="2" t="s">
        <v>713</v>
      </c>
      <c r="C1569" s="2" t="s">
        <v>1263</v>
      </c>
      <c r="D1569" s="2" t="s">
        <v>1325</v>
      </c>
      <c r="E1569" s="2" t="s">
        <v>12</v>
      </c>
      <c r="F1569" s="2" t="s">
        <v>1325</v>
      </c>
      <c r="G1569" s="8" t="str">
        <f>IF(ISNA(VLOOKUP(B1569&amp;"|"&amp;C1569&amp;"|"&amp;D1569&amp;"|"&amp;E1569,QuestionTriggers!A:F,6,FALSE)),"","---&gt;")</f>
        <v/>
      </c>
      <c r="H1569" s="2" t="s">
        <v>1326</v>
      </c>
      <c r="I1569" s="2" t="s">
        <v>1327</v>
      </c>
      <c r="J1569" s="2" t="s">
        <v>1328</v>
      </c>
      <c r="K1569" s="2"/>
    </row>
    <row r="1570" spans="1:11" x14ac:dyDescent="0.3">
      <c r="A1570" t="str">
        <f t="shared" si="24"/>
        <v>Yew|Vorpal|PEOP</v>
      </c>
      <c r="B1570" s="2" t="s">
        <v>713</v>
      </c>
      <c r="C1570" s="2" t="s">
        <v>1263</v>
      </c>
      <c r="D1570" s="2" t="s">
        <v>1325</v>
      </c>
      <c r="E1570" s="2" t="s">
        <v>1334</v>
      </c>
      <c r="F1570" s="2" t="s">
        <v>1335</v>
      </c>
      <c r="G1570" s="8" t="str">
        <f>IF(ISNA(VLOOKUP(B1570&amp;"|"&amp;C1570&amp;"|"&amp;D1570&amp;"|"&amp;E1570,QuestionTriggers!A:F,6,FALSE)),"","---&gt;")</f>
        <v>---&gt;</v>
      </c>
      <c r="H1570" s="2" t="s">
        <v>1326</v>
      </c>
      <c r="I1570" s="2" t="s">
        <v>1327</v>
      </c>
      <c r="J1570" s="2" t="s">
        <v>1328</v>
      </c>
      <c r="K1570" s="2"/>
    </row>
    <row r="1571" spans="1:11" x14ac:dyDescent="0.3">
      <c r="A1571" t="str">
        <f t="shared" si="24"/>
        <v>Yew|Vorpal|VILL</v>
      </c>
      <c r="B1571" s="2" t="s">
        <v>713</v>
      </c>
      <c r="C1571" s="2" t="s">
        <v>1263</v>
      </c>
      <c r="D1571" s="2" t="s">
        <v>1325</v>
      </c>
      <c r="E1571" s="2" t="s">
        <v>1332</v>
      </c>
      <c r="F1571" s="2" t="s">
        <v>1333</v>
      </c>
      <c r="G1571" s="8" t="str">
        <f>IF(ISNA(VLOOKUP(B1571&amp;"|"&amp;C1571&amp;"|"&amp;D1571&amp;"|"&amp;E1571,QuestionTriggers!A:F,6,FALSE)),"","---&gt;")</f>
        <v/>
      </c>
      <c r="H1571" s="2" t="s">
        <v>1326</v>
      </c>
      <c r="I1571" s="2" t="s">
        <v>1327</v>
      </c>
      <c r="J1571" s="2" t="s">
        <v>1328</v>
      </c>
      <c r="K1571" s="2"/>
    </row>
    <row r="1572" spans="1:11" hidden="1" x14ac:dyDescent="0.3">
      <c r="A1572" t="str">
        <f t="shared" si="24"/>
        <v>||</v>
      </c>
    </row>
    <row r="1573" spans="1:11" hidden="1" x14ac:dyDescent="0.3">
      <c r="A1573" t="str">
        <f t="shared" si="24"/>
        <v>||</v>
      </c>
    </row>
    <row r="1574" spans="1:11" hidden="1" x14ac:dyDescent="0.3">
      <c r="A1574" t="str">
        <f t="shared" si="24"/>
        <v>||</v>
      </c>
    </row>
    <row r="1575" spans="1:11" hidden="1" x14ac:dyDescent="0.3">
      <c r="A1575" t="str">
        <f t="shared" si="24"/>
        <v>||</v>
      </c>
    </row>
    <row r="1576" spans="1:11" hidden="1" x14ac:dyDescent="0.3">
      <c r="A1576" t="str">
        <f t="shared" si="24"/>
        <v>||</v>
      </c>
    </row>
    <row r="1577" spans="1:11" hidden="1" x14ac:dyDescent="0.3">
      <c r="A1577" t="str">
        <f t="shared" si="24"/>
        <v>||</v>
      </c>
    </row>
    <row r="1578" spans="1:11" hidden="1" x14ac:dyDescent="0.3">
      <c r="A1578" t="str">
        <f t="shared" si="24"/>
        <v>||</v>
      </c>
    </row>
    <row r="1579" spans="1:11" hidden="1" x14ac:dyDescent="0.3">
      <c r="A1579" t="str">
        <f t="shared" si="24"/>
        <v>||</v>
      </c>
    </row>
    <row r="1580" spans="1:11" hidden="1" x14ac:dyDescent="0.3">
      <c r="A1580" t="str">
        <f t="shared" si="24"/>
        <v>||</v>
      </c>
    </row>
    <row r="1581" spans="1:11" hidden="1" x14ac:dyDescent="0.3">
      <c r="A1581" t="str">
        <f t="shared" si="24"/>
        <v>||</v>
      </c>
    </row>
    <row r="1582" spans="1:11" hidden="1" x14ac:dyDescent="0.3">
      <c r="A1582" t="str">
        <f t="shared" si="24"/>
        <v>||</v>
      </c>
    </row>
    <row r="1583" spans="1:11" hidden="1" x14ac:dyDescent="0.3">
      <c r="A1583" t="str">
        <f t="shared" si="24"/>
        <v>||</v>
      </c>
    </row>
    <row r="1584" spans="1:11" hidden="1" x14ac:dyDescent="0.3">
      <c r="A1584" t="str">
        <f t="shared" si="24"/>
        <v>||</v>
      </c>
    </row>
    <row r="1585" spans="1:1" hidden="1" x14ac:dyDescent="0.3">
      <c r="A1585" t="str">
        <f t="shared" si="24"/>
        <v>||</v>
      </c>
    </row>
    <row r="1586" spans="1:1" hidden="1" x14ac:dyDescent="0.3">
      <c r="A1586" t="str">
        <f t="shared" si="24"/>
        <v>||</v>
      </c>
    </row>
    <row r="1587" spans="1:1" hidden="1" x14ac:dyDescent="0.3">
      <c r="A1587" t="str">
        <f t="shared" si="24"/>
        <v>||</v>
      </c>
    </row>
    <row r="1588" spans="1:1" hidden="1" x14ac:dyDescent="0.3">
      <c r="A1588" t="str">
        <f t="shared" si="24"/>
        <v>||</v>
      </c>
    </row>
    <row r="1589" spans="1:1" hidden="1" x14ac:dyDescent="0.3">
      <c r="A1589" t="str">
        <f t="shared" si="24"/>
        <v>||</v>
      </c>
    </row>
    <row r="1590" spans="1:1" hidden="1" x14ac:dyDescent="0.3">
      <c r="A1590" t="str">
        <f t="shared" si="24"/>
        <v>||</v>
      </c>
    </row>
    <row r="1591" spans="1:1" hidden="1" x14ac:dyDescent="0.3">
      <c r="A1591" t="str">
        <f t="shared" si="24"/>
        <v>||</v>
      </c>
    </row>
    <row r="1592" spans="1:1" hidden="1" x14ac:dyDescent="0.3">
      <c r="A1592" t="str">
        <f t="shared" si="24"/>
        <v>||</v>
      </c>
    </row>
    <row r="1593" spans="1:1" hidden="1" x14ac:dyDescent="0.3">
      <c r="A1593" t="str">
        <f t="shared" si="24"/>
        <v>||</v>
      </c>
    </row>
    <row r="1594" spans="1:1" hidden="1" x14ac:dyDescent="0.3">
      <c r="A1594" t="str">
        <f t="shared" si="24"/>
        <v>||</v>
      </c>
    </row>
    <row r="1595" spans="1:1" hidden="1" x14ac:dyDescent="0.3">
      <c r="A1595" t="str">
        <f t="shared" si="24"/>
        <v>||</v>
      </c>
    </row>
    <row r="1596" spans="1:1" hidden="1" x14ac:dyDescent="0.3">
      <c r="A1596" t="str">
        <f t="shared" si="24"/>
        <v>||</v>
      </c>
    </row>
    <row r="1597" spans="1:1" hidden="1" x14ac:dyDescent="0.3">
      <c r="A1597" t="str">
        <f t="shared" si="24"/>
        <v>||</v>
      </c>
    </row>
    <row r="1598" spans="1:1" hidden="1" x14ac:dyDescent="0.3">
      <c r="A1598" t="str">
        <f t="shared" si="24"/>
        <v>||</v>
      </c>
    </row>
    <row r="1599" spans="1:1" hidden="1" x14ac:dyDescent="0.3">
      <c r="A1599" t="str">
        <f t="shared" si="24"/>
        <v>||</v>
      </c>
    </row>
    <row r="1600" spans="1:1" hidden="1" x14ac:dyDescent="0.3">
      <c r="A1600" t="str">
        <f t="shared" si="24"/>
        <v>||</v>
      </c>
    </row>
    <row r="1601" spans="1:7" hidden="1" x14ac:dyDescent="0.3">
      <c r="A1601" t="str">
        <f t="shared" si="24"/>
        <v>||</v>
      </c>
    </row>
    <row r="1602" spans="1:7" hidden="1" x14ac:dyDescent="0.3">
      <c r="A1602" t="str">
        <f t="shared" si="24"/>
        <v>||</v>
      </c>
    </row>
    <row r="1603" spans="1:7" hidden="1" x14ac:dyDescent="0.3">
      <c r="A1603" s="44" t="str">
        <f t="shared" ref="A1603" si="25">C1603&amp;"|"&amp;D1603&amp;"|"&amp;E1603</f>
        <v>Moonglow|Shaman|LOOK</v>
      </c>
      <c r="B1603" s="12" t="s">
        <v>713</v>
      </c>
      <c r="C1603" s="12" t="s">
        <v>714</v>
      </c>
      <c r="D1603" s="12" t="s">
        <v>2258</v>
      </c>
      <c r="E1603" s="12" t="s">
        <v>16</v>
      </c>
      <c r="F1603" s="12" t="s">
        <v>2471</v>
      </c>
    </row>
    <row r="1604" spans="1:7" hidden="1" x14ac:dyDescent="0.3">
      <c r="A1604" s="44" t="str">
        <f t="shared" ref="A1604:A1610" si="26">C1604&amp;"|"&amp;D1604&amp;"|"&amp;E1604</f>
        <v>Moonglow|Harmony|LOOK</v>
      </c>
      <c r="B1604" s="12" t="s">
        <v>713</v>
      </c>
      <c r="C1604" s="12" t="s">
        <v>714</v>
      </c>
      <c r="D1604" s="12" t="s">
        <v>2456</v>
      </c>
      <c r="E1604" s="12" t="s">
        <v>16</v>
      </c>
      <c r="F1604" s="12" t="s">
        <v>2470</v>
      </c>
      <c r="G1604" s="33"/>
    </row>
    <row r="1605" spans="1:7" hidden="1" x14ac:dyDescent="0.3">
      <c r="A1605" s="43" t="str">
        <f t="shared" si="26"/>
        <v>Moonglow|Margot|LOOK</v>
      </c>
      <c r="B1605" s="12" t="s">
        <v>713</v>
      </c>
      <c r="C1605" s="29" t="s">
        <v>714</v>
      </c>
      <c r="D1605" s="12" t="s">
        <v>2457</v>
      </c>
      <c r="E1605" s="29" t="s">
        <v>16</v>
      </c>
      <c r="F1605" s="29" t="s">
        <v>2469</v>
      </c>
      <c r="G1605" s="33"/>
    </row>
    <row r="1606" spans="1:7" hidden="1" x14ac:dyDescent="0.3">
      <c r="A1606" s="43" t="str">
        <f t="shared" si="26"/>
        <v>Trinsic|Jean|LOOK</v>
      </c>
      <c r="B1606" s="45" t="s">
        <v>713</v>
      </c>
      <c r="C1606" s="45" t="s">
        <v>1397</v>
      </c>
      <c r="D1606" s="45" t="s">
        <v>2478</v>
      </c>
      <c r="E1606" s="45" t="s">
        <v>16</v>
      </c>
      <c r="F1606" s="45" t="s">
        <v>2479</v>
      </c>
    </row>
    <row r="1607" spans="1:7" hidden="1" x14ac:dyDescent="0.3">
      <c r="A1607" s="43" t="str">
        <f t="shared" si="26"/>
        <v>Trinsic|Jumar|LOOK</v>
      </c>
      <c r="B1607" s="45" t="s">
        <v>713</v>
      </c>
      <c r="C1607" s="45" t="s">
        <v>1397</v>
      </c>
      <c r="D1607" s="45" t="s">
        <v>2480</v>
      </c>
      <c r="E1607" s="45" t="s">
        <v>16</v>
      </c>
      <c r="F1607" s="45" t="s">
        <v>2481</v>
      </c>
    </row>
    <row r="1608" spans="1:7" hidden="1" x14ac:dyDescent="0.3">
      <c r="A1608" s="43" t="str">
        <f t="shared" si="26"/>
        <v>Trinsic|Terran|LOOK</v>
      </c>
      <c r="B1608" s="45" t="s">
        <v>713</v>
      </c>
      <c r="C1608" s="45" t="s">
        <v>1397</v>
      </c>
      <c r="D1608" s="45" t="s">
        <v>2482</v>
      </c>
      <c r="E1608" s="45" t="s">
        <v>16</v>
      </c>
      <c r="F1608" s="45" t="s">
        <v>2483</v>
      </c>
    </row>
    <row r="1609" spans="1:7" hidden="1" x14ac:dyDescent="0.3">
      <c r="A1609" s="43" t="str">
        <f t="shared" si="26"/>
        <v>Trinsic|Zajac|LOOK</v>
      </c>
      <c r="B1609" s="45" t="s">
        <v>713</v>
      </c>
      <c r="C1609" s="45" t="s">
        <v>1397</v>
      </c>
      <c r="D1609" s="45" t="s">
        <v>427</v>
      </c>
      <c r="E1609" s="45" t="s">
        <v>16</v>
      </c>
      <c r="F1609" s="45" t="s">
        <v>2484</v>
      </c>
    </row>
    <row r="1610" spans="1:7" x14ac:dyDescent="0.3">
      <c r="A1610" t="str">
        <f t="shared" si="26"/>
        <v>Lycaeum|Starfire|LOOK</v>
      </c>
      <c r="B1610" s="2" t="s">
        <v>9</v>
      </c>
      <c r="C1610" s="2" t="s">
        <v>277</v>
      </c>
      <c r="D1610" s="2" t="s">
        <v>2630</v>
      </c>
      <c r="E1610" s="2" t="s">
        <v>16</v>
      </c>
      <c r="F1610" s="2" t="s">
        <v>2631</v>
      </c>
    </row>
  </sheetData>
  <autoFilter ref="A1:K1610" xr:uid="{00000000-0001-0000-0000-000000000000}">
    <filterColumn colId="2">
      <filters>
        <filter val="Lycaeum"/>
        <filter val="Magincia"/>
        <filter val="Minoc"/>
        <filter val="Skara Brae"/>
        <filter val="Yew"/>
      </filters>
    </filterColumn>
    <filterColumn colId="3">
      <colorFilter dxfId="0"/>
    </filterColumn>
  </autoFilter>
  <sortState xmlns:xlrd2="http://schemas.microsoft.com/office/spreadsheetml/2017/richdata2" ref="B2:K1601">
    <sortCondition ref="C2:C1601"/>
    <sortCondition ref="D2:D1601"/>
    <sortCondition ref="E2:E160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12D2-39F9-45A4-AB64-E3ADF2A9E487}">
  <sheetPr>
    <tabColor rgb="FF00B050"/>
  </sheetPr>
  <dimension ref="A1:I133"/>
  <sheetViews>
    <sheetView zoomScaleNormal="100" workbookViewId="0">
      <pane ySplit="1" topLeftCell="A122" activePane="bottomLeft" state="frozen"/>
      <selection pane="bottomLeft" activeCell="B135" sqref="B135"/>
    </sheetView>
  </sheetViews>
  <sheetFormatPr defaultRowHeight="14.4" x14ac:dyDescent="0.3"/>
  <cols>
    <col min="1" max="1" width="15.5546875" style="20" customWidth="1"/>
    <col min="2" max="3" width="15.88671875" style="22" customWidth="1"/>
    <col min="4" max="4" width="15.88671875" style="50" customWidth="1"/>
    <col min="5" max="5" width="49.33203125" style="19" customWidth="1"/>
    <col min="6" max="6" width="53.77734375" style="22" customWidth="1"/>
    <col min="8" max="8" width="16.77734375" customWidth="1"/>
  </cols>
  <sheetData>
    <row r="1" spans="1:8" x14ac:dyDescent="0.3">
      <c r="A1" s="25" t="s">
        <v>2442</v>
      </c>
      <c r="B1" s="24" t="s">
        <v>2</v>
      </c>
      <c r="C1" s="24" t="s">
        <v>2445</v>
      </c>
      <c r="D1" s="51" t="s">
        <v>2506</v>
      </c>
      <c r="E1" s="23" t="s">
        <v>2443</v>
      </c>
      <c r="F1" s="24" t="s">
        <v>2444</v>
      </c>
      <c r="H1" t="s">
        <v>2625</v>
      </c>
    </row>
    <row r="2" spans="1:8" ht="21.6" x14ac:dyDescent="0.3">
      <c r="A2" s="20" t="s">
        <v>714</v>
      </c>
      <c r="B2" s="21" t="s">
        <v>784</v>
      </c>
      <c r="C2" s="22" t="str">
        <f>VLOOKUP(A2&amp;"|"&amp;B2&amp;"|"&amp;"LOOK",'NPC Dialogue'!$A:$F,6,FALSE)</f>
        <v>A tall mage.</v>
      </c>
      <c r="D2" s="22"/>
      <c r="E2" s="19" t="str">
        <f>"/data merge entity @e[type=minecraft:villager,limit=1,sort=nearest] {CustomName:"""&amp;B2&amp;"""}"</f>
        <v>/data merge entity @e[type=minecraft:villager,limit=1,sort=nearest] {CustomName:"Browning"}</v>
      </c>
      <c r="F2" s="22" t="str">
        <f>"/tag @e[type=minecraft:villager,name="""&amp;B2&amp;""",limit=1] add npc_"&amp;LOWER(B2)</f>
        <v>/tag @e[type=minecraft:villager,name="Browning",limit=1] add npc_browning</v>
      </c>
    </row>
    <row r="3" spans="1:8" ht="21.6" x14ac:dyDescent="0.3">
      <c r="A3" s="20" t="s">
        <v>714</v>
      </c>
      <c r="B3" s="21" t="s">
        <v>825</v>
      </c>
      <c r="C3" s="22" t="str">
        <f>VLOOKUP(A3&amp;"|"&amp;B3&amp;"|"&amp;"LOOK",'NPC Dialogue'!$A:$F,6,FALSE)</f>
        <v>A tall mage.</v>
      </c>
      <c r="D3" s="22"/>
      <c r="E3" s="19" t="str">
        <f t="shared" ref="E3:E21" si="0">"/data merge entity @e[type=minecraft:villager,limit=1,sort=nearest] {CustomName:"""&amp;B3&amp;"""}"</f>
        <v>/data merge entity @e[type=minecraft:villager,limit=1,sort=nearest] {CustomName:"Calabrini"}</v>
      </c>
      <c r="F3" s="22" t="str">
        <f t="shared" ref="F3:F18" si="1">"/tag @e[type=minecraft:villager,name="""&amp;B3&amp;""",limit=1] add npc_"&amp;LOWER(B3)</f>
        <v>/tag @e[type=minecraft:villager,name="Calabrini",limit=1] add npc_calabrini</v>
      </c>
    </row>
    <row r="4" spans="1:8" ht="21.6" x14ac:dyDescent="0.3">
      <c r="A4" s="20" t="s">
        <v>714</v>
      </c>
      <c r="B4" s="21" t="s">
        <v>752</v>
      </c>
      <c r="C4" s="22" t="str">
        <f>VLOOKUP(A4&amp;"|"&amp;B4&amp;"|"&amp;"LOOK",'NPC Dialogue'!$A:$F,6,FALSE)</f>
        <v>The housekeeping nitwit.</v>
      </c>
      <c r="D4" s="22"/>
      <c r="E4" s="19" t="str">
        <f t="shared" si="0"/>
        <v>/data merge entity @e[type=minecraft:villager,limit=1,sort=nearest] {CustomName:"Christen"}</v>
      </c>
      <c r="F4" s="22" t="str">
        <f t="shared" si="1"/>
        <v>/tag @e[type=minecraft:villager,name="Christen",limit=1] add npc_christen</v>
      </c>
    </row>
    <row r="5" spans="1:8" ht="21.6" x14ac:dyDescent="0.3">
      <c r="A5" s="20" t="s">
        <v>714</v>
      </c>
      <c r="B5" s="28" t="s">
        <v>793</v>
      </c>
      <c r="C5" s="22" t="str">
        <f>VLOOKUP(A5&amp;"|"&amp;B5&amp;"|"&amp;"LOOK",'NPC Dialogue'!$A:$F,6,FALSE)</f>
        <v>An elderly woman</v>
      </c>
      <c r="D5" s="22"/>
      <c r="E5" s="19" t="str">
        <f t="shared" si="0"/>
        <v>/data merge entity @e[type=minecraft:villager,limit=1,sort=nearest] {CustomName:"Cosima"}</v>
      </c>
      <c r="F5" s="22" t="str">
        <f t="shared" si="1"/>
        <v>/tag @e[type=minecraft:villager,name="Cosima",limit=1] add npc_cosima</v>
      </c>
    </row>
    <row r="6" spans="1:8" ht="21.6" x14ac:dyDescent="0.3">
      <c r="A6" s="20" t="s">
        <v>714</v>
      </c>
      <c r="B6" s="21" t="s">
        <v>735</v>
      </c>
      <c r="C6" s="22" t="str">
        <f>VLOOKUP(A6&amp;"|"&amp;B6&amp;"|"&amp;"LOOK",'NPC Dialogue'!$A:$F,6,FALSE)</f>
        <v>I am a regal palladin.</v>
      </c>
      <c r="D6" s="22"/>
      <c r="E6" s="19" t="str">
        <f t="shared" si="0"/>
        <v>/data merge entity @e[type=minecraft:villager,limit=1,sort=nearest] {CustomName:"Cromwell"}</v>
      </c>
      <c r="F6" s="22" t="str">
        <f t="shared" si="1"/>
        <v>/tag @e[type=minecraft:villager,name="Cromwell",limit=1] add npc_cromwell</v>
      </c>
    </row>
    <row r="7" spans="1:8" ht="21.6" x14ac:dyDescent="0.3">
      <c r="A7" s="20" t="s">
        <v>714</v>
      </c>
      <c r="B7" s="28" t="s">
        <v>803</v>
      </c>
      <c r="C7" s="22" t="str">
        <f>VLOOKUP(A7&amp;"|"&amp;B7&amp;"|"&amp;"LOOK",'NPC Dialogue'!$A:$F,6,FALSE)</f>
        <v>A hunched, insane looking man!</v>
      </c>
      <c r="D7" s="22"/>
      <c r="E7" s="19" t="str">
        <f t="shared" si="0"/>
        <v>/data merge entity @e[type=minecraft:villager,limit=1,sort=nearest] {CustomName:"Daranor"}</v>
      </c>
      <c r="F7" s="22" t="str">
        <f t="shared" si="1"/>
        <v>/tag @e[type=minecraft:villager,name="Daranor",limit=1] add npc_daranor</v>
      </c>
    </row>
    <row r="8" spans="1:8" ht="21.6" x14ac:dyDescent="0.3">
      <c r="A8" s="20" t="s">
        <v>714</v>
      </c>
      <c r="B8" s="28" t="s">
        <v>833</v>
      </c>
      <c r="C8" s="22" t="str">
        <f>VLOOKUP(A8&amp;"|"&amp;B8&amp;"|"&amp;"LOOK",'NPC Dialogue'!$A:$F,6,FALSE)</f>
        <v>A bouncy jester</v>
      </c>
      <c r="D8" s="22"/>
      <c r="E8" s="19" t="str">
        <f t="shared" si="0"/>
        <v>/data merge entity @e[type=minecraft:villager,limit=1,sort=nearest] {CustomName:"Dekker"}</v>
      </c>
      <c r="F8" s="22" t="str">
        <f t="shared" si="1"/>
        <v>/tag @e[type=minecraft:villager,name="Dekker",limit=1] add npc_dekker</v>
      </c>
    </row>
    <row r="9" spans="1:8" ht="21.6" x14ac:dyDescent="0.3">
      <c r="A9" s="20" t="s">
        <v>714</v>
      </c>
      <c r="B9" s="28" t="s">
        <v>814</v>
      </c>
      <c r="C9" s="22" t="str">
        <f>VLOOKUP(A9&amp;"|"&amp;B9&amp;"|"&amp;"LOOK",'NPC Dialogue'!$A:$F,6,FALSE)</f>
        <v>An old gypsy.</v>
      </c>
      <c r="D9" s="22"/>
      <c r="E9" s="19" t="str">
        <f t="shared" si="0"/>
        <v>/data merge entity @e[type=minecraft:villager,limit=1,sort=nearest] {CustomName:"Inoo"}</v>
      </c>
      <c r="F9" s="22" t="str">
        <f t="shared" si="1"/>
        <v>/tag @e[type=minecraft:villager,name="Inoo",limit=1] add npc_inoo</v>
      </c>
    </row>
    <row r="10" spans="1:8" ht="21.6" x14ac:dyDescent="0.3">
      <c r="A10" s="20" t="s">
        <v>714</v>
      </c>
      <c r="B10" s="21" t="s">
        <v>715</v>
      </c>
      <c r="C10" s="22" t="str">
        <f>VLOOKUP(A10&amp;"|"&amp;B10&amp;"|"&amp;"LOOK",'NPC Dialogue'!$A:$F,6,FALSE)</f>
        <v>A young mage</v>
      </c>
      <c r="D10" s="22"/>
      <c r="E10" s="19" t="str">
        <f t="shared" si="0"/>
        <v>/data merge entity @e[type=minecraft:villager,limit=1,sort=nearest] {CustomName:"Mariah"}</v>
      </c>
      <c r="F10" s="22" t="str">
        <f t="shared" si="1"/>
        <v>/tag @e[type=minecraft:villager,name="Mariah",limit=1] add npc_mariah</v>
      </c>
    </row>
    <row r="11" spans="1:8" ht="21.6" x14ac:dyDescent="0.3">
      <c r="A11" s="20" t="s">
        <v>714</v>
      </c>
      <c r="B11" s="21" t="s">
        <v>759</v>
      </c>
      <c r="C11" s="22" t="str">
        <f>VLOOKUP(A11&amp;"|"&amp;B11&amp;"|"&amp;"LOOK",'NPC Dialogue'!$A:$F,6,FALSE)</f>
        <v>A meek shepherd.</v>
      </c>
      <c r="D11" s="22"/>
      <c r="E11" s="19" t="str">
        <f t="shared" si="0"/>
        <v>/data merge entity @e[type=minecraft:villager,limit=1,sort=nearest] {CustomName:"Patric the Humble Shepherd"}</v>
      </c>
      <c r="F11" s="31" t="s">
        <v>2454</v>
      </c>
    </row>
    <row r="12" spans="1:8" ht="21.6" x14ac:dyDescent="0.3">
      <c r="A12" s="20" t="s">
        <v>714</v>
      </c>
      <c r="B12" s="21" t="s">
        <v>743</v>
      </c>
      <c r="C12" s="22" t="str">
        <f>VLOOKUP(A12&amp;"|"&amp;B12&amp;"|"&amp;"LOOK",'NPC Dialogue'!$A:$F,6,FALSE)</f>
        <v>A mystic wizard.</v>
      </c>
      <c r="D12" s="22"/>
      <c r="E12" s="19" t="str">
        <f t="shared" si="0"/>
        <v>/data merge entity @e[type=minecraft:villager,limit=1,sort=nearest] {CustomName:"Rebelias"}</v>
      </c>
      <c r="F12" s="22" t="str">
        <f t="shared" si="1"/>
        <v>/tag @e[type=minecraft:villager,name="Rebelias",limit=1] add npc_rebelias</v>
      </c>
    </row>
    <row r="13" spans="1:8" ht="21.6" x14ac:dyDescent="0.3">
      <c r="A13" s="20" t="s">
        <v>714</v>
      </c>
      <c r="B13" s="37" t="s">
        <v>380</v>
      </c>
      <c r="C13" s="36" t="str">
        <f>VLOOKUP(A13&amp;"|"&amp;B13&amp;"|"&amp;"LOOK",'NPC Dialogue'!$A:$F,6,FALSE)</f>
        <v>I am the Proprietor of Inn</v>
      </c>
      <c r="D13" s="36"/>
      <c r="E13" s="19" t="str">
        <f t="shared" si="0"/>
        <v>/data merge entity @e[type=minecraft:villager,limit=1,sort=nearest] {CustomName:"Scatu"}</v>
      </c>
      <c r="F13" s="22" t="str">
        <f t="shared" si="1"/>
        <v>/tag @e[type=minecraft:villager,name="Scatu",limit=1] add npc_scatu</v>
      </c>
    </row>
    <row r="14" spans="1:8" ht="21.6" x14ac:dyDescent="0.3">
      <c r="A14" s="20" t="s">
        <v>714</v>
      </c>
      <c r="B14" s="21" t="s">
        <v>776</v>
      </c>
      <c r="C14" s="22" t="str">
        <f>VLOOKUP(A14&amp;"|"&amp;B14&amp;"|"&amp;"LOOK",'NPC Dialogue'!$A:$F,6,FALSE)</f>
        <v>A wise wizard.</v>
      </c>
      <c r="D14" s="22"/>
      <c r="E14" s="19" t="str">
        <f t="shared" si="0"/>
        <v>/data merge entity @e[type=minecraft:villager,limit=1,sort=nearest] {CustomName:"Shakespeare"}</v>
      </c>
      <c r="F14" s="22" t="str">
        <f t="shared" si="1"/>
        <v>/tag @e[type=minecraft:villager,name="Shakespeare",limit=1] add npc_shakespeare</v>
      </c>
    </row>
    <row r="15" spans="1:8" ht="21.6" x14ac:dyDescent="0.3">
      <c r="A15" s="20" t="s">
        <v>714</v>
      </c>
      <c r="B15" s="22" t="s">
        <v>766</v>
      </c>
      <c r="C15" s="22" t="str">
        <f>VLOOKUP(A15&amp;"|"&amp;B15&amp;"|"&amp;"LOOK",'NPC Dialogue'!$A:$F,6,FALSE)</f>
        <v>A dying young wizard.</v>
      </c>
      <c r="D15" s="22"/>
      <c r="E15" s="19" t="str">
        <f t="shared" si="0"/>
        <v>/data merge entity @e[type=minecraft:villager,limit=1,sort=nearest] {CustomName:"Shazom"}</v>
      </c>
      <c r="F15" s="22" t="str">
        <f t="shared" si="1"/>
        <v>/tag @e[type=minecraft:villager,name="Shazom",limit=1] add npc_shazom</v>
      </c>
    </row>
    <row r="16" spans="1:8" ht="21.6" x14ac:dyDescent="0.3">
      <c r="A16" s="20" t="s">
        <v>714</v>
      </c>
      <c r="B16" s="28" t="s">
        <v>724</v>
      </c>
      <c r="C16" s="28" t="str">
        <f>VLOOKUP(A16&amp;"|"&amp;B16&amp;"|"&amp;"LOOK",'NPC Dialogue'!$A:$F,6,FALSE)</f>
        <v>Starving journalist</v>
      </c>
      <c r="D16" s="28"/>
      <c r="E16" s="19" t="str">
        <f t="shared" si="0"/>
        <v>/data merge entity @e[type=minecraft:villager,limit=1,sort=nearest] {CustomName:"Tracie"}</v>
      </c>
      <c r="F16" s="22" t="str">
        <f t="shared" si="1"/>
        <v>/tag @e[type=minecraft:villager,name="Tracie",limit=1] add npc_tracie</v>
      </c>
    </row>
    <row r="17" spans="1:6" ht="21.6" x14ac:dyDescent="0.3">
      <c r="A17" s="20" t="s">
        <v>714</v>
      </c>
      <c r="B17" s="27" t="s">
        <v>848</v>
      </c>
      <c r="C17" s="27" t="str">
        <f>VLOOKUP(A17&amp;"|"&amp;B17&amp;"|"&amp;"LOOK",'NPC Dialogue'!$A:$F,6,FALSE)</f>
        <v>A battered mage.</v>
      </c>
      <c r="D17" s="27"/>
      <c r="E17" s="19" t="str">
        <f t="shared" si="0"/>
        <v>/data merge entity @e[type=minecraft:villager,limit=1,sort=nearest] {CustomName:"Tyrone"}</v>
      </c>
      <c r="F17" s="22" t="str">
        <f t="shared" si="1"/>
        <v>/tag @e[type=minecraft:villager,name="Tyrone",limit=1] add npc_tyrone</v>
      </c>
    </row>
    <row r="18" spans="1:6" ht="21.6" x14ac:dyDescent="0.3">
      <c r="A18" s="20" t="s">
        <v>714</v>
      </c>
      <c r="B18" s="21" t="s">
        <v>840</v>
      </c>
      <c r="C18" s="21" t="str">
        <f>VLOOKUP(A18&amp;"|"&amp;B18&amp;"|"&amp;"LOOK",'NPC Dialogue'!$A:$F,6,FALSE)</f>
        <v>A Nitwit eating a sandwich.</v>
      </c>
      <c r="D18" s="21"/>
      <c r="E18" s="19" t="str">
        <f t="shared" si="0"/>
        <v>/data merge entity @e[type=minecraft:villager,limit=1,sort=nearest] {CustomName:"William"}</v>
      </c>
      <c r="F18" s="22" t="str">
        <f t="shared" si="1"/>
        <v>/tag @e[type=minecraft:villager,name="William",limit=1] add npc_william</v>
      </c>
    </row>
    <row r="19" spans="1:6" ht="21.6" x14ac:dyDescent="0.3">
      <c r="A19" s="20" t="s">
        <v>714</v>
      </c>
      <c r="B19" s="37" t="s">
        <v>2258</v>
      </c>
      <c r="C19" s="37" t="str">
        <f>VLOOKUP(A19&amp;"|"&amp;B19&amp;"|"&amp;"LOOK",'NPC Dialogue'!$A:$F,6,FALSE)</f>
        <v>I am the Proprietor of Sage Deli, here.</v>
      </c>
      <c r="D19" s="37"/>
      <c r="E19" s="19" t="str">
        <f t="shared" si="0"/>
        <v>/data merge entity @e[type=minecraft:villager,limit=1,sort=nearest] {CustomName:"Shaman"}</v>
      </c>
      <c r="F19" s="22" t="str">
        <f t="shared" ref="F19" si="2">"/tag @e[type=minecraft:villager,name="""&amp;B19&amp;""",limit=1] add npc_"&amp;LOWER(B19)</f>
        <v>/tag @e[type=minecraft:villager,name="Shaman",limit=1] add npc_shaman</v>
      </c>
    </row>
    <row r="20" spans="1:6" ht="21.6" x14ac:dyDescent="0.3">
      <c r="A20" s="20" t="s">
        <v>714</v>
      </c>
      <c r="B20" s="36" t="s">
        <v>2456</v>
      </c>
      <c r="C20" s="37" t="str">
        <f>VLOOKUP(A20&amp;"|"&amp;B20&amp;"|"&amp;"LOOK",'NPC Dialogue'!$A:$F,6,FALSE)</f>
        <v>I am the Proprietor of The Healer shoppe.</v>
      </c>
      <c r="D20" s="37"/>
      <c r="E20" s="19" t="str">
        <f t="shared" si="0"/>
        <v>/data merge entity @e[type=minecraft:villager,limit=1,sort=nearest] {CustomName:"Harmony"}</v>
      </c>
      <c r="F20" s="22" t="str">
        <f t="shared" ref="F20" si="3">"/tag @e[type=minecraft:villager,name="""&amp;B20&amp;""",limit=1] add npc_"&amp;LOWER(B20)</f>
        <v>/tag @e[type=minecraft:villager,name="Harmony",limit=1] add npc_harmony</v>
      </c>
    </row>
    <row r="21" spans="1:6" ht="21.6" x14ac:dyDescent="0.3">
      <c r="A21" s="20" t="s">
        <v>714</v>
      </c>
      <c r="B21" s="36" t="s">
        <v>2457</v>
      </c>
      <c r="C21" s="37" t="str">
        <f>IF(ISNA(VLOOKUP(A21&amp;"|"&amp;B21&amp;"|"&amp;"LOOK",'NPC Dialogue'!$A:$F,6,FALSE)),VLOOKUP(A21&amp;"|"&amp;B21&amp;"|"&amp;"You see...",'NPC Dialogue'!$A:$F,6,FALSE),VLOOKUP(A21&amp;"|"&amp;B21&amp;"|"&amp;"LOOK",'NPC Dialogue'!$A:$F,6,FALSE))</f>
        <v>I am the Propriety of Magical Herbs</v>
      </c>
      <c r="D21" s="37"/>
      <c r="E21" s="19" t="str">
        <f t="shared" si="0"/>
        <v>/data merge entity @e[type=minecraft:villager,limit=1,sort=nearest] {CustomName:"Margot"}</v>
      </c>
      <c r="F21" s="22" t="str">
        <f t="shared" ref="F21" si="4">"/tag @e[type=minecraft:villager,name="""&amp;B21&amp;""",limit=1] add npc_"&amp;LOWER(B21)</f>
        <v>/tag @e[type=minecraft:villager,name="Margot",limit=1] add npc_margot</v>
      </c>
    </row>
    <row r="22" spans="1:6" ht="21.6" x14ac:dyDescent="0.3">
      <c r="A22" s="20" t="s">
        <v>1397</v>
      </c>
      <c r="B22" s="52" t="s">
        <v>1417</v>
      </c>
      <c r="C22" s="53" t="str">
        <f>IF(ISNA(VLOOKUP(A22&amp;"|"&amp;B22&amp;"|"&amp;"LOOK",'NPC Dialogue'!$A:$F,6,FALSE)),VLOOKUP(A22&amp;"|"&amp;B22&amp;"|"&amp;"You see..",'NPC Dialogue'!$A:$F,6,FALSE),VLOOKUP(A22&amp;"|"&amp;B22&amp;"|"&amp;"LOOK",'NPC Dialogue'!$A:$F,6,FALSE))</f>
        <v>A dignified paladin.</v>
      </c>
      <c r="D22" s="54" t="s">
        <v>2513</v>
      </c>
      <c r="E22" s="19" t="str">
        <f t="shared" ref="E22:E32" si="5">"/data merge entity @e[type=minecraft:villager,limit=1,sort=nearest] {CustomName:"""&amp;B22&amp;"""}"</f>
        <v>/data merge entity @e[type=minecraft:villager,limit=1,sort=nearest] {CustomName:"Aristotle"}</v>
      </c>
      <c r="F22" s="22" t="str">
        <f t="shared" ref="F22:F32" si="6">"/tag @e[type=minecraft:villager,name="""&amp;B22&amp;""",limit=1] add npc_"&amp;LOWER(B22)</f>
        <v>/tag @e[type=minecraft:villager,name="Aristotle",limit=1] add npc_aristotle</v>
      </c>
    </row>
    <row r="23" spans="1:6" ht="21.6" x14ac:dyDescent="0.3">
      <c r="A23" s="20" t="s">
        <v>1397</v>
      </c>
      <c r="B23" s="52" t="s">
        <v>2478</v>
      </c>
      <c r="C23" s="53" t="str">
        <f>IF(ISNA(VLOOKUP(A23&amp;"|"&amp;B23&amp;"|"&amp;"LOOK",'NPC Dialogue'!$A:$F,6,FALSE)),VLOOKUP(A23&amp;"|"&amp;B23&amp;"|"&amp;"You see..",'NPC Dialogue'!$A:$F,6,FALSE),VLOOKUP(A23&amp;"|"&amp;B23&amp;"|"&amp;"LOOK",'NPC Dialogue'!$A:$F,6,FALSE))</f>
        <v>I am the Proprietor of Duelling Weapons, here.</v>
      </c>
      <c r="D23" s="54" t="s">
        <v>2512</v>
      </c>
      <c r="E23" s="19" t="str">
        <f t="shared" si="5"/>
        <v>/data merge entity @e[type=minecraft:villager,limit=1,sort=nearest] {CustomName:"Jean"}</v>
      </c>
      <c r="F23" s="22" t="str">
        <f t="shared" si="6"/>
        <v>/tag @e[type=minecraft:villager,name="Jean",limit=1] add npc_jean</v>
      </c>
    </row>
    <row r="24" spans="1:6" ht="21.6" x14ac:dyDescent="0.3">
      <c r="A24" s="20" t="s">
        <v>1397</v>
      </c>
      <c r="B24" s="52" t="s">
        <v>2480</v>
      </c>
      <c r="C24" s="53" t="str">
        <f>IF(ISNA(VLOOKUP(A24&amp;"|"&amp;B24&amp;"|"&amp;"LOOK",'NPC Dialogue'!$A:$F,6,FALSE)),VLOOKUP(A24&amp;"|"&amp;B24&amp;"|"&amp;"You see..",'NPC Dialogue'!$A:$F,6,FALSE),VLOOKUP(A24&amp;"|"&amp;B24&amp;"|"&amp;"LOOK",'NPC Dialogue'!$A:$F,6,FALSE))</f>
        <v>I am the Proprietor of Duelling Armour, here.</v>
      </c>
      <c r="D24" s="56" t="s">
        <v>2511</v>
      </c>
      <c r="E24" s="19" t="str">
        <f t="shared" si="5"/>
        <v>/data merge entity @e[type=minecraft:villager,limit=1,sort=nearest] {CustomName:"Jumar"}</v>
      </c>
      <c r="F24" s="22" t="str">
        <f t="shared" si="6"/>
        <v>/tag @e[type=minecraft:villager,name="Jumar",limit=1] add npc_jumar</v>
      </c>
    </row>
    <row r="25" spans="1:6" ht="21.6" x14ac:dyDescent="0.3">
      <c r="A25" s="20" t="s">
        <v>1397</v>
      </c>
      <c r="B25" s="52" t="s">
        <v>1435</v>
      </c>
      <c r="C25" s="53" t="str">
        <f>IF(ISNA(VLOOKUP(A25&amp;"|"&amp;B25&amp;"|"&amp;"LOOK",'NPC Dialogue'!$A:$F,6,FALSE)),VLOOKUP(A25&amp;"|"&amp;B25&amp;"|"&amp;"You see..",'NPC Dialogue'!$A:$F,6,FALSE),VLOOKUP(A25&amp;"|"&amp;B25&amp;"|"&amp;"LOOK",'NPC Dialogue'!$A:$F,6,FALSE))</f>
        <v>A searching paladin!</v>
      </c>
      <c r="D25" s="54" t="s">
        <v>2514</v>
      </c>
      <c r="E25" s="19" t="str">
        <f t="shared" si="5"/>
        <v>/data merge entity @e[type=minecraft:villager,limit=1,sort=nearest] {CustomName:"Kline"}</v>
      </c>
      <c r="F25" s="22" t="str">
        <f t="shared" si="6"/>
        <v>/tag @e[type=minecraft:villager,name="Kline",limit=1] add npc_kline</v>
      </c>
    </row>
    <row r="26" spans="1:6" ht="21.6" x14ac:dyDescent="0.3">
      <c r="A26" s="20" t="s">
        <v>1397</v>
      </c>
      <c r="B26" s="52" t="s">
        <v>1426</v>
      </c>
      <c r="C26" s="53" t="str">
        <f>IF(ISNA(VLOOKUP(A26&amp;"|"&amp;B26&amp;"|"&amp;"LOOK",'NPC Dialogue'!$A:$F,6,FALSE)),VLOOKUP(A26&amp;"|"&amp;B26&amp;"|"&amp;"You see..",'NPC Dialogue'!$A:$F,6,FALSE),VLOOKUP(A26&amp;"|"&amp;B26&amp;"|"&amp;"LOOK",'NPC Dialogue'!$A:$F,6,FALSE))</f>
        <v>A shining paladin.</v>
      </c>
      <c r="D26" s="56" t="s">
        <v>2511</v>
      </c>
      <c r="E26" s="19" t="str">
        <f t="shared" si="5"/>
        <v>/data merge entity @e[type=minecraft:villager,limit=1,sort=nearest] {CustomName:"Lexington"}</v>
      </c>
      <c r="F26" s="22" t="str">
        <f t="shared" si="6"/>
        <v>/tag @e[type=minecraft:villager,name="Lexington",limit=1] add npc_lexington</v>
      </c>
    </row>
    <row r="27" spans="1:6" ht="21.6" x14ac:dyDescent="0.3">
      <c r="A27" s="20" t="s">
        <v>1397</v>
      </c>
      <c r="B27" s="55" t="s">
        <v>1402</v>
      </c>
      <c r="C27" s="53" t="str">
        <f>IF(ISNA(VLOOKUP(A27&amp;"|"&amp;B27&amp;"|"&amp;"LOOK",'NPC Dialogue'!$A:$F,6,FALSE)),VLOOKUP(A27&amp;"|"&amp;B27&amp;"|"&amp;"You see..",'NPC Dialogue'!$A:$F,6,FALSE),VLOOKUP(A27&amp;"|"&amp;B27&amp;"|"&amp;"LOOK",'NPC Dialogue'!$A:$F,6,FALSE))</f>
        <v>A strong paladin.</v>
      </c>
      <c r="D27" s="56" t="s">
        <v>2511</v>
      </c>
      <c r="E27" s="19" t="str">
        <f t="shared" si="5"/>
        <v>/data merge entity @e[type=minecraft:villager,limit=1,sort=nearest] {CustomName:"Rigmore"}</v>
      </c>
      <c r="F27" s="22" t="str">
        <f t="shared" si="6"/>
        <v>/tag @e[type=minecraft:villager,name="Rigmore",limit=1] add npc_rigmore</v>
      </c>
    </row>
    <row r="28" spans="1:6" ht="21.6" x14ac:dyDescent="0.3">
      <c r="A28" s="20" t="s">
        <v>1397</v>
      </c>
      <c r="B28" s="52" t="s">
        <v>1497</v>
      </c>
      <c r="C28" s="53" t="str">
        <f>IF(ISNA(VLOOKUP(A28&amp;"|"&amp;B28&amp;"|"&amp;"LOOK",'NPC Dialogue'!$A:$F,6,FALSE)),VLOOKUP(A28&amp;"|"&amp;B28&amp;"|"&amp;"You see..",'NPC Dialogue'!$A:$F,6,FALSE),VLOOKUP(A28&amp;"|"&amp;B28&amp;"|"&amp;"LOOK",'NPC Dialogue'!$A:$F,6,FALSE))</f>
        <v>A tall wizard.</v>
      </c>
      <c r="D28" s="54" t="s">
        <v>2510</v>
      </c>
      <c r="E28" s="19" t="str">
        <f t="shared" si="5"/>
        <v>/data merge entity @e[type=minecraft:villager,limit=1,sort=nearest] {CustomName:"Swindrik"}</v>
      </c>
      <c r="F28" s="22" t="str">
        <f t="shared" si="6"/>
        <v>/tag @e[type=minecraft:villager,name="Swindrik",limit=1] add npc_swindrik</v>
      </c>
    </row>
    <row r="29" spans="1:6" ht="21.6" x14ac:dyDescent="0.3">
      <c r="A29" s="20" t="s">
        <v>1397</v>
      </c>
      <c r="B29" s="52" t="s">
        <v>2482</v>
      </c>
      <c r="C29" s="53" t="str">
        <f>IF(ISNA(VLOOKUP(A29&amp;"|"&amp;B29&amp;"|"&amp;"LOOK",'NPC Dialogue'!$A:$F,6,FALSE)),VLOOKUP(A29&amp;"|"&amp;B29&amp;"|"&amp;"You see..",'NPC Dialogue'!$A:$F,6,FALSE),VLOOKUP(A29&amp;"|"&amp;B29&amp;"|"&amp;"LOOK",'NPC Dialogue'!$A:$F,6,FALSE))</f>
        <v>I am the Proprietor of The Keg Tap, here.</v>
      </c>
      <c r="D29" s="54" t="s">
        <v>2507</v>
      </c>
      <c r="E29" s="19" t="str">
        <f t="shared" si="5"/>
        <v>/data merge entity @e[type=minecraft:villager,limit=1,sort=nearest] {CustomName:"Terran"}</v>
      </c>
      <c r="F29" s="22" t="str">
        <f t="shared" si="6"/>
        <v>/tag @e[type=minecraft:villager,name="Terran",limit=1] add npc_terran</v>
      </c>
    </row>
    <row r="30" spans="1:6" ht="21.6" x14ac:dyDescent="0.3">
      <c r="A30" s="20" t="s">
        <v>1397</v>
      </c>
      <c r="B30" s="52" t="s">
        <v>1448</v>
      </c>
      <c r="C30" s="53" t="str">
        <f>IF(ISNA(VLOOKUP(A30&amp;"|"&amp;B30&amp;"|"&amp;"LOOK",'NPC Dialogue'!$A:$F,6,FALSE)),VLOOKUP(A30&amp;"|"&amp;B30&amp;"|"&amp;"You see..",'NPC Dialogue'!$A:$F,6,FALSE),VLOOKUP(A30&amp;"|"&amp;B30&amp;"|"&amp;"LOOK",'NPC Dialogue'!$A:$F,6,FALSE))</f>
        <v>A scared, cowering nitwit</v>
      </c>
      <c r="D30" s="54" t="s">
        <v>2508</v>
      </c>
      <c r="E30" s="19" t="str">
        <f t="shared" si="5"/>
        <v>/data merge entity @e[type=minecraft:villager,limit=1,sort=nearest] {CustomName:"Terrin"}</v>
      </c>
      <c r="F30" s="22" t="str">
        <f t="shared" si="6"/>
        <v>/tag @e[type=minecraft:villager,name="Terrin",limit=1] add npc_terrin</v>
      </c>
    </row>
    <row r="31" spans="1:6" ht="21.6" x14ac:dyDescent="0.3">
      <c r="A31" s="20" t="s">
        <v>1397</v>
      </c>
      <c r="B31" s="52" t="s">
        <v>1441</v>
      </c>
      <c r="C31" s="53" t="str">
        <f>IF(ISNA(VLOOKUP(A31&amp;"|"&amp;B31&amp;"|"&amp;"LOOK",'NPC Dialogue'!$A:$F,6,FALSE)),VLOOKUP(A31&amp;"|"&amp;B31&amp;"|"&amp;"You see..",'NPC Dialogue'!$A:$F,6,FALSE),VLOOKUP(A31&amp;"|"&amp;B31&amp;"|"&amp;"LOOK",'NPC Dialogue'!$A:$F,6,FALSE))</f>
        <v>A scruffy merchant.</v>
      </c>
      <c r="D31" s="54" t="s">
        <v>2509</v>
      </c>
      <c r="E31" s="19" t="str">
        <f t="shared" si="5"/>
        <v>/data merge entity @e[type=minecraft:villager,limit=1,sort=nearest] {CustomName:"Winthrop"}</v>
      </c>
      <c r="F31" s="22" t="str">
        <f t="shared" si="6"/>
        <v>/tag @e[type=minecraft:villager,name="Winthrop",limit=1] add npc_winthrop</v>
      </c>
    </row>
    <row r="32" spans="1:6" ht="21.6" x14ac:dyDescent="0.3">
      <c r="A32" s="20" t="s">
        <v>1397</v>
      </c>
      <c r="B32" s="52" t="s">
        <v>427</v>
      </c>
      <c r="C32" s="53" t="str">
        <f>IF(ISNA(VLOOKUP(A32&amp;"|"&amp;B32&amp;"|"&amp;"LOOK",'NPC Dialogue'!$A:$F,6,FALSE)),VLOOKUP(A32&amp;"|"&amp;B32&amp;"|"&amp;"You see..",'NPC Dialogue'!$A:$F,6,FALSE),VLOOKUP(A32&amp;"|"&amp;B32&amp;"|"&amp;"LOOK",'NPC Dialogue'!$A:$F,6,FALSE))</f>
        <v>I am the Proprietor of the Honorable Inn, here.</v>
      </c>
      <c r="D32" s="54" t="s">
        <v>2515</v>
      </c>
      <c r="E32" s="19" t="str">
        <f t="shared" si="5"/>
        <v>/data merge entity @e[type=minecraft:villager,limit=1,sort=nearest] {CustomName:"Zajac"}</v>
      </c>
      <c r="F32" s="22" t="str">
        <f t="shared" si="6"/>
        <v>/tag @e[type=minecraft:villager,name="Zajac",limit=1] add npc_zajac</v>
      </c>
    </row>
    <row r="33" spans="1:9" ht="21.6" x14ac:dyDescent="0.3">
      <c r="A33" s="20" t="s">
        <v>1263</v>
      </c>
      <c r="B33" s="52" t="s">
        <v>1318</v>
      </c>
      <c r="C33" s="53" t="str">
        <f>IF(ISNA(VLOOKUP(A33&amp;"|"&amp;B33&amp;"|"&amp;"LOOK",'NPC Dialogue'!$A:$F,6,FALSE)),VLOOKUP(A33&amp;"|"&amp;B33&amp;"|"&amp;"You see..",'NPC Dialogue'!$A:$F,6,FALSE),VLOOKUP(A33&amp;"|"&amp;B33&amp;"|"&amp;"LOOK",'NPC Dialogue'!$A:$F,6,FALSE))</f>
        <v>A poor beggar.</v>
      </c>
      <c r="D33" s="50" t="s">
        <v>2508</v>
      </c>
      <c r="E33" s="19" t="str">
        <f t="shared" ref="E33:E37" si="7">"/data merge entity @e[type=minecraft:villager,limit=1,sort=nearest] {CustomName:"""&amp;B33&amp;"""}"</f>
        <v>/data merge entity @e[type=minecraft:villager,limit=1,sort=nearest] {CustomName:"Beggar"}</v>
      </c>
      <c r="F33" s="21" t="str">
        <f t="shared" ref="F33:F34" si="8">"/tag @e[type=minecraft:villager,name="""&amp;B33&amp;""",limit=1] add npc_"&amp;SUBSTITUTE(LOWER(B33)," ","_")</f>
        <v>/tag @e[type=minecraft:villager,name="Beggar",limit=1] add npc_beggar</v>
      </c>
      <c r="G33" t="str">
        <f t="shared" ref="G33:G47" si="9">B33</f>
        <v>Beggar</v>
      </c>
      <c r="H33" t="str">
        <f t="shared" ref="H33:H47" si="10">MID(F33,I33+4,99)</f>
        <v>npc_beggar</v>
      </c>
      <c r="I33">
        <f t="shared" ref="I33:I47" si="11">FIND("add npc",F33)</f>
        <v>56</v>
      </c>
    </row>
    <row r="34" spans="1:9" ht="21.6" x14ac:dyDescent="0.3">
      <c r="A34" s="20" t="s">
        <v>1263</v>
      </c>
      <c r="B34" s="52" t="s">
        <v>1345</v>
      </c>
      <c r="C34" s="53" t="str">
        <f>IF(ISNA(VLOOKUP(A34&amp;"|"&amp;B34&amp;"|"&amp;"LOOK",'NPC Dialogue'!$A:$F,6,FALSE)),VLOOKUP(A34&amp;"|"&amp;B34&amp;"|"&amp;"You see..",'NPC Dialogue'!$A:$F,6,FALSE),VLOOKUP(A34&amp;"|"&amp;B34&amp;"|"&amp;"LOOK",'NPC Dialogue'!$A:$F,6,FALSE))</f>
        <v>A solemn druid.</v>
      </c>
      <c r="D34" s="50" t="s">
        <v>2548</v>
      </c>
      <c r="E34" s="19" t="str">
        <f t="shared" si="7"/>
        <v>/data merge entity @e[type=minecraft:villager,limit=1,sort=nearest] {CustomName:"Calumny"}</v>
      </c>
      <c r="F34" s="21" t="str">
        <f t="shared" si="8"/>
        <v>/tag @e[type=minecraft:villager,name="Calumny",limit=1] add npc_calumny</v>
      </c>
      <c r="G34" t="str">
        <f t="shared" si="9"/>
        <v>Calumny</v>
      </c>
      <c r="H34" t="str">
        <f t="shared" si="10"/>
        <v>npc_calumny</v>
      </c>
      <c r="I34">
        <f t="shared" si="11"/>
        <v>57</v>
      </c>
    </row>
    <row r="35" spans="1:9" ht="21.6" x14ac:dyDescent="0.3">
      <c r="A35" s="20" t="s">
        <v>1263</v>
      </c>
      <c r="B35" s="52" t="s">
        <v>1380</v>
      </c>
      <c r="C35" s="53" t="str">
        <f>IF(ISNA(VLOOKUP(A35&amp;"|"&amp;B35&amp;"|"&amp;"LOOK",'NPC Dialogue'!$A:$F,6,FALSE)),VLOOKUP(A35&amp;"|"&amp;B35&amp;"|"&amp;"You see..",'NPC Dialogue'!$A:$F,6,FALSE),VLOOKUP(A35&amp;"|"&amp;B35&amp;"|"&amp;"LOOK",'NPC Dialogue'!$A:$F,6,FALSE))</f>
        <v>A tall guard</v>
      </c>
      <c r="D35" s="50" t="s">
        <v>2530</v>
      </c>
      <c r="E35" s="19" t="str">
        <f t="shared" si="7"/>
        <v>/data merge entity @e[type=minecraft:villager,limit=1,sort=nearest] {CustomName:"Court Guard"}</v>
      </c>
      <c r="F35" s="21" t="str">
        <f>"/tag @e[type=minecraft:villager,name="""&amp;B35&amp;""",limit=1] add npc_"&amp;SUBSTITUTE(LOWER(B35)," ","_")</f>
        <v>/tag @e[type=minecraft:villager,name="Court Guard",limit=1] add npc_court_guard</v>
      </c>
      <c r="G35" t="str">
        <f t="shared" si="9"/>
        <v>Court Guard</v>
      </c>
      <c r="H35" t="str">
        <f t="shared" si="10"/>
        <v>npc_court_guard</v>
      </c>
      <c r="I35">
        <f t="shared" si="11"/>
        <v>61</v>
      </c>
    </row>
    <row r="36" spans="1:9" ht="21.6" x14ac:dyDescent="0.3">
      <c r="A36" s="20" t="s">
        <v>1263</v>
      </c>
      <c r="B36" s="52" t="s">
        <v>2549</v>
      </c>
      <c r="C36" s="53" t="e">
        <f>IF(ISNA(VLOOKUP(A36&amp;"|"&amp;B36&amp;"|"&amp;"LOOK",'NPC Dialogue'!$A:$F,6,FALSE)),VLOOKUP(A36&amp;"|"&amp;B36&amp;"|"&amp;"You see..",'NPC Dialogue'!$A:$F,6,FALSE),VLOOKUP(A36&amp;"|"&amp;B36&amp;"|"&amp;"LOOK",'NPC Dialogue'!$A:$F,6,FALSE))</f>
        <v>#N/A</v>
      </c>
      <c r="D36" s="50" t="s">
        <v>2547</v>
      </c>
      <c r="E36" s="19" t="str">
        <f t="shared" si="7"/>
        <v>/data merge entity @e[type=minecraft:villager,limit=1,sort=nearest] {CustomName:"A.Druid"}</v>
      </c>
      <c r="F36" s="21" t="str">
        <f t="shared" ref="F36:F47" si="12">"/tag @e[type=minecraft:villager,name="""&amp;B36&amp;""",limit=1] add npc_"&amp;SUBSTITUTE(LOWER(B36)," ","_")</f>
        <v>/tag @e[type=minecraft:villager,name="A.Druid",limit=1] add npc_a.druid</v>
      </c>
      <c r="G36" t="str">
        <f t="shared" si="9"/>
        <v>A.Druid</v>
      </c>
      <c r="H36" t="str">
        <f t="shared" si="10"/>
        <v>npc_a.druid</v>
      </c>
      <c r="I36">
        <f t="shared" si="11"/>
        <v>57</v>
      </c>
    </row>
    <row r="37" spans="1:9" ht="21.6" x14ac:dyDescent="0.3">
      <c r="A37" s="20" t="s">
        <v>1263</v>
      </c>
      <c r="B37" s="52" t="s">
        <v>2527</v>
      </c>
      <c r="C37" s="53" t="str">
        <f>IF(ISNA(VLOOKUP(A37&amp;"|"&amp;B37&amp;"|"&amp;"LOOK",'NPC Dialogue'!$A:$F,6,FALSE)),VLOOKUP(A37&amp;"|"&amp;B37&amp;"|"&amp;"You see..",'NPC Dialogue'!$A:$F,6,FALSE),VLOOKUP(A37&amp;"|"&amp;B37&amp;"|"&amp;"LOOK",'NPC Dialogue'!$A:$F,6,FALSE))</f>
        <v>A wise druid.</v>
      </c>
      <c r="D37" s="50" t="s">
        <v>2535</v>
      </c>
      <c r="E37" s="19" t="str">
        <f t="shared" si="7"/>
        <v>/data merge entity @e[type=minecraft:villager,limit=1,sort=nearest] {CustomName:"DWP"}</v>
      </c>
      <c r="F37" s="21" t="str">
        <f t="shared" si="12"/>
        <v>/tag @e[type=minecraft:villager,name="DWP",limit=1] add npc_dwp</v>
      </c>
      <c r="G37" t="str">
        <f t="shared" si="9"/>
        <v>DWP</v>
      </c>
      <c r="H37" t="str">
        <f t="shared" si="10"/>
        <v>npc_dwp</v>
      </c>
      <c r="I37">
        <f t="shared" si="11"/>
        <v>53</v>
      </c>
    </row>
    <row r="38" spans="1:9" ht="21.6" x14ac:dyDescent="0.3">
      <c r="A38" s="20" t="s">
        <v>1263</v>
      </c>
      <c r="B38" s="52" t="s">
        <v>1336</v>
      </c>
      <c r="C38" s="53" t="str">
        <f>IF(ISNA(VLOOKUP(A38&amp;"|"&amp;B38&amp;"|"&amp;"LOOK",'NPC Dialogue'!$A:$F,6,FALSE)),VLOOKUP(A38&amp;"|"&amp;B38&amp;"|"&amp;"You see..",'NPC Dialogue'!$A:$F,6,FALSE),VLOOKUP(A38&amp;"|"&amp;B38&amp;"|"&amp;"LOOK",'NPC Dialogue'!$A:$F,6,FALSE))</f>
        <v>A withered form.</v>
      </c>
      <c r="D38" s="50" t="s">
        <v>2536</v>
      </c>
      <c r="E38" s="19" t="str">
        <f t="shared" ref="E38:E47" si="13">"/data merge entity @e[type=minecraft:villager,limit=1,sort=nearest] {CustomName:"""&amp;B38&amp;"""}"</f>
        <v>/data merge entity @e[type=minecraft:villager,limit=1,sort=nearest] {CustomName:"Frida"}</v>
      </c>
      <c r="F38" s="21" t="str">
        <f t="shared" si="12"/>
        <v>/tag @e[type=minecraft:villager,name="Frida",limit=1] add npc_frida</v>
      </c>
      <c r="G38" t="str">
        <f t="shared" si="9"/>
        <v>Frida</v>
      </c>
      <c r="H38" t="str">
        <f t="shared" si="10"/>
        <v>npc_frida</v>
      </c>
      <c r="I38">
        <f t="shared" si="11"/>
        <v>55</v>
      </c>
    </row>
    <row r="39" spans="1:9" ht="21.6" x14ac:dyDescent="0.3">
      <c r="A39" s="20" t="s">
        <v>1263</v>
      </c>
      <c r="B39" s="52" t="s">
        <v>337</v>
      </c>
      <c r="C39" s="53" t="str">
        <f>IF(ISNA(VLOOKUP(A39&amp;"|"&amp;B39&amp;"|"&amp;"LOOK",'NPC Dialogue'!$A:$F,6,FALSE)),VLOOKUP(A39&amp;"|"&amp;B39&amp;"|"&amp;"You see..",'NPC Dialogue'!$A:$F,6,FALSE),VLOOKUP(A39&amp;"|"&amp;B39&amp;"|"&amp;"LOOK",'NPC Dialogue'!$A:$F,6,FALSE))</f>
        <v>A big guard</v>
      </c>
      <c r="D39" s="50" t="s">
        <v>2537</v>
      </c>
      <c r="E39" s="19" t="str">
        <f t="shared" si="13"/>
        <v>/data merge entity @e[type=minecraft:villager,limit=1,sort=nearest] {CustomName:"Guard"}</v>
      </c>
      <c r="F39" s="21" t="str">
        <f t="shared" si="12"/>
        <v>/tag @e[type=minecraft:villager,name="Guard",limit=1] add npc_guard</v>
      </c>
      <c r="G39" t="str">
        <f t="shared" si="9"/>
        <v>Guard</v>
      </c>
      <c r="H39" t="str">
        <f t="shared" si="10"/>
        <v>npc_guard</v>
      </c>
      <c r="I39">
        <f t="shared" si="11"/>
        <v>55</v>
      </c>
    </row>
    <row r="40" spans="1:9" ht="21.6" x14ac:dyDescent="0.3">
      <c r="A40" s="20" t="s">
        <v>1263</v>
      </c>
      <c r="B40" s="55" t="s">
        <v>1264</v>
      </c>
      <c r="C40" s="53" t="str">
        <f>IF(ISNA(VLOOKUP(A40&amp;"|"&amp;B40&amp;"|"&amp;"LOOK",'NPC Dialogue'!$A:$F,6,FALSE)),VLOOKUP(A40&amp;"|"&amp;B40&amp;"|"&amp;"You see..",'NPC Dialogue'!$A:$F,6,FALSE),VLOOKUP(A40&amp;"|"&amp;B40&amp;"|"&amp;"LOOK",'NPC Dialogue'!$A:$F,6,FALSE))</f>
        <v>A quiet druid</v>
      </c>
      <c r="D40" s="59" t="s">
        <v>2546</v>
      </c>
      <c r="E40" s="19" t="str">
        <f t="shared" si="13"/>
        <v>/data merge entity @e[type=minecraft:villager,limit=1,sort=nearest] {CustomName:"Jaana"}</v>
      </c>
      <c r="F40" s="21" t="str">
        <f t="shared" si="12"/>
        <v>/tag @e[type=minecraft:villager,name="Jaana",limit=1] add npc_jaana</v>
      </c>
      <c r="G40" t="str">
        <f t="shared" si="9"/>
        <v>Jaana</v>
      </c>
      <c r="H40" t="str">
        <f t="shared" si="10"/>
        <v>npc_jaana</v>
      </c>
      <c r="I40">
        <f t="shared" si="11"/>
        <v>55</v>
      </c>
    </row>
    <row r="41" spans="1:9" ht="21.6" x14ac:dyDescent="0.3">
      <c r="A41" s="20" t="s">
        <v>1263</v>
      </c>
      <c r="B41" s="52" t="s">
        <v>1389</v>
      </c>
      <c r="C41" s="53" t="str">
        <f>IF(ISNA(VLOOKUP(A41&amp;"|"&amp;B41&amp;"|"&amp;"LOOK",'NPC Dialogue'!$A:$F,6,FALSE)),VLOOKUP(A41&amp;"|"&amp;B41&amp;"|"&amp;"You see..",'NPC Dialogue'!$A:$F,6,FALSE),VLOOKUP(A41&amp;"|"&amp;B41&amp;"|"&amp;"LOOK",'NPC Dialogue'!$A:$F,6,FALSE))</f>
        <v>A big guard.</v>
      </c>
      <c r="D41" s="50" t="s">
        <v>2530</v>
      </c>
      <c r="E41" s="19" t="str">
        <f t="shared" si="13"/>
        <v>/data merge entity @e[type=minecraft:villager,limit=1,sort=nearest] {CustomName:"Jail Guard"}</v>
      </c>
      <c r="F41" s="21" t="str">
        <f t="shared" si="12"/>
        <v>/tag @e[type=minecraft:villager,name="Jail Guard",limit=1] add npc_jail_guard</v>
      </c>
      <c r="G41" t="str">
        <f t="shared" si="9"/>
        <v>Jail Guard</v>
      </c>
      <c r="H41" t="str">
        <f t="shared" si="10"/>
        <v>npc_jail_guard</v>
      </c>
      <c r="I41">
        <f t="shared" si="11"/>
        <v>60</v>
      </c>
    </row>
    <row r="42" spans="1:9" ht="21.6" x14ac:dyDescent="0.3">
      <c r="A42" s="20" t="s">
        <v>1263</v>
      </c>
      <c r="B42" s="52" t="s">
        <v>1289</v>
      </c>
      <c r="C42" s="53" t="str">
        <f>IF(ISNA(VLOOKUP(A42&amp;"|"&amp;B42&amp;"|"&amp;"LOOK",'NPC Dialogue'!$A:$F,6,FALSE)),VLOOKUP(A42&amp;"|"&amp;B42&amp;"|"&amp;"You see..",'NPC Dialogue'!$A:$F,6,FALSE),VLOOKUP(A42&amp;"|"&amp;B42&amp;"|"&amp;"LOOK",'NPC Dialogue'!$A:$F,6,FALSE))</f>
        <v>A thin man.</v>
      </c>
      <c r="D42" s="50" t="s">
        <v>2538</v>
      </c>
      <c r="E42" s="19" t="str">
        <f t="shared" si="13"/>
        <v>/data merge entity @e[type=minecraft:villager,limit=1,sort=nearest] {CustomName:"Pinrod"}</v>
      </c>
      <c r="F42" s="21" t="str">
        <f t="shared" si="12"/>
        <v>/tag @e[type=minecraft:villager,name="Pinrod",limit=1] add npc_pinrod</v>
      </c>
      <c r="G42" t="str">
        <f t="shared" si="9"/>
        <v>Pinrod</v>
      </c>
      <c r="H42" t="str">
        <f t="shared" si="10"/>
        <v>npc_pinrod</v>
      </c>
      <c r="I42">
        <f t="shared" si="11"/>
        <v>56</v>
      </c>
    </row>
    <row r="43" spans="1:9" ht="21.6" x14ac:dyDescent="0.3">
      <c r="A43" s="20" t="s">
        <v>1263</v>
      </c>
      <c r="B43" s="52" t="s">
        <v>2534</v>
      </c>
      <c r="C43" s="53" t="str">
        <f>IF(ISNA(VLOOKUP(A43&amp;"|"&amp;B43&amp;"|"&amp;"LOOK",'NPC Dialogue'!$A:$F,6,FALSE)),VLOOKUP(A43&amp;"|"&amp;B43&amp;"|"&amp;"You see..",'NPC Dialogue'!$A:$F,6,FALSE),VLOOKUP(A43&amp;"|"&amp;B43&amp;"|"&amp;"LOOK",'NPC Dialogue'!$A:$F,6,FALSE))</f>
        <v>A sleek ranger.</v>
      </c>
      <c r="D43" s="50" t="s">
        <v>2543</v>
      </c>
      <c r="E43" s="19" t="str">
        <f t="shared" si="13"/>
        <v>/data merge entity @e[type=minecraft:villager,limit=1,sort=nearest] {CustomName:"Ranger Rick"}</v>
      </c>
      <c r="F43" s="21" t="str">
        <f t="shared" si="12"/>
        <v>/tag @e[type=minecraft:villager,name="Ranger Rick",limit=1] add npc_ranger_rick</v>
      </c>
      <c r="G43" t="str">
        <f t="shared" si="9"/>
        <v>Ranger Rick</v>
      </c>
      <c r="H43" t="str">
        <f t="shared" si="10"/>
        <v>npc_ranger_rick</v>
      </c>
      <c r="I43">
        <f t="shared" si="11"/>
        <v>61</v>
      </c>
    </row>
    <row r="44" spans="1:9" ht="21.6" x14ac:dyDescent="0.3">
      <c r="A44" s="20" t="s">
        <v>1263</v>
      </c>
      <c r="B44" s="52" t="s">
        <v>1364</v>
      </c>
      <c r="C44" s="53" t="str">
        <f>IF(ISNA(VLOOKUP(A44&amp;"|"&amp;B44&amp;"|"&amp;"LOOK",'NPC Dialogue'!$A:$F,6,FALSE)),VLOOKUP(A44&amp;"|"&amp;B44&amp;"|"&amp;"You see..",'NPC Dialogue'!$A:$F,6,FALSE),VLOOKUP(A44&amp;"|"&amp;B44&amp;"|"&amp;"LOOK",'NPC Dialogue'!$A:$F,6,FALSE))</f>
        <v>A small child</v>
      </c>
      <c r="D44" s="50" t="s">
        <v>2544</v>
      </c>
      <c r="E44" s="19" t="str">
        <f t="shared" si="13"/>
        <v>/data merge entity @e[type=minecraft:villager,limit=1,sort=nearest] {CustomName:"Short Round"}</v>
      </c>
      <c r="F44" s="21" t="str">
        <f t="shared" si="12"/>
        <v>/tag @e[type=minecraft:villager,name="Short Round",limit=1] add npc_short_round</v>
      </c>
      <c r="G44" t="str">
        <f t="shared" si="9"/>
        <v>Short Round</v>
      </c>
      <c r="H44" t="str">
        <f t="shared" si="10"/>
        <v>npc_short_round</v>
      </c>
      <c r="I44">
        <f t="shared" si="11"/>
        <v>61</v>
      </c>
    </row>
    <row r="45" spans="1:9" ht="21.6" x14ac:dyDescent="0.3">
      <c r="A45" s="20" t="s">
        <v>1263</v>
      </c>
      <c r="B45" s="55" t="s">
        <v>2550</v>
      </c>
      <c r="C45" s="53" t="str">
        <f>IF(ISNA(VLOOKUP(A45&amp;"|"&amp;B45&amp;"|"&amp;"LOOK",'NPC Dialogue'!$A:$F,6,FALSE)),VLOOKUP(A45&amp;"|"&amp;B45&amp;"|"&amp;"You see..",'NPC Dialogue'!$A:$F,6,FALSE),VLOOKUP(A45&amp;"|"&amp;B45&amp;"|"&amp;"LOOK",'NPC Dialogue'!$A:$F,6,FALSE))</f>
        <v>A chanting druid</v>
      </c>
      <c r="D45" s="59" t="s">
        <v>2545</v>
      </c>
      <c r="E45" s="19" t="str">
        <f t="shared" si="13"/>
        <v>/data merge entity @e[type=minecraft:villager,limit=1,sort=nearest] {CustomName:"Cy Lent"}</v>
      </c>
      <c r="F45" s="21" t="str">
        <f t="shared" si="12"/>
        <v>/tag @e[type=minecraft:villager,name="Cy Lent",limit=1] add npc_cy_lent</v>
      </c>
      <c r="G45" t="str">
        <f t="shared" si="9"/>
        <v>Cy Lent</v>
      </c>
      <c r="H45" t="str">
        <f t="shared" si="10"/>
        <v>npc_cy_lent</v>
      </c>
      <c r="I45">
        <f t="shared" si="11"/>
        <v>57</v>
      </c>
    </row>
    <row r="46" spans="1:9" ht="21.6" x14ac:dyDescent="0.3">
      <c r="A46" s="20" t="s">
        <v>1263</v>
      </c>
      <c r="B46" s="52" t="s">
        <v>1311</v>
      </c>
      <c r="C46" s="53" t="str">
        <f>IF(ISNA(VLOOKUP(A46&amp;"|"&amp;B46&amp;"|"&amp;"LOOK",'NPC Dialogue'!$A:$F,6,FALSE)),VLOOKUP(A46&amp;"|"&amp;B46&amp;"|"&amp;"You see..",'NPC Dialogue'!$A:$F,6,FALSE),VLOOKUP(A46&amp;"|"&amp;B46&amp;"|"&amp;"LOOK",'NPC Dialogue'!$A:$F,6,FALSE))</f>
        <v>A wise judge.</v>
      </c>
      <c r="D46" s="50" t="s">
        <v>2513</v>
      </c>
      <c r="E46" s="19" t="str">
        <f t="shared" si="13"/>
        <v>/data merge entity @e[type=minecraft:villager,limit=1,sort=nearest] {CustomName:"Talfourd"}</v>
      </c>
      <c r="F46" s="21" t="str">
        <f t="shared" si="12"/>
        <v>/tag @e[type=minecraft:villager,name="Talfourd",limit=1] add npc_talfourd</v>
      </c>
      <c r="G46" t="str">
        <f t="shared" si="9"/>
        <v>Talfourd</v>
      </c>
      <c r="H46" t="str">
        <f t="shared" si="10"/>
        <v>npc_talfourd</v>
      </c>
      <c r="I46">
        <f t="shared" si="11"/>
        <v>58</v>
      </c>
    </row>
    <row r="47" spans="1:9" ht="21.6" x14ac:dyDescent="0.3">
      <c r="A47" s="20" t="s">
        <v>1263</v>
      </c>
      <c r="B47" s="52" t="s">
        <v>1325</v>
      </c>
      <c r="C47" s="57" t="str">
        <f>IF(ISNA(VLOOKUP(A47&amp;"|"&amp;B47&amp;"|"&amp;"LOOK",'NPC Dialogue'!$A:$F,6,FALSE)),VLOOKUP(A47&amp;"|"&amp;B47&amp;"|"&amp;"You see..",'NPC Dialogue'!$A:$F,6,FALSE),VLOOKUP(A47&amp;"|"&amp;B47&amp;"|"&amp;"LOOK",'NPC Dialogue'!$A:$F,6,FALSE))</f>
        <v>A mean nasty ugly villain!</v>
      </c>
      <c r="D47" s="50" t="s">
        <v>2512</v>
      </c>
      <c r="E47" s="19" t="str">
        <f t="shared" si="13"/>
        <v>/data merge entity @e[type=minecraft:villager,limit=1,sort=nearest] {CustomName:"Vorpal"}</v>
      </c>
      <c r="F47" s="21" t="str">
        <f t="shared" si="12"/>
        <v>/tag @e[type=minecraft:villager,name="Vorpal",limit=1] add npc_vorpal</v>
      </c>
      <c r="G47" t="str">
        <f t="shared" si="9"/>
        <v>Vorpal</v>
      </c>
      <c r="H47" t="str">
        <f t="shared" si="10"/>
        <v>npc_vorpal</v>
      </c>
      <c r="I47">
        <f t="shared" si="11"/>
        <v>56</v>
      </c>
    </row>
    <row r="48" spans="1:9" ht="21.6" x14ac:dyDescent="0.3">
      <c r="A48" s="20" t="s">
        <v>1263</v>
      </c>
      <c r="B48" s="58" t="s">
        <v>2539</v>
      </c>
      <c r="C48" s="58" t="s">
        <v>2542</v>
      </c>
      <c r="D48" s="50" t="s">
        <v>2533</v>
      </c>
      <c r="E48" s="19" t="str">
        <f t="shared" ref="E48:E49" si="14">"/data merge entity @e[type=minecraft:villager,limit=1,sort=nearest] {CustomName:"""&amp;B48&amp;"""}"</f>
        <v>/data merge entity @e[type=minecraft:villager,limit=1,sort=nearest] {CustomName:"Donnar"}</v>
      </c>
      <c r="F48" s="21" t="str">
        <f t="shared" ref="F48:F49" si="15">"/tag @e[type=minecraft:villager,name="""&amp;B48&amp;""",limit=1] add npc_"&amp;SUBSTITUTE(LOWER(B48)," ","_")</f>
        <v>/tag @e[type=minecraft:villager,name="Donnar",limit=1] add npc_donnar</v>
      </c>
      <c r="G48" t="str">
        <f>B48</f>
        <v>Donnar</v>
      </c>
      <c r="H48" t="str">
        <f>MID(F48,I48+4,99)</f>
        <v>npc_donnar</v>
      </c>
      <c r="I48">
        <f>FIND("add npc",F48)</f>
        <v>56</v>
      </c>
    </row>
    <row r="49" spans="1:9" ht="21.6" x14ac:dyDescent="0.3">
      <c r="A49" s="20" t="s">
        <v>1263</v>
      </c>
      <c r="B49" s="58" t="s">
        <v>2540</v>
      </c>
      <c r="C49" s="58" t="s">
        <v>2541</v>
      </c>
      <c r="E49" s="19" t="str">
        <f t="shared" si="14"/>
        <v>/data merge entity @e[type=minecraft:villager,limit=1,sort=nearest] {CustomName:"Justin"}</v>
      </c>
      <c r="F49" s="21" t="str">
        <f t="shared" si="15"/>
        <v>/tag @e[type=minecraft:villager,name="Justin",limit=1] add npc_justin</v>
      </c>
      <c r="G49" t="str">
        <f t="shared" ref="G49:G68" si="16">B49</f>
        <v>Justin</v>
      </c>
      <c r="H49" t="str">
        <f t="shared" ref="H49:H68" si="17">MID(F49,I49+4,99)</f>
        <v>npc_justin</v>
      </c>
      <c r="I49">
        <f t="shared" ref="I49:I68" si="18">FIND("add npc",F49)</f>
        <v>56</v>
      </c>
    </row>
    <row r="50" spans="1:9" ht="21.6" x14ac:dyDescent="0.3">
      <c r="A50" s="60" t="s">
        <v>1001</v>
      </c>
      <c r="B50" s="52" t="s">
        <v>1056</v>
      </c>
      <c r="C50" s="53" t="str">
        <f>IF(ISNA(VLOOKUP(A50&amp;"|"&amp;B50&amp;"|"&amp;"LOOK",'NPC Dialogue'!$A:$F,6,FALSE)),VLOOKUP(A50&amp;"|"&amp;B50&amp;"|"&amp;"You see..",'NPC Dialogue'!$A:$F,6,FALSE),VLOOKUP(A50&amp;"|"&amp;B50&amp;"|"&amp;"LOOK",'NPC Dialogue'!$A:$F,6,FALSE))</f>
        <v>A small man.</v>
      </c>
      <c r="D50" s="50" t="s">
        <v>2533</v>
      </c>
      <c r="E50" s="19" t="str">
        <f t="shared" ref="E50:E57" si="19">"/data merge entity @e[type=minecraft:villager,limit=1,sort=nearest] {CustomName:"""&amp;B50&amp;"""}"</f>
        <v>/data merge entity @e[type=minecraft:villager,limit=1,sort=nearest] {CustomName:"Aesop"}</v>
      </c>
      <c r="F50" s="21" t="str">
        <f t="shared" ref="F50:F57" si="20">"/tag @e[type=minecraft:villager,name="""&amp;B50&amp;""",limit=1] add npc_"&amp;SUBSTITUTE(LOWER(B50)," ","_")</f>
        <v>/tag @e[type=minecraft:villager,name="Aesop",limit=1] add npc_aesop</v>
      </c>
      <c r="G50" t="str">
        <f t="shared" si="16"/>
        <v>Aesop</v>
      </c>
      <c r="H50" t="str">
        <f t="shared" si="17"/>
        <v>npc_aesop</v>
      </c>
      <c r="I50">
        <f t="shared" si="18"/>
        <v>55</v>
      </c>
    </row>
    <row r="51" spans="1:9" ht="21.6" x14ac:dyDescent="0.3">
      <c r="A51" s="60" t="s">
        <v>1001</v>
      </c>
      <c r="B51" s="52" t="s">
        <v>26</v>
      </c>
      <c r="C51" s="53" t="str">
        <f>IF(ISNA(VLOOKUP(A51&amp;"|"&amp;B51&amp;"|"&amp;"LOOK",'NPC Dialogue'!$A:$F,6,FALSE)),VLOOKUP(A51&amp;"|"&amp;B51&amp;"|"&amp;"You see..",'NPC Dialogue'!$A:$F,6,FALSE),VLOOKUP(A51&amp;"|"&amp;B51&amp;"|"&amp;"LOOK",'NPC Dialogue'!$A:$F,6,FALSE))</f>
        <v>A stern guard.</v>
      </c>
      <c r="D51" s="50" t="s">
        <v>2512</v>
      </c>
      <c r="E51" s="19" t="str">
        <f t="shared" si="19"/>
        <v>/data merge entity @e[type=minecraft:villager,limit=1,sort=nearest] {CustomName:"Gate Guard"}</v>
      </c>
      <c r="F51" s="21" t="str">
        <f t="shared" si="20"/>
        <v>/tag @e[type=minecraft:villager,name="Gate Guard",limit=1] add npc_gate_guard</v>
      </c>
      <c r="G51" t="str">
        <f t="shared" si="16"/>
        <v>Gate Guard</v>
      </c>
      <c r="H51" t="str">
        <f t="shared" si="17"/>
        <v>npc_gate_guard</v>
      </c>
      <c r="I51">
        <f t="shared" si="18"/>
        <v>60</v>
      </c>
    </row>
    <row r="52" spans="1:9" ht="21.6" x14ac:dyDescent="0.3">
      <c r="A52" s="60" t="s">
        <v>1001</v>
      </c>
      <c r="B52" s="52" t="s">
        <v>1087</v>
      </c>
      <c r="C52" s="53" t="str">
        <f>IF(ISNA(VLOOKUP(A52&amp;"|"&amp;B52&amp;"|"&amp;"LOOK",'NPC Dialogue'!$A:$F,6,FALSE)),VLOOKUP(A52&amp;"|"&amp;B52&amp;"|"&amp;"You see..",'NPC Dialogue'!$A:$F,6,FALSE),VLOOKUP(A52&amp;"|"&amp;B52&amp;"|"&amp;"LOOK",'NPC Dialogue'!$A:$F,6,FALSE))</f>
        <v>A ranger with a far away look.</v>
      </c>
      <c r="D52" s="50" t="s">
        <v>2567</v>
      </c>
      <c r="E52" s="19" t="str">
        <f t="shared" si="19"/>
        <v>/data merge entity @e[type=minecraft:villager,limit=1,sort=nearest] {CustomName:"Luke"}</v>
      </c>
      <c r="F52" s="21" t="str">
        <f t="shared" si="20"/>
        <v>/tag @e[type=minecraft:villager,name="Luke",limit=1] add npc_luke</v>
      </c>
      <c r="G52" t="str">
        <f t="shared" si="16"/>
        <v>Luke</v>
      </c>
      <c r="H52" t="str">
        <f t="shared" si="17"/>
        <v>npc_luke</v>
      </c>
      <c r="I52">
        <f t="shared" si="18"/>
        <v>54</v>
      </c>
    </row>
    <row r="53" spans="1:9" ht="21.6" x14ac:dyDescent="0.3">
      <c r="A53" s="60" t="s">
        <v>1001</v>
      </c>
      <c r="B53" s="52" t="s">
        <v>1096</v>
      </c>
      <c r="C53" s="53" t="str">
        <f>IF(ISNA(VLOOKUP(A53&amp;"|"&amp;B53&amp;"|"&amp;"LOOK",'NPC Dialogue'!$A:$F,6,FALSE)),VLOOKUP(A53&amp;"|"&amp;B53&amp;"|"&amp;"You see..",'NPC Dialogue'!$A:$F,6,FALSE),VLOOKUP(A53&amp;"|"&amp;B53&amp;"|"&amp;"LOOK",'NPC Dialogue'!$A:$F,6,FALSE))</f>
        <v>The housekeeper.</v>
      </c>
      <c r="D53" s="50" t="s">
        <v>2515</v>
      </c>
      <c r="E53" s="19" t="str">
        <f t="shared" si="19"/>
        <v>/data merge entity @e[type=minecraft:villager,limit=1,sort=nearest] {CustomName:"Max"}</v>
      </c>
      <c r="F53" s="21" t="str">
        <f t="shared" si="20"/>
        <v>/tag @e[type=minecraft:villager,name="Max",limit=1] add npc_max</v>
      </c>
      <c r="G53" t="str">
        <f t="shared" si="16"/>
        <v>Max</v>
      </c>
      <c r="H53" t="str">
        <f t="shared" si="17"/>
        <v>npc_max</v>
      </c>
      <c r="I53">
        <f t="shared" si="18"/>
        <v>53</v>
      </c>
    </row>
    <row r="54" spans="1:9" ht="21.6" x14ac:dyDescent="0.3">
      <c r="A54" s="60" t="s">
        <v>1001</v>
      </c>
      <c r="B54" s="52" t="s">
        <v>1079</v>
      </c>
      <c r="C54" s="53" t="str">
        <f>IF(ISNA(VLOOKUP(A54&amp;"|"&amp;B54&amp;"|"&amp;"LOOK",'NPC Dialogue'!$A:$F,6,FALSE)),VLOOKUP(A54&amp;"|"&amp;B54&amp;"|"&amp;"You see..",'NPC Dialogue'!$A:$F,6,FALSE),VLOOKUP(A54&amp;"|"&amp;B54&amp;"|"&amp;"LOOK",'NPC Dialogue'!$A:$F,6,FALSE))</f>
        <v>A withering soul</v>
      </c>
      <c r="D54" s="50" t="s">
        <v>2575</v>
      </c>
      <c r="E54" s="19" t="str">
        <f t="shared" si="19"/>
        <v>/data merge entity @e[type=minecraft:villager,limit=1,sort=nearest] {CustomName:"Nostro"}</v>
      </c>
      <c r="F54" s="21" t="str">
        <f t="shared" si="20"/>
        <v>/tag @e[type=minecraft:villager,name="Nostro",limit=1] add npc_nostro</v>
      </c>
      <c r="G54" t="str">
        <f t="shared" si="16"/>
        <v>Nostro</v>
      </c>
      <c r="H54" t="str">
        <f t="shared" si="17"/>
        <v>npc_nostro</v>
      </c>
      <c r="I54">
        <f t="shared" si="18"/>
        <v>56</v>
      </c>
    </row>
    <row r="55" spans="1:9" ht="31.8" x14ac:dyDescent="0.3">
      <c r="A55" s="60" t="s">
        <v>1001</v>
      </c>
      <c r="B55" s="52" t="s">
        <v>1071</v>
      </c>
      <c r="C55" s="53" t="str">
        <f>IF(ISNA(VLOOKUP(A55&amp;"|"&amp;B55&amp;"|"&amp;"LOOK",'NPC Dialogue'!$A:$F,6,FALSE)),VLOOKUP(A55&amp;"|"&amp;B55&amp;"|"&amp;"You see..",'NPC Dialogue'!$A:$F,6,FALSE),VLOOKUP(A55&amp;"|"&amp;B55&amp;"|"&amp;"LOOK",'NPC Dialogue'!$A:$F,6,FALSE))</f>
        <v>A beautiful mage</v>
      </c>
      <c r="D55" s="50" t="s">
        <v>2574</v>
      </c>
      <c r="E55" s="19" t="str">
        <f t="shared" si="19"/>
        <v>/data merge entity @e[type=minecraft:villager,limit=1,sort=nearest] {CustomName:"Senora"}</v>
      </c>
      <c r="F55" s="21" t="str">
        <f t="shared" si="20"/>
        <v>/tag @e[type=minecraft:villager,name="Senora",limit=1] add npc_senora</v>
      </c>
      <c r="G55" t="str">
        <f t="shared" si="16"/>
        <v>Senora</v>
      </c>
      <c r="H55" t="str">
        <f t="shared" si="17"/>
        <v>npc_senora</v>
      </c>
      <c r="I55">
        <f t="shared" si="18"/>
        <v>56</v>
      </c>
    </row>
    <row r="56" spans="1:9" ht="21.6" x14ac:dyDescent="0.3">
      <c r="A56" s="60" t="s">
        <v>1001</v>
      </c>
      <c r="B56" s="52" t="s">
        <v>1040</v>
      </c>
      <c r="C56" s="53" t="str">
        <f>IF(ISNA(VLOOKUP(A56&amp;"|"&amp;B56&amp;"|"&amp;"LOOK",'NPC Dialogue'!$A:$F,6,FALSE)),VLOOKUP(A56&amp;"|"&amp;B56&amp;"|"&amp;"You see..",'NPC Dialogue'!$A:$F,6,FALSE),VLOOKUP(A56&amp;"|"&amp;B56&amp;"|"&amp;"LOOK",'NPC Dialogue'!$A:$F,6,FALSE))</f>
        <v>A noble fighter.</v>
      </c>
      <c r="D56" s="50" t="s">
        <v>2569</v>
      </c>
      <c r="E56" s="19" t="str">
        <f t="shared" si="19"/>
        <v>/data merge entity @e[type=minecraft:villager,limit=1,sort=nearest] {CustomName:"Sir William"}</v>
      </c>
      <c r="F56" s="21" t="str">
        <f t="shared" si="20"/>
        <v>/tag @e[type=minecraft:villager,name="Sir William",limit=1] add npc_sir_william</v>
      </c>
      <c r="G56" t="str">
        <f t="shared" si="16"/>
        <v>Sir William</v>
      </c>
      <c r="H56" t="str">
        <f t="shared" si="17"/>
        <v>npc_sir_william</v>
      </c>
      <c r="I56">
        <f t="shared" si="18"/>
        <v>61</v>
      </c>
    </row>
    <row r="57" spans="1:9" ht="21.6" x14ac:dyDescent="0.3">
      <c r="A57" s="60" t="s">
        <v>1001</v>
      </c>
      <c r="B57" s="52" t="s">
        <v>1105</v>
      </c>
      <c r="C57" s="53" t="str">
        <f>IF(ISNA(VLOOKUP(A57&amp;"|"&amp;B57&amp;"|"&amp;"LOOK",'NPC Dialogue'!$A:$F,6,FALSE)),VLOOKUP(A57&amp;"|"&amp;B57&amp;"|"&amp;"You see..",'NPC Dialogue'!$A:$F,6,FALSE),VLOOKUP(A57&amp;"|"&amp;B57&amp;"|"&amp;"LOOK",'NPC Dialogue'!$A:$F,6,FALSE))</f>
        <v>A strange person</v>
      </c>
      <c r="D57" s="50" t="s">
        <v>2573</v>
      </c>
      <c r="E57" s="19" t="str">
        <f t="shared" si="19"/>
        <v>/data merge entity @e[type=minecraft:villager,limit=1,sort=nearest] {CustomName:"X"}</v>
      </c>
      <c r="F57" s="21" t="str">
        <f t="shared" si="20"/>
        <v>/tag @e[type=minecraft:villager,name="X",limit=1] add npc_x</v>
      </c>
      <c r="G57" t="str">
        <f t="shared" si="16"/>
        <v>X</v>
      </c>
      <c r="H57" t="str">
        <f t="shared" si="17"/>
        <v>npc_x</v>
      </c>
      <c r="I57">
        <f t="shared" si="18"/>
        <v>51</v>
      </c>
    </row>
    <row r="58" spans="1:9" ht="21.6" x14ac:dyDescent="0.3">
      <c r="A58" s="60" t="s">
        <v>1001</v>
      </c>
      <c r="B58" s="52" t="s">
        <v>2552</v>
      </c>
      <c r="C58" s="52" t="s">
        <v>2555</v>
      </c>
      <c r="E58" s="19" t="str">
        <f t="shared" ref="E58:E66" si="21">"/data merge entity @e[type=minecraft:villager,limit=1,sort=nearest] {CustomName:"""&amp;B58&amp;"""}"</f>
        <v>/data merge entity @e[type=minecraft:villager,limit=1,sort=nearest] {CustomName:"Swen"}</v>
      </c>
      <c r="F58" s="21" t="str">
        <f t="shared" ref="F58:F66" si="22">"/tag @e[type=minecraft:villager,name="""&amp;B58&amp;""",limit=1] add npc_"&amp;SUBSTITUTE(LOWER(B58)," ","_")</f>
        <v>/tag @e[type=minecraft:villager,name="Swen",limit=1] add npc_swen</v>
      </c>
      <c r="G58" t="str">
        <f t="shared" si="16"/>
        <v>Swen</v>
      </c>
      <c r="H58" t="str">
        <f t="shared" si="17"/>
        <v>npc_swen</v>
      </c>
      <c r="I58">
        <f t="shared" si="18"/>
        <v>54</v>
      </c>
    </row>
    <row r="59" spans="1:9" ht="21.6" x14ac:dyDescent="0.3">
      <c r="A59" s="60" t="s">
        <v>1001</v>
      </c>
      <c r="B59" s="52" t="s">
        <v>2553</v>
      </c>
      <c r="C59" s="52" t="s">
        <v>2556</v>
      </c>
      <c r="E59" s="19" t="str">
        <f t="shared" si="21"/>
        <v>/data merge entity @e[type=minecraft:villager,limit=1,sort=nearest] {CustomName:"Hero"}</v>
      </c>
      <c r="F59" s="21" t="str">
        <f t="shared" si="22"/>
        <v>/tag @e[type=minecraft:villager,name="Hero",limit=1] add npc_hero</v>
      </c>
      <c r="G59" t="str">
        <f t="shared" si="16"/>
        <v>Hero</v>
      </c>
      <c r="H59" t="str">
        <f t="shared" si="17"/>
        <v>npc_hero</v>
      </c>
      <c r="I59">
        <f t="shared" si="18"/>
        <v>54</v>
      </c>
    </row>
    <row r="60" spans="1:9" ht="21.6" x14ac:dyDescent="0.3">
      <c r="A60" s="60" t="s">
        <v>1001</v>
      </c>
      <c r="B60" s="52" t="s">
        <v>1887</v>
      </c>
      <c r="C60" s="52" t="s">
        <v>2554</v>
      </c>
      <c r="E60" s="19" t="str">
        <f t="shared" si="21"/>
        <v>/data merge entity @e[type=minecraft:villager,limit=1,sort=nearest] {CustomName:"Smith"}</v>
      </c>
      <c r="F60" s="21" t="str">
        <f t="shared" si="22"/>
        <v>/tag @e[type=minecraft:villager,name="Smith",limit=1] add npc_smith</v>
      </c>
      <c r="G60" t="str">
        <f t="shared" si="16"/>
        <v>Smith</v>
      </c>
      <c r="H60" t="str">
        <f t="shared" si="17"/>
        <v>npc_smith</v>
      </c>
      <c r="I60">
        <f t="shared" si="18"/>
        <v>55</v>
      </c>
    </row>
    <row r="61" spans="1:9" ht="30.6" x14ac:dyDescent="0.3">
      <c r="A61" s="60" t="s">
        <v>1001</v>
      </c>
      <c r="B61" s="58" t="s">
        <v>2562</v>
      </c>
      <c r="C61" s="58" t="s">
        <v>2557</v>
      </c>
      <c r="E61" s="19" t="str">
        <f t="shared" si="21"/>
        <v>/data merge entity @e[type=minecraft:villager,limit=1,sort=nearest] {CustomName:"Celestial"}</v>
      </c>
      <c r="F61" s="21" t="str">
        <f t="shared" si="22"/>
        <v>/tag @e[type=minecraft:villager,name="Celestial",limit=1] add npc_celestial</v>
      </c>
      <c r="G61" t="str">
        <f t="shared" si="16"/>
        <v>Celestial</v>
      </c>
      <c r="H61" t="str">
        <f t="shared" si="17"/>
        <v>npc_celestial</v>
      </c>
      <c r="I61">
        <f t="shared" si="18"/>
        <v>59</v>
      </c>
    </row>
    <row r="62" spans="1:9" ht="21.6" x14ac:dyDescent="0.3">
      <c r="A62" s="60" t="s">
        <v>1001</v>
      </c>
      <c r="B62" s="58" t="s">
        <v>2563</v>
      </c>
      <c r="C62" s="58" t="s">
        <v>2558</v>
      </c>
      <c r="E62" s="19" t="str">
        <f t="shared" si="21"/>
        <v>/data merge entity @e[type=minecraft:villager,limit=1,sort=nearest] {CustomName:"Smirk"}</v>
      </c>
      <c r="F62" s="21" t="str">
        <f t="shared" si="22"/>
        <v>/tag @e[type=minecraft:villager,name="Smirk",limit=1] add npc_smirk</v>
      </c>
      <c r="G62" t="str">
        <f t="shared" si="16"/>
        <v>Smirk</v>
      </c>
      <c r="H62" t="str">
        <f t="shared" si="17"/>
        <v>npc_smirk</v>
      </c>
      <c r="I62">
        <f t="shared" si="18"/>
        <v>55</v>
      </c>
    </row>
    <row r="63" spans="1:9" ht="21.6" x14ac:dyDescent="0.3">
      <c r="A63" s="60" t="s">
        <v>1001</v>
      </c>
      <c r="B63" s="58" t="s">
        <v>2564</v>
      </c>
      <c r="C63" s="58" t="s">
        <v>2559</v>
      </c>
      <c r="E63" s="19" t="str">
        <f t="shared" si="21"/>
        <v>/data merge entity @e[type=minecraft:villager,limit=1,sort=nearest] {CustomName:"Triplet"}</v>
      </c>
      <c r="F63" s="21" t="str">
        <f t="shared" si="22"/>
        <v>/tag @e[type=minecraft:villager,name="Triplet",limit=1] add npc_triplet</v>
      </c>
      <c r="G63" t="str">
        <f t="shared" si="16"/>
        <v>Triplet</v>
      </c>
      <c r="H63" t="str">
        <f t="shared" si="17"/>
        <v>npc_triplet</v>
      </c>
      <c r="I63">
        <f t="shared" si="18"/>
        <v>57</v>
      </c>
    </row>
    <row r="64" spans="1:9" ht="21.6" x14ac:dyDescent="0.3">
      <c r="A64" s="60" t="s">
        <v>1001</v>
      </c>
      <c r="B64" s="58" t="s">
        <v>2565</v>
      </c>
      <c r="C64" s="58" t="s">
        <v>2560</v>
      </c>
      <c r="E64" s="19" t="str">
        <f t="shared" si="21"/>
        <v>/data merge entity @e[type=minecraft:villager,limit=1,sort=nearest] {CustomName:"Valiant"}</v>
      </c>
      <c r="F64" s="21" t="str">
        <f t="shared" si="22"/>
        <v>/tag @e[type=minecraft:villager,name="Valiant",limit=1] add npc_valiant</v>
      </c>
      <c r="G64" t="str">
        <f t="shared" si="16"/>
        <v>Valiant</v>
      </c>
      <c r="H64" t="str">
        <f t="shared" si="17"/>
        <v>npc_valiant</v>
      </c>
      <c r="I64">
        <f t="shared" si="18"/>
        <v>57</v>
      </c>
    </row>
    <row r="65" spans="1:9" ht="30.6" x14ac:dyDescent="0.3">
      <c r="A65" s="60" t="s">
        <v>1001</v>
      </c>
      <c r="B65" s="58" t="s">
        <v>2566</v>
      </c>
      <c r="C65" s="58" t="s">
        <v>2561</v>
      </c>
      <c r="E65" s="19" t="str">
        <f t="shared" si="21"/>
        <v>/data merge entity @e[type=minecraft:villager,limit=1,sort=nearest] {CustomName:"Willard"}</v>
      </c>
      <c r="F65" s="21" t="str">
        <f t="shared" si="22"/>
        <v>/tag @e[type=minecraft:villager,name="Willard",limit=1] add npc_willard</v>
      </c>
      <c r="G65" t="str">
        <f t="shared" si="16"/>
        <v>Willard</v>
      </c>
      <c r="H65" t="str">
        <f t="shared" si="17"/>
        <v>npc_willard</v>
      </c>
      <c r="I65">
        <f t="shared" si="18"/>
        <v>57</v>
      </c>
    </row>
    <row r="66" spans="1:9" ht="21.6" x14ac:dyDescent="0.3">
      <c r="A66" s="60" t="s">
        <v>1001</v>
      </c>
      <c r="B66" s="52" t="s">
        <v>2572</v>
      </c>
      <c r="C66" s="52" t="s">
        <v>2571</v>
      </c>
      <c r="D66" s="50" t="s">
        <v>2514</v>
      </c>
      <c r="E66" s="19" t="str">
        <f t="shared" si="21"/>
        <v>/data merge entity @e[type=minecraft:villager,limit=1,sort=nearest] {CustomName:"Jho Velkum"}</v>
      </c>
      <c r="F66" s="22" t="str">
        <f t="shared" si="22"/>
        <v>/tag @e[type=minecraft:villager,name="Jho Velkum",limit=1] add npc_jho_velkum</v>
      </c>
      <c r="G66" t="str">
        <f t="shared" si="16"/>
        <v>Jho Velkum</v>
      </c>
      <c r="H66" t="str">
        <f t="shared" si="17"/>
        <v>npc_jho_velkum</v>
      </c>
      <c r="I66">
        <f t="shared" si="18"/>
        <v>60</v>
      </c>
    </row>
    <row r="67" spans="1:9" ht="21.6" x14ac:dyDescent="0.3">
      <c r="A67" s="60" t="s">
        <v>1001</v>
      </c>
      <c r="B67" s="63" t="s">
        <v>1114</v>
      </c>
      <c r="C67" s="53" t="str">
        <f>IF(ISNA(VLOOKUP(A67&amp;"|"&amp;B67&amp;"|"&amp;"LOOK",'NPC Dialogue'!$A:$F,6,FALSE)),VLOOKUP(A67&amp;"|"&amp;B67&amp;"|"&amp;"You see..",'NPC Dialogue'!$A:$F,6,FALSE),VLOOKUP(A67&amp;"|"&amp;B67&amp;"|"&amp;"LOOK",'NPC Dialogue'!$A:$F,6,FALSE))</f>
        <v>A valiant warrior.</v>
      </c>
      <c r="D67" s="50" t="s">
        <v>2576</v>
      </c>
      <c r="E67" s="19" t="str">
        <f t="shared" ref="E67:E68" si="23">"/data merge entity @e[type=minecraft:villager,limit=1,sort=nearest] {CustomName:"""&amp;B67&amp;"""}"</f>
        <v>/data merge entity @e[type=minecraft:villager,limit=1,sort=nearest] {CustomName:"Slithe"}</v>
      </c>
      <c r="F67" s="22" t="str">
        <f t="shared" ref="F67:F68" si="24">"/tag @e[type=minecraft:villager,name="""&amp;B67&amp;""",limit=1] add npc_"&amp;SUBSTITUTE(LOWER(B67)," ","_")</f>
        <v>/tag @e[type=minecraft:villager,name="Slithe",limit=1] add npc_slithe</v>
      </c>
      <c r="G67" t="str">
        <f t="shared" si="16"/>
        <v>Slithe</v>
      </c>
      <c r="H67" t="str">
        <f t="shared" si="17"/>
        <v>npc_slithe</v>
      </c>
      <c r="I67">
        <f t="shared" si="18"/>
        <v>56</v>
      </c>
    </row>
    <row r="68" spans="1:9" ht="21.6" x14ac:dyDescent="0.3">
      <c r="A68" s="20" t="s">
        <v>1514</v>
      </c>
      <c r="B68" s="22" t="s">
        <v>2577</v>
      </c>
      <c r="C68" s="61" t="s">
        <v>2580</v>
      </c>
      <c r="D68" s="50" t="s">
        <v>2507</v>
      </c>
      <c r="E68" s="19" t="str">
        <f t="shared" si="23"/>
        <v>/data merge entity @e[type=minecraft:villager,limit=1,sort=nearest] {CustomName:"Mintol"}</v>
      </c>
      <c r="F68" s="22" t="str">
        <f t="shared" si="24"/>
        <v>/tag @e[type=minecraft:villager,name="Mintol",limit=1] add npc_mintol</v>
      </c>
      <c r="G68" t="str">
        <f t="shared" si="16"/>
        <v>Mintol</v>
      </c>
      <c r="H68" t="str">
        <f t="shared" si="17"/>
        <v>npc_mintol</v>
      </c>
      <c r="I68">
        <f t="shared" si="18"/>
        <v>56</v>
      </c>
    </row>
    <row r="69" spans="1:9" ht="21.6" x14ac:dyDescent="0.3">
      <c r="A69" s="20" t="s">
        <v>1514</v>
      </c>
      <c r="B69" s="52" t="s">
        <v>2578</v>
      </c>
      <c r="C69" s="58" t="s">
        <v>2581</v>
      </c>
      <c r="D69" s="50" t="s">
        <v>2584</v>
      </c>
      <c r="E69" s="19" t="str">
        <f t="shared" ref="E69:E73" si="25">"/data merge entity @e[type=minecraft:villager,limit=1,sort=nearest] {CustomName:"""&amp;B69&amp;"""}"</f>
        <v>/data merge entity @e[type=minecraft:villager,limit=1,sort=nearest] {CustomName:"Sasha"}</v>
      </c>
      <c r="F69" s="22" t="str">
        <f t="shared" ref="F69:F73" si="26">"/tag @e[type=minecraft:villager,name="""&amp;B69&amp;""",limit=1] add npc_"&amp;SUBSTITUTE(LOWER(B69)," ","_")</f>
        <v>/tag @e[type=minecraft:villager,name="Sasha",limit=1] add npc_sasha</v>
      </c>
      <c r="G69" t="str">
        <f t="shared" ref="G69:G73" si="27">B69</f>
        <v>Sasha</v>
      </c>
      <c r="H69" t="str">
        <f t="shared" ref="H69:H73" si="28">MID(F69,I69+4,99)</f>
        <v>npc_sasha</v>
      </c>
      <c r="I69">
        <f t="shared" ref="I69:I73" si="29">FIND("add npc",F69)</f>
        <v>55</v>
      </c>
    </row>
    <row r="70" spans="1:9" ht="21.6" x14ac:dyDescent="0.3">
      <c r="A70" s="20" t="s">
        <v>1514</v>
      </c>
      <c r="B70" s="52" t="s">
        <v>2579</v>
      </c>
      <c r="C70" s="58" t="s">
        <v>2582</v>
      </c>
      <c r="D70" s="50" t="s">
        <v>2586</v>
      </c>
      <c r="E70" s="19" t="str">
        <f t="shared" si="25"/>
        <v>/data merge entity @e[type=minecraft:villager,limit=1,sort=nearest] {CustomName:"Spiran"}</v>
      </c>
      <c r="F70" s="22" t="str">
        <f t="shared" si="26"/>
        <v>/tag @e[type=minecraft:villager,name="Spiran",limit=1] add npc_spiran</v>
      </c>
      <c r="G70" t="str">
        <f t="shared" si="27"/>
        <v>Spiran</v>
      </c>
      <c r="H70" t="str">
        <f t="shared" si="28"/>
        <v>npc_spiran</v>
      </c>
      <c r="I70">
        <f t="shared" si="29"/>
        <v>56</v>
      </c>
    </row>
    <row r="71" spans="1:9" ht="30.6" x14ac:dyDescent="0.3">
      <c r="A71" s="20" t="s">
        <v>1514</v>
      </c>
      <c r="B71" s="52" t="s">
        <v>848</v>
      </c>
      <c r="C71" s="58" t="s">
        <v>2583</v>
      </c>
      <c r="E71" s="19" t="str">
        <f t="shared" si="25"/>
        <v>/data merge entity @e[type=minecraft:villager,limit=1,sort=nearest] {CustomName:"Tyrone"}</v>
      </c>
      <c r="F71" s="22" t="str">
        <f t="shared" si="26"/>
        <v>/tag @e[type=minecraft:villager,name="Tyrone",limit=1] add npc_tyrone</v>
      </c>
      <c r="G71" t="str">
        <f t="shared" si="27"/>
        <v>Tyrone</v>
      </c>
      <c r="H71" t="str">
        <f t="shared" si="28"/>
        <v>npc_tyrone</v>
      </c>
      <c r="I71">
        <f t="shared" si="29"/>
        <v>56</v>
      </c>
    </row>
    <row r="72" spans="1:9" ht="21.6" x14ac:dyDescent="0.3">
      <c r="A72" s="20" t="s">
        <v>1514</v>
      </c>
      <c r="B72" s="65" t="s">
        <v>2590</v>
      </c>
      <c r="C72" s="65" t="s">
        <v>2591</v>
      </c>
      <c r="D72" s="67" t="s">
        <v>2592</v>
      </c>
      <c r="E72" s="19" t="str">
        <f>"/data merge entity @e[type=minecraft:villager,limit=1,sort=nearest] {CustomName:"""&amp;B72&amp;"""}"</f>
        <v>/data merge entity @e[type=minecraft:villager,limit=1,sort=nearest] {CustomName:"Thule"}</v>
      </c>
      <c r="F72" s="22" t="str">
        <f>"/tag @e[type=minecraft:villager,name="""&amp;B72&amp;""",limit=1] add npc_"&amp;SUBSTITUTE(LOWER(B72)," ","_")</f>
        <v>/tag @e[type=minecraft:villager,name="Thule",limit=1] add npc_thule</v>
      </c>
      <c r="G72" t="str">
        <f>B72</f>
        <v>Thule</v>
      </c>
      <c r="H72" t="str">
        <f>MID(F72,I72+4,99)</f>
        <v>npc_thule</v>
      </c>
      <c r="I72">
        <f>FIND("add npc",F72)</f>
        <v>55</v>
      </c>
    </row>
    <row r="73" spans="1:9" ht="21.6" x14ac:dyDescent="0.3">
      <c r="A73" s="20" t="s">
        <v>1514</v>
      </c>
      <c r="B73" s="55" t="s">
        <v>1623</v>
      </c>
      <c r="C73" s="64" t="str">
        <f>IF(ISNA(VLOOKUP(A73&amp;"|"&amp;B73&amp;"|"&amp;"LOOK",'NPC Dialogue'!$A:$F,6,FALSE)),VLOOKUP(A73&amp;"|"&amp;B73&amp;"|"&amp;"You see..",'NPC Dialogue'!$A:$F,6,FALSE),VLOOKUP(A73&amp;"|"&amp;B73&amp;"|"&amp;"LOOK",'NPC Dialogue'!$A:$F,6,FALSE))</f>
        <v>A grimy beggar.</v>
      </c>
      <c r="D73" s="50" t="s">
        <v>2588</v>
      </c>
      <c r="E73" s="19" t="str">
        <f t="shared" si="25"/>
        <v>/data merge entity @e[type=minecraft:villager,limit=1,sort=nearest] {CustomName:"Ambule"}</v>
      </c>
      <c r="F73" s="22" t="str">
        <f t="shared" si="26"/>
        <v>/tag @e[type=minecraft:villager,name="Ambule",limit=1] add npc_ambule</v>
      </c>
      <c r="G73" t="str">
        <f t="shared" si="27"/>
        <v>Ambule</v>
      </c>
      <c r="H73" t="str">
        <f t="shared" si="28"/>
        <v>npc_ambule</v>
      </c>
      <c r="I73">
        <f t="shared" si="29"/>
        <v>56</v>
      </c>
    </row>
    <row r="74" spans="1:9" ht="21.6" x14ac:dyDescent="0.3">
      <c r="A74" s="20" t="s">
        <v>1514</v>
      </c>
      <c r="B74" s="55" t="s">
        <v>1631</v>
      </c>
      <c r="C74" s="65" t="s">
        <v>2594</v>
      </c>
      <c r="D74" s="66" t="s">
        <v>2595</v>
      </c>
      <c r="E74" s="19" t="str">
        <f t="shared" ref="E74:E81" si="30">"/data merge entity @e[type=minecraft:villager,limit=1,sort=nearest] {CustomName:"""&amp;B74&amp;"""}"</f>
        <v>/data merge entity @e[type=minecraft:villager,limit=1,sort=nearest] {CustomName:"Barren"}</v>
      </c>
      <c r="F74" s="22" t="str">
        <f t="shared" ref="F74:F81" si="31">"/tag @e[type=minecraft:villager,name="""&amp;B74&amp;""",limit=1] add npc_"&amp;SUBSTITUTE(LOWER(B74)," ","_")</f>
        <v>/tag @e[type=minecraft:villager,name="Barren",limit=1] add npc_barren</v>
      </c>
      <c r="G74" t="str">
        <f t="shared" ref="G74:G81" si="32">B74</f>
        <v>Barren</v>
      </c>
      <c r="H74" t="str">
        <f t="shared" ref="H74:H81" si="33">MID(F74,I74+4,99)</f>
        <v>npc_barren</v>
      </c>
      <c r="I74">
        <f t="shared" ref="I74:I81" si="34">FIND("add npc",F74)</f>
        <v>56</v>
      </c>
    </row>
    <row r="75" spans="1:9" ht="21.6" x14ac:dyDescent="0.3">
      <c r="A75" s="20" t="s">
        <v>1514</v>
      </c>
      <c r="B75" s="55" t="s">
        <v>1521</v>
      </c>
      <c r="C75" s="64" t="str">
        <f>IF(ISNA(VLOOKUP(A75&amp;"|"&amp;B75&amp;"|"&amp;"LOOK",'NPC Dialogue'!$A:$F,6,FALSE)),VLOOKUP(A75&amp;"|"&amp;B75&amp;"|"&amp;"You see..",'NPC Dialogue'!$A:$F,6,FALSE),VLOOKUP(A75&amp;"|"&amp;B75&amp;"|"&amp;"LOOK",'NPC Dialogue'!$A:$F,6,FALSE))</f>
        <v>An injured man.</v>
      </c>
      <c r="D75" s="50" t="s">
        <v>2585</v>
      </c>
      <c r="E75" s="19" t="str">
        <f t="shared" si="30"/>
        <v>/data merge entity @e[type=minecraft:villager,limit=1,sort=nearest] {CustomName:"Emerson"}</v>
      </c>
      <c r="F75" s="22" t="str">
        <f t="shared" si="31"/>
        <v>/tag @e[type=minecraft:villager,name="Emerson",limit=1] add npc_emerson</v>
      </c>
      <c r="G75" t="str">
        <f t="shared" si="32"/>
        <v>Emerson</v>
      </c>
      <c r="H75" t="str">
        <f t="shared" si="33"/>
        <v>npc_emerson</v>
      </c>
      <c r="I75">
        <f t="shared" si="34"/>
        <v>57</v>
      </c>
    </row>
    <row r="76" spans="1:9" ht="21.6" x14ac:dyDescent="0.3">
      <c r="A76" s="20" t="s">
        <v>1514</v>
      </c>
      <c r="B76" s="55" t="s">
        <v>1548</v>
      </c>
      <c r="C76" s="64" t="str">
        <f>IF(ISNA(VLOOKUP(A76&amp;"|"&amp;B76&amp;"|"&amp;"LOOK",'NPC Dialogue'!$A:$F,6,FALSE)),VLOOKUP(A76&amp;"|"&amp;B76&amp;"|"&amp;"You see..",'NPC Dialogue'!$A:$F,6,FALSE),VLOOKUP(A76&amp;"|"&amp;B76&amp;"|"&amp;"LOOK",'NPC Dialogue'!$A:$F,6,FALSE))</f>
        <v>A hungry beggar.</v>
      </c>
      <c r="D76" s="50" t="s">
        <v>2593</v>
      </c>
      <c r="E76" s="19" t="str">
        <f t="shared" si="30"/>
        <v>/data merge entity @e[type=minecraft:villager,limit=1,sort=nearest] {CustomName:"Granted"}</v>
      </c>
      <c r="F76" s="22" t="str">
        <f t="shared" si="31"/>
        <v>/tag @e[type=minecraft:villager,name="Granted",limit=1] add npc_granted</v>
      </c>
      <c r="G76" t="str">
        <f t="shared" si="32"/>
        <v>Granted</v>
      </c>
      <c r="H76" t="str">
        <f t="shared" si="33"/>
        <v>npc_granted</v>
      </c>
      <c r="I76">
        <f t="shared" si="34"/>
        <v>57</v>
      </c>
    </row>
    <row r="77" spans="1:9" ht="31.8" x14ac:dyDescent="0.3">
      <c r="A77" s="20" t="s">
        <v>1514</v>
      </c>
      <c r="B77" s="68" t="s">
        <v>1633</v>
      </c>
      <c r="C77" s="69" t="str">
        <f>IF(ISNA(VLOOKUP(A77&amp;"|"&amp;B77&amp;"|"&amp;"LOOK",'NPC Dialogue'!$A:$F,6,FALSE)),VLOOKUP(A77&amp;"|"&amp;B77&amp;"|"&amp;"You see..",'NPC Dialogue'!$A:$F,6,FALSE),VLOOKUP(A77&amp;"|"&amp;B77&amp;"|"&amp;"LOOK",'NPC Dialogue'!$A:$F,6,FALSE))</f>
        <v>A ghostly figure</v>
      </c>
      <c r="D77" s="70" t="s">
        <v>2599</v>
      </c>
      <c r="E77" s="19" t="str">
        <f t="shared" si="30"/>
        <v>/data merge entity @e[type=minecraft:villager,limit=1,sort=nearest] {CustomName:"Isaac"}</v>
      </c>
      <c r="F77" s="22" t="str">
        <f t="shared" si="31"/>
        <v>/tag @e[type=minecraft:villager,name="Isaac",limit=1] add npc_isaac</v>
      </c>
      <c r="G77" t="str">
        <f t="shared" si="32"/>
        <v>Isaac</v>
      </c>
      <c r="H77" t="str">
        <f t="shared" si="33"/>
        <v>npc_isaac</v>
      </c>
      <c r="I77">
        <f t="shared" si="34"/>
        <v>55</v>
      </c>
    </row>
    <row r="78" spans="1:9" ht="21.6" x14ac:dyDescent="0.3">
      <c r="A78" s="20" t="s">
        <v>1514</v>
      </c>
      <c r="B78" s="55" t="s">
        <v>1539</v>
      </c>
      <c r="C78" s="64" t="str">
        <f>IF(ISNA(VLOOKUP(A78&amp;"|"&amp;B78&amp;"|"&amp;"LOOK",'NPC Dialogue'!$A:$F,6,FALSE)),VLOOKUP(A78&amp;"|"&amp;B78&amp;"|"&amp;"You see..",'NPC Dialogue'!$A:$F,6,FALSE),VLOOKUP(A78&amp;"|"&amp;B78&amp;"|"&amp;"LOOK",'NPC Dialogue'!$A:$F,6,FALSE))</f>
        <v>A very small wizard.</v>
      </c>
      <c r="D78" s="50" t="s">
        <v>2587</v>
      </c>
      <c r="E78" s="19" t="str">
        <f t="shared" si="30"/>
        <v>/data merge entity @e[type=minecraft:villager,limit=1,sort=nearest] {CustomName:"Presto"}</v>
      </c>
      <c r="F78" s="22" t="str">
        <f t="shared" si="31"/>
        <v>/tag @e[type=minecraft:villager,name="Presto",limit=1] add npc_presto</v>
      </c>
      <c r="G78" t="str">
        <f t="shared" si="32"/>
        <v>Presto</v>
      </c>
      <c r="H78" t="str">
        <f t="shared" si="33"/>
        <v>npc_presto</v>
      </c>
      <c r="I78">
        <f t="shared" si="34"/>
        <v>56</v>
      </c>
    </row>
    <row r="79" spans="1:9" ht="21.6" x14ac:dyDescent="0.3">
      <c r="A79" s="20" t="s">
        <v>1514</v>
      </c>
      <c r="B79" s="55" t="s">
        <v>1581</v>
      </c>
      <c r="C79" s="64" t="str">
        <f>IF(ISNA(VLOOKUP(A79&amp;"|"&amp;B79&amp;"|"&amp;"LOOK",'NPC Dialogue'!$A:$F,6,FALSE)),VLOOKUP(A79&amp;"|"&amp;B79&amp;"|"&amp;"You see..",'NPC Dialogue'!$A:$F,6,FALSE),VLOOKUP(A79&amp;"|"&amp;B79&amp;"|"&amp;"LOOK",'NPC Dialogue'!$A:$F,6,FALSE))</f>
        <v>A short dumpy man with a book.</v>
      </c>
      <c r="D79" s="50" t="s">
        <v>2598</v>
      </c>
      <c r="E79" s="19" t="str">
        <f t="shared" si="30"/>
        <v>/data merge entity @e[type=minecraft:villager,limit=1,sort=nearest] {CustomName:"Romasco"}</v>
      </c>
      <c r="F79" s="22" t="str">
        <f t="shared" si="31"/>
        <v>/tag @e[type=minecraft:villager,name="Romasco",limit=1] add npc_romasco</v>
      </c>
      <c r="G79" t="str">
        <f t="shared" si="32"/>
        <v>Romasco</v>
      </c>
      <c r="H79" t="str">
        <f t="shared" si="33"/>
        <v>npc_romasco</v>
      </c>
      <c r="I79">
        <f t="shared" si="34"/>
        <v>57</v>
      </c>
    </row>
    <row r="80" spans="1:9" ht="21.6" x14ac:dyDescent="0.3">
      <c r="A80" s="20" t="s">
        <v>1514</v>
      </c>
      <c r="B80" s="55" t="s">
        <v>1530</v>
      </c>
      <c r="C80" s="64" t="str">
        <f>IF(ISNA(VLOOKUP(A80&amp;"|"&amp;B80&amp;"|"&amp;"LOOK",'NPC Dialogue'!$A:$F,6,FALSE)),VLOOKUP(A80&amp;"|"&amp;B80&amp;"|"&amp;"You see..",'NPC Dialogue'!$A:$F,6,FALSE),VLOOKUP(A80&amp;"|"&amp;B80&amp;"|"&amp;"LOOK",'NPC Dialogue'!$A:$F,6,FALSE))</f>
        <v>A tall ranger.</v>
      </c>
      <c r="D80" s="50" t="s">
        <v>2589</v>
      </c>
      <c r="E80" s="19" t="str">
        <f t="shared" si="30"/>
        <v>/data merge entity @e[type=minecraft:villager,limit=1,sort=nearest] {CustomName:"Santayana"}</v>
      </c>
      <c r="F80" s="22" t="str">
        <f t="shared" si="31"/>
        <v>/tag @e[type=minecraft:villager,name="Santayana",limit=1] add npc_santayana</v>
      </c>
      <c r="G80" t="str">
        <f t="shared" si="32"/>
        <v>Santayana</v>
      </c>
      <c r="H80" t="str">
        <f t="shared" si="33"/>
        <v>npc_santayana</v>
      </c>
      <c r="I80">
        <f t="shared" si="34"/>
        <v>59</v>
      </c>
    </row>
    <row r="81" spans="1:9" ht="21.6" x14ac:dyDescent="0.3">
      <c r="A81" s="20" t="s">
        <v>1514</v>
      </c>
      <c r="B81" s="55" t="s">
        <v>1515</v>
      </c>
      <c r="C81" s="64" t="str">
        <f>IF(ISNA(VLOOKUP(A81&amp;"|"&amp;B81&amp;"|"&amp;"LOOK",'NPC Dialogue'!$A:$F,6,FALSE)),VLOOKUP(A81&amp;"|"&amp;B81&amp;"|"&amp;"You see..",'NPC Dialogue'!$A:$F,6,FALSE),VLOOKUP(A81&amp;"|"&amp;B81&amp;"|"&amp;"LOOK",'NPC Dialogue'!$A:$F,6,FALSE))</f>
        <v>A solemn ranger.</v>
      </c>
      <c r="D81" s="50" t="s">
        <v>2571</v>
      </c>
      <c r="E81" s="19" t="str">
        <f t="shared" si="30"/>
        <v>/data merge entity @e[type=minecraft:villager,limit=1,sort=nearest] {CustomName:"Shamino"}</v>
      </c>
      <c r="F81" s="22" t="str">
        <f t="shared" si="31"/>
        <v>/tag @e[type=minecraft:villager,name="Shamino",limit=1] add npc_shamino</v>
      </c>
      <c r="G81" t="str">
        <f t="shared" si="32"/>
        <v>Shamino</v>
      </c>
      <c r="H81" t="str">
        <f t="shared" si="33"/>
        <v>npc_shamino</v>
      </c>
      <c r="I81">
        <f t="shared" si="34"/>
        <v>57</v>
      </c>
    </row>
    <row r="82" spans="1:9" ht="21.6" x14ac:dyDescent="0.3">
      <c r="A82" s="60" t="s">
        <v>1130</v>
      </c>
      <c r="B82" s="52" t="s">
        <v>1150</v>
      </c>
      <c r="C82" s="64" t="str">
        <f>IF(ISNA(VLOOKUP(A82&amp;"|"&amp;B82&amp;"|"&amp;"LOOK",'NPC Dialogue'!$A:$F,6,FALSE)),VLOOKUP(A82&amp;"|"&amp;B82&amp;"|"&amp;"You see..",'NPC Dialogue'!$A:$F,6,FALSE),VLOOKUP(A82&amp;"|"&amp;B82&amp;"|"&amp;"LOOK",'NPC Dialogue'!$A:$F,6,FALSE))</f>
        <v>A nitwit with flowers.</v>
      </c>
      <c r="D82" s="71" t="s">
        <v>2508</v>
      </c>
      <c r="E82" s="19" t="str">
        <f t="shared" ref="E82:E98" si="35">"/data merge entity @e[type=minecraft:villager,limit=1,sort=nearest] {CustomName:"""&amp;B82&amp;"""}"</f>
        <v>/data merge entity @e[type=minecraft:villager,limit=1,sort=nearest] {CustomName:"Alex"}</v>
      </c>
      <c r="F82" s="22" t="str">
        <f t="shared" ref="F82:F98" si="36">"/tag @e[type=minecraft:villager,name="""&amp;B82&amp;""",limit=1] add npc_"&amp;SUBSTITUTE(LOWER(B82)," ","_")</f>
        <v>/tag @e[type=minecraft:villager,name="Alex",limit=1] add npc_alex</v>
      </c>
      <c r="G82" t="str">
        <f t="shared" ref="G82:G98" si="37">B82</f>
        <v>Alex</v>
      </c>
      <c r="H82" t="str">
        <f t="shared" ref="H82:H98" si="38">MID(F82,I82+4,99)</f>
        <v>npc_alex</v>
      </c>
      <c r="I82">
        <f t="shared" ref="I82:I98" si="39">FIND("add npc",F82)</f>
        <v>54</v>
      </c>
    </row>
    <row r="83" spans="1:9" ht="21.6" x14ac:dyDescent="0.3">
      <c r="A83" s="60" t="s">
        <v>1130</v>
      </c>
      <c r="B83" s="52" t="s">
        <v>1187</v>
      </c>
      <c r="C83" s="64" t="str">
        <f>IF(ISNA(VLOOKUP(A83&amp;"|"&amp;B83&amp;"|"&amp;"LOOK",'NPC Dialogue'!$A:$F,6,FALSE)),VLOOKUP(A83&amp;"|"&amp;B83&amp;"|"&amp;"You see..",'NPC Dialogue'!$A:$F,6,FALSE),VLOOKUP(A83&amp;"|"&amp;B83&amp;"|"&amp;"LOOK",'NPC Dialogue'!$A:$F,6,FALSE))</f>
        <v>A tinker at the table.</v>
      </c>
      <c r="D83" s="50" t="s">
        <v>2608</v>
      </c>
      <c r="E83" s="19" t="str">
        <f t="shared" si="35"/>
        <v>/data merge entity @e[type=minecraft:villager,limit=1,sort=nearest] {CustomName:"Azure"}</v>
      </c>
      <c r="F83" s="22" t="str">
        <f t="shared" si="36"/>
        <v>/tag @e[type=minecraft:villager,name="Azure",limit=1] add npc_azure</v>
      </c>
      <c r="G83" t="str">
        <f t="shared" si="37"/>
        <v>Azure</v>
      </c>
      <c r="H83" t="str">
        <f t="shared" si="38"/>
        <v>npc_azure</v>
      </c>
      <c r="I83">
        <f t="shared" si="39"/>
        <v>55</v>
      </c>
    </row>
    <row r="84" spans="1:9" ht="21.6" x14ac:dyDescent="0.3">
      <c r="A84" s="60" t="s">
        <v>1130</v>
      </c>
      <c r="B84" s="52" t="s">
        <v>1209</v>
      </c>
      <c r="C84" s="64" t="str">
        <f>IF(ISNA(VLOOKUP(A84&amp;"|"&amp;B84&amp;"|"&amp;"LOOK",'NPC Dialogue'!$A:$F,6,FALSE)),VLOOKUP(A84&amp;"|"&amp;B84&amp;"|"&amp;"You see..",'NPC Dialogue'!$A:$F,6,FALSE),VLOOKUP(A84&amp;"|"&amp;B84&amp;"|"&amp;"LOOK",'NPC Dialogue'!$A:$F,6,FALSE))</f>
        <v>A sickly little man.</v>
      </c>
      <c r="E84" s="19" t="str">
        <f t="shared" si="35"/>
        <v>/data merge entity @e[type=minecraft:villager,limit=1,sort=nearest] {CustomName:"Bob the Beggar"}</v>
      </c>
      <c r="F84" s="22" t="str">
        <f t="shared" si="36"/>
        <v>/tag @e[type=minecraft:villager,name="Bob the Beggar",limit=1] add npc_bob_the_beggar</v>
      </c>
      <c r="G84" t="str">
        <f t="shared" si="37"/>
        <v>Bob the Beggar</v>
      </c>
      <c r="H84" t="str">
        <f t="shared" si="38"/>
        <v>npc_bob_the_beggar</v>
      </c>
      <c r="I84">
        <f t="shared" si="39"/>
        <v>64</v>
      </c>
    </row>
    <row r="85" spans="1:9" ht="21.6" x14ac:dyDescent="0.3">
      <c r="A85" s="60" t="s">
        <v>1130</v>
      </c>
      <c r="B85" s="52" t="s">
        <v>1165</v>
      </c>
      <c r="C85" s="64" t="str">
        <f>IF(ISNA(VLOOKUP(A85&amp;"|"&amp;B85&amp;"|"&amp;"LOOK",'NPC Dialogue'!$A:$F,6,FALSE)),VLOOKUP(A85&amp;"|"&amp;B85&amp;"|"&amp;"You see..",'NPC Dialogue'!$A:$F,6,FALSE),VLOOKUP(A85&amp;"|"&amp;B85&amp;"|"&amp;"LOOK",'NPC Dialogue'!$A:$F,6,FALSE))</f>
        <v>A meek shepherd.</v>
      </c>
      <c r="E85" s="19" t="str">
        <f t="shared" si="35"/>
        <v>/data merge entity @e[type=minecraft:villager,limit=1,sort=nearest] {CustomName:"Damon"}</v>
      </c>
      <c r="F85" s="22" t="str">
        <f t="shared" si="36"/>
        <v>/tag @e[type=minecraft:villager,name="Damon",limit=1] add npc_damon</v>
      </c>
      <c r="G85" t="str">
        <f t="shared" si="37"/>
        <v>Damon</v>
      </c>
      <c r="H85" t="str">
        <f t="shared" si="38"/>
        <v>npc_damon</v>
      </c>
      <c r="I85">
        <f t="shared" si="39"/>
        <v>55</v>
      </c>
    </row>
    <row r="86" spans="1:9" ht="21.6" x14ac:dyDescent="0.3">
      <c r="A86" s="20" t="s">
        <v>1130</v>
      </c>
      <c r="B86" s="52" t="s">
        <v>1177</v>
      </c>
      <c r="C86" s="64" t="str">
        <f>IF(ISNA(VLOOKUP(A86&amp;"|"&amp;B86&amp;"|"&amp;"LOOK",'NPC Dialogue'!$A:$F,6,FALSE)),VLOOKUP(A86&amp;"|"&amp;B86&amp;"|"&amp;"You see..",'NPC Dialogue'!$A:$F,6,FALSE),VLOOKUP(A86&amp;"|"&amp;B86&amp;"|"&amp;"LOOK",'NPC Dialogue'!$A:$F,6,FALSE))</f>
        <v>A fading man.</v>
      </c>
      <c r="D86" s="50" t="s">
        <v>2508</v>
      </c>
      <c r="E86" s="19" t="str">
        <f t="shared" si="35"/>
        <v>/data merge entity @e[type=minecraft:villager,limit=1,sort=nearest] {CustomName:"Gimble"}</v>
      </c>
      <c r="F86" s="22" t="str">
        <f t="shared" si="36"/>
        <v>/tag @e[type=minecraft:villager,name="Gimble",limit=1] add npc_gimble</v>
      </c>
      <c r="G86" t="str">
        <f t="shared" si="37"/>
        <v>Gimble</v>
      </c>
      <c r="H86" t="str">
        <f t="shared" si="38"/>
        <v>npc_gimble</v>
      </c>
      <c r="I86">
        <f t="shared" si="39"/>
        <v>56</v>
      </c>
    </row>
    <row r="87" spans="1:9" ht="21.6" x14ac:dyDescent="0.3">
      <c r="A87" s="20" t="s">
        <v>1130</v>
      </c>
      <c r="B87" s="52" t="s">
        <v>1237</v>
      </c>
      <c r="C87" s="64" t="str">
        <f>IF(ISNA(VLOOKUP(A87&amp;"|"&amp;B87&amp;"|"&amp;"LOOK",'NPC Dialogue'!$A:$F,6,FALSE)),VLOOKUP(A87&amp;"|"&amp;B87&amp;"|"&amp;"You see..",'NPC Dialogue'!$A:$F,6,FALSE),VLOOKUP(A87&amp;"|"&amp;B87&amp;"|"&amp;"LOOK",'NPC Dialogue'!$A:$F,6,FALSE))</f>
        <v>A ragged soul.</v>
      </c>
      <c r="E87" s="19" t="str">
        <f t="shared" si="35"/>
        <v>/data merge entity @e[type=minecraft:villager,limit=1,sort=nearest] {CustomName:"Jude"}</v>
      </c>
      <c r="F87" s="22" t="str">
        <f t="shared" si="36"/>
        <v>/tag @e[type=minecraft:villager,name="Jude",limit=1] add npc_jude</v>
      </c>
      <c r="G87" t="str">
        <f t="shared" si="37"/>
        <v>Jude</v>
      </c>
      <c r="H87" t="str">
        <f t="shared" si="38"/>
        <v>npc_jude</v>
      </c>
      <c r="I87">
        <f t="shared" si="39"/>
        <v>54</v>
      </c>
    </row>
    <row r="88" spans="1:9" ht="21.6" x14ac:dyDescent="0.3">
      <c r="A88" s="20" t="s">
        <v>1130</v>
      </c>
      <c r="B88" s="52" t="s">
        <v>1131</v>
      </c>
      <c r="C88" s="64" t="str">
        <f>IF(ISNA(VLOOKUP(A88&amp;"|"&amp;B88&amp;"|"&amp;"LOOK",'NPC Dialogue'!$A:$F,6,FALSE)),VLOOKUP(A88&amp;"|"&amp;B88&amp;"|"&amp;"You see..",'NPC Dialogue'!$A:$F,6,FALSE),VLOOKUP(A88&amp;"|"&amp;B88&amp;"|"&amp;"LOOK",'NPC Dialogue'!$A:$F,6,FALSE))</f>
        <v>An agile tinker.</v>
      </c>
      <c r="E88" s="19" t="str">
        <f t="shared" si="35"/>
        <v>/data merge entity @e[type=minecraft:villager,limit=1,sort=nearest] {CustomName:"Julia"}</v>
      </c>
      <c r="F88" s="22" t="str">
        <f t="shared" si="36"/>
        <v>/tag @e[type=minecraft:villager,name="Julia",limit=1] add npc_julia</v>
      </c>
      <c r="G88" t="str">
        <f t="shared" si="37"/>
        <v>Julia</v>
      </c>
      <c r="H88" t="str">
        <f t="shared" si="38"/>
        <v>npc_julia</v>
      </c>
      <c r="I88">
        <f t="shared" si="39"/>
        <v>55</v>
      </c>
    </row>
    <row r="89" spans="1:9" ht="21.6" x14ac:dyDescent="0.3">
      <c r="A89" s="20" t="s">
        <v>1130</v>
      </c>
      <c r="B89" s="52" t="s">
        <v>1158</v>
      </c>
      <c r="C89" s="64" t="str">
        <f>IF(ISNA(VLOOKUP(A89&amp;"|"&amp;B89&amp;"|"&amp;"LOOK",'NPC Dialogue'!$A:$F,6,FALSE)),VLOOKUP(A89&amp;"|"&amp;B89&amp;"|"&amp;"You see..",'NPC Dialogue'!$A:$F,6,FALSE),VLOOKUP(A89&amp;"|"&amp;B89&amp;"|"&amp;"LOOK",'NPC Dialogue'!$A:$F,6,FALSE))</f>
        <v>A wandering tinker.</v>
      </c>
      <c r="E89" s="19" t="str">
        <f t="shared" si="35"/>
        <v>/data merge entity @e[type=minecraft:villager,limit=1,sort=nearest] {CustomName:"Merida"}</v>
      </c>
      <c r="F89" s="22" t="str">
        <f t="shared" si="36"/>
        <v>/tag @e[type=minecraft:villager,name="Merida",limit=1] add npc_merida</v>
      </c>
      <c r="G89" t="str">
        <f t="shared" si="37"/>
        <v>Merida</v>
      </c>
      <c r="H89" t="str">
        <f t="shared" si="38"/>
        <v>npc_merida</v>
      </c>
      <c r="I89">
        <f t="shared" si="39"/>
        <v>56</v>
      </c>
    </row>
    <row r="90" spans="1:9" ht="21.6" x14ac:dyDescent="0.3">
      <c r="A90" s="20" t="s">
        <v>1130</v>
      </c>
      <c r="B90" s="52" t="s">
        <v>1246</v>
      </c>
      <c r="C90" s="64" t="str">
        <f>IF(ISNA(VLOOKUP(A90&amp;"|"&amp;B90&amp;"|"&amp;"LOOK",'NPC Dialogue'!$A:$F,6,FALSE)),VLOOKUP(A90&amp;"|"&amp;B90&amp;"|"&amp;"You see..",'NPC Dialogue'!$A:$F,6,FALSE),VLOOKUP(A90&amp;"|"&amp;B90&amp;"|"&amp;"LOOK",'NPC Dialogue'!$A:$F,6,FALSE))</f>
        <v>A stocky ranger.</v>
      </c>
      <c r="E90" s="19" t="str">
        <f t="shared" si="35"/>
        <v>/data merge entity @e[type=minecraft:villager,limit=1,sort=nearest] {CustomName:"Mike Ward"}</v>
      </c>
      <c r="F90" s="22" t="str">
        <f t="shared" si="36"/>
        <v>/tag @e[type=minecraft:villager,name="Mike Ward",limit=1] add npc_mike_ward</v>
      </c>
      <c r="G90" t="str">
        <f t="shared" si="37"/>
        <v>Mike Ward</v>
      </c>
      <c r="H90" t="str">
        <f t="shared" si="38"/>
        <v>npc_mike_ward</v>
      </c>
      <c r="I90">
        <f t="shared" si="39"/>
        <v>59</v>
      </c>
    </row>
    <row r="91" spans="1:9" ht="21.6" x14ac:dyDescent="0.3">
      <c r="A91" s="20" t="s">
        <v>1130</v>
      </c>
      <c r="B91" s="52" t="s">
        <v>1193</v>
      </c>
      <c r="C91" s="64" t="str">
        <f>IF(ISNA(VLOOKUP(A91&amp;"|"&amp;B91&amp;"|"&amp;"LOOK",'NPC Dialogue'!$A:$F,6,FALSE)),VLOOKUP(A91&amp;"|"&amp;B91&amp;"|"&amp;"You see..",'NPC Dialogue'!$A:$F,6,FALSE),VLOOKUP(A91&amp;"|"&amp;B91&amp;"|"&amp;"LOOK",'NPC Dialogue'!$A:$F,6,FALSE))</f>
        <v>A happy tinker.</v>
      </c>
      <c r="E91" s="19" t="str">
        <f t="shared" si="35"/>
        <v>/data merge entity @e[type=minecraft:villager,limit=1,sort=nearest] {CustomName:"Mischief"}</v>
      </c>
      <c r="F91" s="22" t="str">
        <f t="shared" si="36"/>
        <v>/tag @e[type=minecraft:villager,name="Mischief",limit=1] add npc_mischief</v>
      </c>
      <c r="G91" t="str">
        <f t="shared" si="37"/>
        <v>Mischief</v>
      </c>
      <c r="H91" t="str">
        <f t="shared" si="38"/>
        <v>npc_mischief</v>
      </c>
      <c r="I91">
        <f t="shared" si="39"/>
        <v>58</v>
      </c>
    </row>
    <row r="92" spans="1:9" ht="21.6" x14ac:dyDescent="0.3">
      <c r="A92" s="20" t="s">
        <v>1130</v>
      </c>
      <c r="B92" s="52" t="s">
        <v>1141</v>
      </c>
      <c r="C92" s="64" t="str">
        <f>IF(ISNA(VLOOKUP(A92&amp;"|"&amp;B92&amp;"|"&amp;"LOOK",'NPC Dialogue'!$A:$F,6,FALSE)),VLOOKUP(A92&amp;"|"&amp;B92&amp;"|"&amp;"You see..",'NPC Dialogue'!$A:$F,6,FALSE),VLOOKUP(A92&amp;"|"&amp;B92&amp;"|"&amp;"LOOK",'NPC Dialogue'!$A:$F,6,FALSE))</f>
        <v>A rotund tinker.</v>
      </c>
      <c r="D92" s="50" t="s">
        <v>2610</v>
      </c>
      <c r="E92" s="19" t="str">
        <f t="shared" si="35"/>
        <v>/data merge entity @e[type=minecraft:villager,limit=1,sort=nearest] {CustomName:"Shentis"}</v>
      </c>
      <c r="F92" s="22" t="str">
        <f t="shared" si="36"/>
        <v>/tag @e[type=minecraft:villager,name="Shentis",limit=1] add npc_shentis</v>
      </c>
      <c r="G92" t="str">
        <f t="shared" si="37"/>
        <v>Shentis</v>
      </c>
      <c r="H92" t="str">
        <f t="shared" si="38"/>
        <v>npc_shentis</v>
      </c>
      <c r="I92">
        <f t="shared" si="39"/>
        <v>57</v>
      </c>
    </row>
    <row r="93" spans="1:9" ht="21.6" x14ac:dyDescent="0.3">
      <c r="A93" s="20" t="s">
        <v>1130</v>
      </c>
      <c r="B93" s="52" t="s">
        <v>1172</v>
      </c>
      <c r="C93" s="64" t="str">
        <f>IF(ISNA(VLOOKUP(A93&amp;"|"&amp;B93&amp;"|"&amp;"LOOK",'NPC Dialogue'!$A:$F,6,FALSE)),VLOOKUP(A93&amp;"|"&amp;B93&amp;"|"&amp;"You see..",'NPC Dialogue'!$A:$F,6,FALSE),VLOOKUP(A93&amp;"|"&amp;B93&amp;"|"&amp;"LOOK",'NPC Dialogue'!$A:$F,6,FALSE))</f>
        <v>A cute bard.</v>
      </c>
      <c r="D93" s="50" t="s">
        <v>2611</v>
      </c>
      <c r="E93" s="19" t="str">
        <f t="shared" si="35"/>
        <v>/data merge entity @e[type=minecraft:villager,limit=1,sort=nearest] {CustomName:"Singsong"}</v>
      </c>
      <c r="F93" s="22" t="str">
        <f t="shared" si="36"/>
        <v>/tag @e[type=minecraft:villager,name="Singsong",limit=1] add npc_singsong</v>
      </c>
      <c r="G93" t="str">
        <f t="shared" si="37"/>
        <v>Singsong</v>
      </c>
      <c r="H93" t="str">
        <f t="shared" si="38"/>
        <v>npc_singsong</v>
      </c>
      <c r="I93">
        <f t="shared" si="39"/>
        <v>58</v>
      </c>
    </row>
    <row r="94" spans="1:9" ht="21.6" x14ac:dyDescent="0.3">
      <c r="A94" s="20" t="s">
        <v>1130</v>
      </c>
      <c r="B94" s="52" t="s">
        <v>1228</v>
      </c>
      <c r="C94" s="64" t="str">
        <f>IF(ISNA(VLOOKUP(A94&amp;"|"&amp;B94&amp;"|"&amp;"LOOK",'NPC Dialogue'!$A:$F,6,FALSE)),VLOOKUP(A94&amp;"|"&amp;B94&amp;"|"&amp;"You see..",'NPC Dialogue'!$A:$F,6,FALSE),VLOOKUP(A94&amp;"|"&amp;B94&amp;"|"&amp;"LOOK",'NPC Dialogue'!$A:$F,6,FALSE))</f>
        <v>A seasoned blacksmith.</v>
      </c>
      <c r="E94" s="19" t="str">
        <f t="shared" si="35"/>
        <v>/data merge entity @e[type=minecraft:villager,limit=1,sort=nearest] {CustomName:"Zircon"}</v>
      </c>
      <c r="F94" s="22" t="str">
        <f t="shared" si="36"/>
        <v>/tag @e[type=minecraft:villager,name="Zircon",limit=1] add npc_zircon</v>
      </c>
      <c r="G94" t="str">
        <f t="shared" si="37"/>
        <v>Zircon</v>
      </c>
      <c r="H94" t="str">
        <f t="shared" si="38"/>
        <v>npc_zircon</v>
      </c>
      <c r="I94">
        <f t="shared" si="39"/>
        <v>56</v>
      </c>
    </row>
    <row r="95" spans="1:9" ht="21.6" x14ac:dyDescent="0.3">
      <c r="A95" s="20" t="s">
        <v>1130</v>
      </c>
      <c r="B95" s="52" t="s">
        <v>316</v>
      </c>
      <c r="C95" s="52" t="s">
        <v>2604</v>
      </c>
      <c r="E95" s="19" t="str">
        <f t="shared" si="35"/>
        <v>/data merge entity @e[type=minecraft:villager,limit=1,sort=nearest] {CustomName:"Estro"}</v>
      </c>
      <c r="F95" s="22" t="str">
        <f t="shared" si="36"/>
        <v>/tag @e[type=minecraft:villager,name="Estro",limit=1] add npc_estro</v>
      </c>
      <c r="G95" t="str">
        <f t="shared" si="37"/>
        <v>Estro</v>
      </c>
      <c r="H95" t="str">
        <f t="shared" si="38"/>
        <v>npc_estro</v>
      </c>
      <c r="I95">
        <f t="shared" si="39"/>
        <v>55</v>
      </c>
    </row>
    <row r="96" spans="1:9" ht="21.6" x14ac:dyDescent="0.3">
      <c r="A96" s="20" t="s">
        <v>1130</v>
      </c>
      <c r="B96" s="52" t="s">
        <v>2602</v>
      </c>
      <c r="C96" s="52" t="s">
        <v>2603</v>
      </c>
      <c r="D96" s="50" t="s">
        <v>2615</v>
      </c>
      <c r="E96" s="19" t="str">
        <f t="shared" si="35"/>
        <v>/data merge entity @e[type=minecraft:villager,limit=1,sort=nearest] {CustomName:"Peter"}</v>
      </c>
      <c r="F96" s="22" t="str">
        <f t="shared" si="36"/>
        <v>/tag @e[type=minecraft:villager,name="Peter",limit=1] add npc_peter</v>
      </c>
      <c r="G96" t="str">
        <f t="shared" si="37"/>
        <v>Peter</v>
      </c>
      <c r="H96" t="str">
        <f t="shared" si="38"/>
        <v>npc_peter</v>
      </c>
      <c r="I96">
        <f t="shared" si="39"/>
        <v>55</v>
      </c>
    </row>
    <row r="97" spans="1:9" ht="21.6" x14ac:dyDescent="0.3">
      <c r="A97" s="20" t="s">
        <v>1130</v>
      </c>
      <c r="B97" s="65" t="s">
        <v>2606</v>
      </c>
      <c r="C97" s="65" t="s">
        <v>2607</v>
      </c>
      <c r="D97" s="67" t="s">
        <v>2507</v>
      </c>
      <c r="E97" s="19" t="str">
        <f t="shared" si="35"/>
        <v>/data merge entity @e[type=minecraft:villager,limit=1,sort=nearest] {CustomName:"Butch"}</v>
      </c>
      <c r="F97" s="22" t="str">
        <f t="shared" si="36"/>
        <v>/tag @e[type=minecraft:villager,name="Butch",limit=1] add npc_butch</v>
      </c>
      <c r="G97" t="str">
        <f t="shared" si="37"/>
        <v>Butch</v>
      </c>
      <c r="H97" t="str">
        <f t="shared" si="38"/>
        <v>npc_butch</v>
      </c>
      <c r="I97">
        <f t="shared" si="39"/>
        <v>55</v>
      </c>
    </row>
    <row r="98" spans="1:9" ht="21.6" x14ac:dyDescent="0.3">
      <c r="A98" s="20" t="s">
        <v>1130</v>
      </c>
      <c r="B98" s="52" t="s">
        <v>2612</v>
      </c>
      <c r="C98" s="52" t="s">
        <v>2614</v>
      </c>
      <c r="D98" s="50" t="s">
        <v>2512</v>
      </c>
      <c r="E98" s="19" t="str">
        <f t="shared" si="35"/>
        <v>/data merge entity @e[type=minecraft:villager,limit=1,sort=nearest] {CustomName:"Pierre"}</v>
      </c>
      <c r="F98" s="22" t="str">
        <f t="shared" si="36"/>
        <v>/tag @e[type=minecraft:villager,name="Pierre",limit=1] add npc_pierre</v>
      </c>
      <c r="G98" t="str">
        <f t="shared" si="37"/>
        <v>Pierre</v>
      </c>
      <c r="H98" t="str">
        <f t="shared" si="38"/>
        <v>npc_pierre</v>
      </c>
      <c r="I98">
        <f t="shared" si="39"/>
        <v>56</v>
      </c>
    </row>
    <row r="99" spans="1:9" ht="21.6" x14ac:dyDescent="0.3">
      <c r="A99" s="20" t="s">
        <v>1130</v>
      </c>
      <c r="B99" s="52" t="s">
        <v>2613</v>
      </c>
      <c r="C99" s="52" t="s">
        <v>2616</v>
      </c>
      <c r="D99" s="50" t="s">
        <v>2511</v>
      </c>
      <c r="E99" s="19" t="str">
        <f t="shared" ref="E99:E123" si="40">"/data merge entity @e[type=minecraft:villager,limit=1,sort=nearest] {CustomName:"""&amp;B99&amp;"""}"</f>
        <v>/data merge entity @e[type=minecraft:villager,limit=1,sort=nearest] {CustomName:"Piedro"}</v>
      </c>
      <c r="F99" s="22" t="str">
        <f t="shared" ref="F99:F123" si="41">"/tag @e[type=minecraft:villager,name="""&amp;B99&amp;""",limit=1] add npc_"&amp;SUBSTITUTE(LOWER(B99)," ","_")</f>
        <v>/tag @e[type=minecraft:villager,name="Piedro",limit=1] add npc_piedro</v>
      </c>
      <c r="G99" t="str">
        <f t="shared" ref="G99:G123" si="42">B99</f>
        <v>Piedro</v>
      </c>
      <c r="H99" t="str">
        <f t="shared" ref="H99:H123" si="43">MID(F99,I99+4,99)</f>
        <v>npc_piedro</v>
      </c>
      <c r="I99">
        <f t="shared" ref="I99:I123" si="44">FIND("add npc",F99)</f>
        <v>56</v>
      </c>
    </row>
    <row r="100" spans="1:9" ht="21.6" x14ac:dyDescent="0.3">
      <c r="A100" s="20" t="s">
        <v>858</v>
      </c>
      <c r="B100" s="22" t="s">
        <v>2617</v>
      </c>
      <c r="C100" s="72" t="e">
        <f>IF(ISNA(VLOOKUP(A100&amp;"|"&amp;B100&amp;"|"&amp;"LOOK",'NPC Dialogue'!$A:$F,6,FALSE)),VLOOKUP(A100&amp;"|"&amp;B100&amp;"|"&amp;"You see..",'NPC Dialogue'!$A:$F,6,FALSE),VLOOKUP(A100&amp;"|"&amp;B100&amp;"|"&amp;"LOOK",'NPC Dialogue'!$A:$F,6,FALSE))</f>
        <v>#N/A</v>
      </c>
      <c r="E100" s="19" t="str">
        <f t="shared" si="40"/>
        <v>/data merge entity @e[type=minecraft:villager,limit=1,sort=nearest] {CustomName:"Celest"}</v>
      </c>
      <c r="F100" s="22" t="str">
        <f t="shared" si="41"/>
        <v>/tag @e[type=minecraft:villager,name="Celest",limit=1] add npc_celest</v>
      </c>
      <c r="G100" t="str">
        <f t="shared" si="42"/>
        <v>Celest</v>
      </c>
      <c r="H100" t="str">
        <f t="shared" si="43"/>
        <v>npc_celest</v>
      </c>
      <c r="I100">
        <f t="shared" si="44"/>
        <v>56</v>
      </c>
    </row>
    <row r="101" spans="1:9" ht="21.6" x14ac:dyDescent="0.3">
      <c r="A101" s="20" t="s">
        <v>858</v>
      </c>
      <c r="B101" s="22" t="s">
        <v>941</v>
      </c>
      <c r="C101" s="72" t="str">
        <f>IF(ISNA(VLOOKUP(A101&amp;"|"&amp;B101&amp;"|"&amp;"LOOK",'NPC Dialogue'!$A:$F,6,FALSE)),VLOOKUP(A101&amp;"|"&amp;B101&amp;"|"&amp;"You see..",'NPC Dialogue'!$A:$F,6,FALSE),VLOOKUP(A101&amp;"|"&amp;B101&amp;"|"&amp;"LOOK",'NPC Dialogue'!$A:$F,6,FALSE))</f>
        <v>A small child</v>
      </c>
      <c r="E101" s="19" t="str">
        <f t="shared" si="40"/>
        <v>/data merge entity @e[type=minecraft:villager,limit=1,sort=nearest] {CustomName:"Child"}</v>
      </c>
      <c r="F101" s="22" t="str">
        <f t="shared" si="41"/>
        <v>/tag @e[type=minecraft:villager,name="Child",limit=1] add npc_child</v>
      </c>
      <c r="G101" t="str">
        <f t="shared" si="42"/>
        <v>Child</v>
      </c>
      <c r="H101" t="str">
        <f t="shared" si="43"/>
        <v>npc_child</v>
      </c>
      <c r="I101">
        <f t="shared" si="44"/>
        <v>55</v>
      </c>
    </row>
    <row r="102" spans="1:9" ht="21.6" x14ac:dyDescent="0.3">
      <c r="A102" s="20" t="s">
        <v>858</v>
      </c>
      <c r="B102" s="22" t="s">
        <v>924</v>
      </c>
      <c r="C102" s="72" t="str">
        <f>IF(ISNA(VLOOKUP(A102&amp;"|"&amp;B102&amp;"|"&amp;"LOOK",'NPC Dialogue'!$A:$F,6,FALSE)),VLOOKUP(A102&amp;"|"&amp;B102&amp;"|"&amp;"You see..",'NPC Dialogue'!$A:$F,6,FALSE),VLOOKUP(A102&amp;"|"&amp;B102&amp;"|"&amp;"LOOK",'NPC Dialogue'!$A:$F,6,FALSE))</f>
        <v>A bard in green</v>
      </c>
      <c r="E102" s="19" t="str">
        <f t="shared" si="40"/>
        <v>/data merge entity @e[type=minecraft:villager,limit=1,sort=nearest] {CustomName:"Cricket"}</v>
      </c>
      <c r="F102" s="22" t="str">
        <f t="shared" si="41"/>
        <v>/tag @e[type=minecraft:villager,name="Cricket",limit=1] add npc_cricket</v>
      </c>
      <c r="G102" t="str">
        <f t="shared" si="42"/>
        <v>Cricket</v>
      </c>
      <c r="H102" t="str">
        <f t="shared" si="43"/>
        <v>npc_cricket</v>
      </c>
      <c r="I102">
        <f t="shared" si="44"/>
        <v>57</v>
      </c>
    </row>
    <row r="103" spans="1:9" ht="21.6" x14ac:dyDescent="0.3">
      <c r="A103" s="20" t="s">
        <v>858</v>
      </c>
      <c r="B103" s="22" t="s">
        <v>859</v>
      </c>
      <c r="C103" s="72" t="str">
        <f>IF(ISNA(VLOOKUP(A103&amp;"|"&amp;B103&amp;"|"&amp;"LOOK",'NPC Dialogue'!$A:$F,6,FALSE)),VLOOKUP(A103&amp;"|"&amp;B103&amp;"|"&amp;"You see..",'NPC Dialogue'!$A:$F,6,FALSE),VLOOKUP(A103&amp;"|"&amp;B103&amp;"|"&amp;"LOOK",'NPC Dialogue'!$A:$F,6,FALSE))</f>
        <v>Charming bard</v>
      </c>
      <c r="E103" s="19" t="str">
        <f t="shared" si="40"/>
        <v>/data merge entity @e[type=minecraft:villager,limit=1,sort=nearest] {CustomName:"Iolo"}</v>
      </c>
      <c r="F103" s="22" t="str">
        <f t="shared" si="41"/>
        <v>/tag @e[type=minecraft:villager,name="Iolo",limit=1] add npc_iolo</v>
      </c>
      <c r="G103" t="str">
        <f t="shared" si="42"/>
        <v>Iolo</v>
      </c>
      <c r="H103" t="str">
        <f t="shared" si="43"/>
        <v>npc_iolo</v>
      </c>
      <c r="I103">
        <f t="shared" si="44"/>
        <v>54</v>
      </c>
    </row>
    <row r="104" spans="1:9" ht="21.6" x14ac:dyDescent="0.3">
      <c r="A104" s="20" t="s">
        <v>858</v>
      </c>
      <c r="B104" s="22" t="s">
        <v>2618</v>
      </c>
      <c r="C104" s="72" t="e">
        <f>IF(ISNA(VLOOKUP(A104&amp;"|"&amp;B104&amp;"|"&amp;"LOOK",'NPC Dialogue'!$A:$F,6,FALSE)),VLOOKUP(A104&amp;"|"&amp;B104&amp;"|"&amp;"You see..",'NPC Dialogue'!$A:$F,6,FALSE),VLOOKUP(A104&amp;"|"&amp;B104&amp;"|"&amp;"LOOK",'NPC Dialogue'!$A:$F,6,FALSE))</f>
        <v>#N/A</v>
      </c>
      <c r="E104" s="19" t="str">
        <f t="shared" si="40"/>
        <v>/data merge entity @e[type=minecraft:villager,limit=1,sort=nearest] {CustomName:"Jason"}</v>
      </c>
      <c r="F104" s="22" t="str">
        <f t="shared" si="41"/>
        <v>/tag @e[type=minecraft:villager,name="Jason",limit=1] add npc_jason</v>
      </c>
      <c r="G104" t="str">
        <f t="shared" si="42"/>
        <v>Jason</v>
      </c>
      <c r="H104" t="str">
        <f t="shared" si="43"/>
        <v>npc_jason</v>
      </c>
      <c r="I104">
        <f t="shared" si="44"/>
        <v>55</v>
      </c>
    </row>
    <row r="105" spans="1:9" ht="21.6" x14ac:dyDescent="0.3">
      <c r="A105" s="20" t="s">
        <v>858</v>
      </c>
      <c r="B105" s="22" t="s">
        <v>975</v>
      </c>
      <c r="C105" s="72" t="str">
        <f>IF(ISNA(VLOOKUP(A105&amp;"|"&amp;B105&amp;"|"&amp;"LOOK",'NPC Dialogue'!$A:$F,6,FALSE)),VLOOKUP(A105&amp;"|"&amp;B105&amp;"|"&amp;"You see..",'NPC Dialogue'!$A:$F,6,FALSE),VLOOKUP(A105&amp;"|"&amp;B105&amp;"|"&amp;"LOOK",'NPC Dialogue'!$A:$F,6,FALSE))</f>
        <v>A solemn bard.</v>
      </c>
      <c r="E105" s="19" t="str">
        <f t="shared" si="40"/>
        <v>/data merge entity @e[type=minecraft:villager,limit=1,sort=nearest] {CustomName:"Julio"}</v>
      </c>
      <c r="F105" s="22" t="str">
        <f t="shared" si="41"/>
        <v>/tag @e[type=minecraft:villager,name="Julio",limit=1] add npc_julio</v>
      </c>
      <c r="G105" t="str">
        <f t="shared" si="42"/>
        <v>Julio</v>
      </c>
      <c r="H105" t="str">
        <f t="shared" si="43"/>
        <v>npc_julio</v>
      </c>
      <c r="I105">
        <f t="shared" si="44"/>
        <v>55</v>
      </c>
    </row>
    <row r="106" spans="1:9" ht="21.6" x14ac:dyDescent="0.3">
      <c r="A106" s="20" t="s">
        <v>858</v>
      </c>
      <c r="B106" s="22" t="s">
        <v>897</v>
      </c>
      <c r="C106" s="72" t="str">
        <f>IF(ISNA(VLOOKUP(A106&amp;"|"&amp;B106&amp;"|"&amp;"LOOK",'NPC Dialogue'!$A:$F,6,FALSE)),VLOOKUP(A106&amp;"|"&amp;B106&amp;"|"&amp;"You see..",'NPC Dialogue'!$A:$F,6,FALSE),VLOOKUP(A106&amp;"|"&amp;B106&amp;"|"&amp;"LOOK",'NPC Dialogue'!$A:$F,6,FALSE))</f>
        <v>A spicy woman.</v>
      </c>
      <c r="E106" s="19" t="str">
        <f t="shared" si="40"/>
        <v>/data merge entity @e[type=minecraft:villager,limit=1,sort=nearest] {CustomName:"Pepper"}</v>
      </c>
      <c r="F106" s="22" t="str">
        <f t="shared" si="41"/>
        <v>/tag @e[type=minecraft:villager,name="Pepper",limit=1] add npc_pepper</v>
      </c>
      <c r="G106" t="str">
        <f t="shared" si="42"/>
        <v>Pepper</v>
      </c>
      <c r="H106" t="str">
        <f t="shared" si="43"/>
        <v>npc_pepper</v>
      </c>
      <c r="I106">
        <f t="shared" si="44"/>
        <v>56</v>
      </c>
    </row>
    <row r="107" spans="1:9" ht="21.6" x14ac:dyDescent="0.3">
      <c r="A107" s="20" t="s">
        <v>858</v>
      </c>
      <c r="B107" s="22" t="s">
        <v>958</v>
      </c>
      <c r="C107" s="72" t="str">
        <f>IF(ISNA(VLOOKUP(A107&amp;"|"&amp;B107&amp;"|"&amp;"LOOK",'NPC Dialogue'!$A:$F,6,FALSE)),VLOOKUP(A107&amp;"|"&amp;B107&amp;"|"&amp;"You see..",'NPC Dialogue'!$A:$F,6,FALSE),VLOOKUP(A107&amp;"|"&amp;B107&amp;"|"&amp;"LOOK",'NPC Dialogue'!$A:$F,6,FALSE))</f>
        <v>An injured person.</v>
      </c>
      <c r="E107" s="19" t="str">
        <f t="shared" si="40"/>
        <v>/data merge entity @e[type=minecraft:villager,limit=1,sort=nearest] {CustomName:"Sebastian"}</v>
      </c>
      <c r="F107" s="22" t="str">
        <f t="shared" si="41"/>
        <v>/tag @e[type=minecraft:villager,name="Sebastian",limit=1] add npc_sebastian</v>
      </c>
      <c r="G107" t="str">
        <f t="shared" si="42"/>
        <v>Sebastian</v>
      </c>
      <c r="H107" t="str">
        <f t="shared" si="43"/>
        <v>npc_sebastian</v>
      </c>
      <c r="I107">
        <f t="shared" si="44"/>
        <v>59</v>
      </c>
    </row>
    <row r="108" spans="1:9" ht="21.6" x14ac:dyDescent="0.3">
      <c r="A108" s="20" t="s">
        <v>858</v>
      </c>
      <c r="B108" s="22" t="s">
        <v>950</v>
      </c>
      <c r="C108" s="72" t="str">
        <f>IF(ISNA(VLOOKUP(A108&amp;"|"&amp;B108&amp;"|"&amp;"LOOK",'NPC Dialogue'!$A:$F,6,FALSE)),VLOOKUP(A108&amp;"|"&amp;B108&amp;"|"&amp;"You see..",'NPC Dialogue'!$A:$F,6,FALSE),VLOOKUP(A108&amp;"|"&amp;B108&amp;"|"&amp;"LOOK",'NPC Dialogue'!$A:$F,6,FALSE))</f>
        <v>A tired shepherd</v>
      </c>
      <c r="E108" s="19" t="str">
        <f t="shared" si="40"/>
        <v>/data merge entity @e[type=minecraft:villager,limit=1,sort=nearest] {CustomName:"Shalimar"}</v>
      </c>
      <c r="F108" s="22" t="str">
        <f t="shared" si="41"/>
        <v>/tag @e[type=minecraft:villager,name="Shalimar",limit=1] add npc_shalimar</v>
      </c>
      <c r="G108" t="str">
        <f t="shared" si="42"/>
        <v>Shalimar</v>
      </c>
      <c r="H108" t="str">
        <f t="shared" si="43"/>
        <v>npc_shalimar</v>
      </c>
      <c r="I108">
        <f t="shared" si="44"/>
        <v>58</v>
      </c>
    </row>
    <row r="109" spans="1:9" ht="21.6" x14ac:dyDescent="0.3">
      <c r="A109" s="20" t="s">
        <v>858</v>
      </c>
      <c r="B109" s="22" t="s">
        <v>966</v>
      </c>
      <c r="C109" s="72" t="str">
        <f>IF(ISNA(VLOOKUP(A109&amp;"|"&amp;B109&amp;"|"&amp;"LOOK",'NPC Dialogue'!$A:$F,6,FALSE)),VLOOKUP(A109&amp;"|"&amp;B109&amp;"|"&amp;"You see..",'NPC Dialogue'!$A:$F,6,FALSE),VLOOKUP(A109&amp;"|"&amp;B109&amp;"|"&amp;"LOOK",'NPC Dialogue'!$A:$F,6,FALSE))</f>
        <v>A druid.</v>
      </c>
      <c r="E109" s="19" t="str">
        <f t="shared" si="40"/>
        <v>/data merge entity @e[type=minecraft:villager,limit=1,sort=nearest] {CustomName:"Shapero"}</v>
      </c>
      <c r="F109" s="22" t="str">
        <f t="shared" si="41"/>
        <v>/tag @e[type=minecraft:villager,name="Shapero",limit=1] add npc_shapero</v>
      </c>
      <c r="G109" t="str">
        <f t="shared" si="42"/>
        <v>Shapero</v>
      </c>
      <c r="H109" t="str">
        <f t="shared" si="43"/>
        <v>npc_shapero</v>
      </c>
      <c r="I109">
        <f t="shared" si="44"/>
        <v>57</v>
      </c>
    </row>
    <row r="110" spans="1:9" ht="21.6" x14ac:dyDescent="0.3">
      <c r="A110" s="20" t="s">
        <v>858</v>
      </c>
      <c r="B110" s="22" t="s">
        <v>991</v>
      </c>
      <c r="C110" s="72" t="str">
        <f>IF(ISNA(VLOOKUP(A110&amp;"|"&amp;B110&amp;"|"&amp;"LOOK",'NPC Dialogue'!$A:$F,6,FALSE)),VLOOKUP(A110&amp;"|"&amp;B110&amp;"|"&amp;"You see..",'NPC Dialogue'!$A:$F,6,FALSE),VLOOKUP(A110&amp;"|"&amp;B110&amp;"|"&amp;"LOOK",'NPC Dialogue'!$A:$F,6,FALSE))</f>
        <v>A poor beggar.</v>
      </c>
      <c r="E110" s="19" t="str">
        <f t="shared" si="40"/>
        <v>/data merge entity @e[type=minecraft:villager,limit=1,sort=nearest] {CustomName:"Sprite"}</v>
      </c>
      <c r="F110" s="22" t="str">
        <f t="shared" si="41"/>
        <v>/tag @e[type=minecraft:villager,name="Sprite",limit=1] add npc_sprite</v>
      </c>
      <c r="G110" t="str">
        <f t="shared" si="42"/>
        <v>Sprite</v>
      </c>
      <c r="H110" t="str">
        <f t="shared" si="43"/>
        <v>npc_sprite</v>
      </c>
      <c r="I110">
        <f t="shared" si="44"/>
        <v>56</v>
      </c>
    </row>
    <row r="111" spans="1:9" ht="21.6" x14ac:dyDescent="0.3">
      <c r="A111" s="20" t="s">
        <v>858</v>
      </c>
      <c r="B111" s="22" t="s">
        <v>2619</v>
      </c>
      <c r="C111" s="72" t="e">
        <f>IF(ISNA(VLOOKUP(A111&amp;"|"&amp;B111&amp;"|"&amp;"LOOK",'NPC Dialogue'!$A:$F,6,FALSE)),VLOOKUP(A111&amp;"|"&amp;B111&amp;"|"&amp;"You see..",'NPC Dialogue'!$A:$F,6,FALSE),VLOOKUP(A111&amp;"|"&amp;B111&amp;"|"&amp;"LOOK",'NPC Dialogue'!$A:$F,6,FALSE))</f>
        <v>#N/A</v>
      </c>
      <c r="E111" s="19" t="str">
        <f t="shared" si="40"/>
        <v>/data merge entity @e[type=minecraft:villager,limit=1,sort=nearest] {CustomName:"Tween"}</v>
      </c>
      <c r="F111" s="22" t="str">
        <f t="shared" si="41"/>
        <v>/tag @e[type=minecraft:villager,name="Tween",limit=1] add npc_tween</v>
      </c>
      <c r="G111" t="str">
        <f t="shared" si="42"/>
        <v>Tween</v>
      </c>
      <c r="H111" t="str">
        <f t="shared" si="43"/>
        <v>npc_tween</v>
      </c>
      <c r="I111">
        <f t="shared" si="44"/>
        <v>55</v>
      </c>
    </row>
    <row r="112" spans="1:9" ht="21.6" x14ac:dyDescent="0.3">
      <c r="A112" s="20" t="s">
        <v>858</v>
      </c>
      <c r="B112" s="22" t="s">
        <v>2571</v>
      </c>
      <c r="C112" s="72" t="e">
        <f>IF(ISNA(VLOOKUP(A112&amp;"|"&amp;B112&amp;"|"&amp;"LOOK",'NPC Dialogue'!$A:$F,6,FALSE)),VLOOKUP(A112&amp;"|"&amp;B112&amp;"|"&amp;"You see..",'NPC Dialogue'!$A:$F,6,FALSE),VLOOKUP(A112&amp;"|"&amp;B112&amp;"|"&amp;"LOOK",'NPC Dialogue'!$A:$F,6,FALSE))</f>
        <v>#N/A</v>
      </c>
      <c r="E112" s="19" t="str">
        <f t="shared" si="40"/>
        <v>/data merge entity @e[type=minecraft:villager,limit=1,sort=nearest] {CustomName:"Welcomer"}</v>
      </c>
      <c r="F112" s="22" t="str">
        <f t="shared" si="41"/>
        <v>/tag @e[type=minecraft:villager,name="Welcomer",limit=1] add npc_welcomer</v>
      </c>
      <c r="G112" t="str">
        <f t="shared" si="42"/>
        <v>Welcomer</v>
      </c>
      <c r="H112" t="str">
        <f t="shared" si="43"/>
        <v>npc_welcomer</v>
      </c>
      <c r="I112">
        <f t="shared" si="44"/>
        <v>58</v>
      </c>
    </row>
    <row r="113" spans="1:9" ht="21.6" x14ac:dyDescent="0.3">
      <c r="A113" s="20" t="s">
        <v>858</v>
      </c>
      <c r="B113" s="22" t="s">
        <v>2620</v>
      </c>
      <c r="C113" s="72" t="e">
        <f>IF(ISNA(VLOOKUP(A113&amp;"|"&amp;B113&amp;"|"&amp;"LOOK",'NPC Dialogue'!$A:$F,6,FALSE)),VLOOKUP(A113&amp;"|"&amp;B113&amp;"|"&amp;"You see..",'NPC Dialogue'!$A:$F,6,FALSE),VLOOKUP(A113&amp;"|"&amp;B113&amp;"|"&amp;"LOOK",'NPC Dialogue'!$A:$F,6,FALSE))</f>
        <v>#N/A</v>
      </c>
      <c r="E113" s="19" t="str">
        <f t="shared" si="40"/>
        <v>/data merge entity @e[type=minecraft:villager,limit=1,sort=nearest] {CustomName:"Winston A."}</v>
      </c>
      <c r="F113" s="22" t="str">
        <f t="shared" si="41"/>
        <v>/tag @e[type=minecraft:villager,name="Winston A.",limit=1] add npc_winston_a.</v>
      </c>
      <c r="G113" t="str">
        <f t="shared" si="42"/>
        <v>Winston A.</v>
      </c>
      <c r="H113" t="str">
        <f t="shared" si="43"/>
        <v>npc_winston_a.</v>
      </c>
      <c r="I113">
        <f t="shared" si="44"/>
        <v>60</v>
      </c>
    </row>
    <row r="114" spans="1:9" ht="21.6" x14ac:dyDescent="0.3">
      <c r="A114" s="20" t="s">
        <v>858</v>
      </c>
      <c r="B114" s="22" t="s">
        <v>2621</v>
      </c>
      <c r="C114" s="72" t="e">
        <f>IF(ISNA(VLOOKUP(A114&amp;"|"&amp;B114&amp;"|"&amp;"LOOK",'NPC Dialogue'!$A:$F,6,FALSE)),VLOOKUP(A114&amp;"|"&amp;B114&amp;"|"&amp;"You see..",'NPC Dialogue'!$A:$F,6,FALSE),VLOOKUP(A114&amp;"|"&amp;B114&amp;"|"&amp;"LOOK",'NPC Dialogue'!$A:$F,6,FALSE))</f>
        <v>#N/A</v>
      </c>
      <c r="E114" s="19" t="str">
        <f t="shared" si="40"/>
        <v>/data merge entity @e[type=minecraft:villager,limit=1,sort=nearest] {CustomName:"Winston L."}</v>
      </c>
      <c r="F114" s="22" t="str">
        <f t="shared" si="41"/>
        <v>/tag @e[type=minecraft:villager,name="Winston L.",limit=1] add npc_winston_l.</v>
      </c>
      <c r="G114" t="str">
        <f t="shared" si="42"/>
        <v>Winston L.</v>
      </c>
      <c r="H114" t="str">
        <f t="shared" si="43"/>
        <v>npc_winston_l.</v>
      </c>
      <c r="I114">
        <f t="shared" si="44"/>
        <v>60</v>
      </c>
    </row>
    <row r="115" spans="1:9" ht="21.6" x14ac:dyDescent="0.3">
      <c r="A115" s="20" t="s">
        <v>858</v>
      </c>
      <c r="B115" s="22" t="s">
        <v>2622</v>
      </c>
      <c r="C115" s="72" t="e">
        <f>IF(ISNA(VLOOKUP(A115&amp;"|"&amp;B115&amp;"|"&amp;"LOOK",'NPC Dialogue'!$A:$F,6,FALSE)),VLOOKUP(A115&amp;"|"&amp;B115&amp;"|"&amp;"You see..",'NPC Dialogue'!$A:$F,6,FALSE),VLOOKUP(A115&amp;"|"&amp;B115&amp;"|"&amp;"LOOK",'NPC Dialogue'!$A:$F,6,FALSE))</f>
        <v>#N/A</v>
      </c>
      <c r="E115" s="19" t="str">
        <f t="shared" si="40"/>
        <v>/data merge entity @e[type=minecraft:villager,limit=1,sort=nearest] {CustomName:"Winston M."}</v>
      </c>
      <c r="F115" s="22" t="str">
        <f t="shared" si="41"/>
        <v>/tag @e[type=minecraft:villager,name="Winston M.",limit=1] add npc_winston_m.</v>
      </c>
      <c r="G115" t="str">
        <f t="shared" si="42"/>
        <v>Winston M.</v>
      </c>
      <c r="H115" t="str">
        <f t="shared" si="43"/>
        <v>npc_winston_m.</v>
      </c>
      <c r="I115">
        <f t="shared" si="44"/>
        <v>60</v>
      </c>
    </row>
    <row r="116" spans="1:9" ht="21.6" x14ac:dyDescent="0.3">
      <c r="A116" s="20" t="s">
        <v>858</v>
      </c>
      <c r="B116" s="22" t="s">
        <v>2623</v>
      </c>
      <c r="C116" s="72" t="e">
        <f>IF(ISNA(VLOOKUP(A116&amp;"|"&amp;B116&amp;"|"&amp;"LOOK",'NPC Dialogue'!$A:$F,6,FALSE)),VLOOKUP(A116&amp;"|"&amp;B116&amp;"|"&amp;"You see..",'NPC Dialogue'!$A:$F,6,FALSE),VLOOKUP(A116&amp;"|"&amp;B116&amp;"|"&amp;"LOOK",'NPC Dialogue'!$A:$F,6,FALSE))</f>
        <v>#N/A</v>
      </c>
      <c r="E116" s="19" t="str">
        <f t="shared" si="40"/>
        <v>/data merge entity @e[type=minecraft:villager,limit=1,sort=nearest] {CustomName:"Winston T."}</v>
      </c>
      <c r="F116" s="22" t="str">
        <f t="shared" si="41"/>
        <v>/tag @e[type=minecraft:villager,name="Winston T.",limit=1] add npc_winston_t.</v>
      </c>
      <c r="G116" t="str">
        <f t="shared" si="42"/>
        <v>Winston T.</v>
      </c>
      <c r="H116" t="str">
        <f t="shared" si="43"/>
        <v>npc_winston_t.</v>
      </c>
      <c r="I116">
        <f t="shared" si="44"/>
        <v>60</v>
      </c>
    </row>
    <row r="117" spans="1:9" ht="21.6" x14ac:dyDescent="0.3">
      <c r="A117" s="20" t="s">
        <v>858</v>
      </c>
      <c r="B117" s="22" t="s">
        <v>2624</v>
      </c>
      <c r="C117" s="72" t="e">
        <f>IF(ISNA(VLOOKUP(A117&amp;"|"&amp;B117&amp;"|"&amp;"LOOK",'NPC Dialogue'!$A:$F,6,FALSE)),VLOOKUP(A117&amp;"|"&amp;B117&amp;"|"&amp;"You see..",'NPC Dialogue'!$A:$F,6,FALSE),VLOOKUP(A117&amp;"|"&amp;B117&amp;"|"&amp;"LOOK",'NPC Dialogue'!$A:$F,6,FALSE))</f>
        <v>#N/A</v>
      </c>
      <c r="E117" s="19" t="str">
        <f t="shared" si="40"/>
        <v>/data merge entity @e[type=minecraft:villager,limit=1,sort=nearest] {CustomName:"Winston W."}</v>
      </c>
      <c r="F117" s="22" t="str">
        <f t="shared" si="41"/>
        <v>/tag @e[type=minecraft:villager,name="Winston W.",limit=1] add npc_winston_w.</v>
      </c>
      <c r="G117" t="str">
        <f t="shared" si="42"/>
        <v>Winston W.</v>
      </c>
      <c r="H117" t="str">
        <f t="shared" si="43"/>
        <v>npc_winston_w.</v>
      </c>
      <c r="I117">
        <f t="shared" si="44"/>
        <v>60</v>
      </c>
    </row>
    <row r="118" spans="1:9" ht="21.6" x14ac:dyDescent="0.3">
      <c r="A118" s="20" t="s">
        <v>1641</v>
      </c>
      <c r="B118" s="52" t="s">
        <v>1672</v>
      </c>
      <c r="C118" s="53" t="str">
        <f>IF(ISNA(VLOOKUP(A118&amp;"|"&amp;B118&amp;"|"&amp;"LOOK",'NPC Dialogue'!$A:$F,6,FALSE)),VLOOKUP(A118&amp;"|"&amp;B118&amp;"|"&amp;"You see..",'NPC Dialogue'!$A:$F,6,FALSE),VLOOKUP(A118&amp;"|"&amp;B118&amp;"|"&amp;"LOOK",'NPC Dialogue'!$A:$F,6,FALSE))</f>
        <v>A tall ghost.</v>
      </c>
      <c r="D118" s="50" t="s">
        <v>2627</v>
      </c>
      <c r="E118" s="19" t="str">
        <f t="shared" si="40"/>
        <v>/data merge entity @e[type=minecraft:villager,limit=1,sort=nearest] {CustomName:"Faultless"}</v>
      </c>
      <c r="F118" s="21" t="str">
        <f t="shared" si="41"/>
        <v>/tag @e[type=minecraft:villager,name="Faultless",limit=1] add npc_faultless</v>
      </c>
      <c r="G118" t="str">
        <f t="shared" si="42"/>
        <v>Faultless</v>
      </c>
      <c r="H118" t="str">
        <f t="shared" si="43"/>
        <v>npc_faultless</v>
      </c>
      <c r="I118">
        <f t="shared" si="44"/>
        <v>59</v>
      </c>
    </row>
    <row r="119" spans="1:9" ht="21.6" x14ac:dyDescent="0.3">
      <c r="A119" s="20" t="s">
        <v>1641</v>
      </c>
      <c r="B119" s="52" t="s">
        <v>1680</v>
      </c>
      <c r="C119" s="53" t="str">
        <f>IF(ISNA(VLOOKUP(A119&amp;"|"&amp;B119&amp;"|"&amp;"LOOK",'NPC Dialogue'!$A:$F,6,FALSE)),VLOOKUP(A119&amp;"|"&amp;B119&amp;"|"&amp;"You see..",'NPC Dialogue'!$A:$F,6,FALSE),VLOOKUP(A119&amp;"|"&amp;B119&amp;"|"&amp;"LOOK",'NPC Dialogue'!$A:$F,6,FALSE))</f>
        <v>A tall ghost.</v>
      </c>
      <c r="D119" s="50" t="s">
        <v>2508</v>
      </c>
      <c r="E119" s="19" t="str">
        <f t="shared" si="40"/>
        <v>/data merge entity @e[type=minecraft:villager,limit=1,sort=nearest] {CustomName:"Heywood"}</v>
      </c>
      <c r="F119" s="21" t="str">
        <f t="shared" si="41"/>
        <v>/tag @e[type=minecraft:villager,name="Heywood",limit=1] add npc_heywood</v>
      </c>
      <c r="G119" t="str">
        <f t="shared" si="42"/>
        <v>Heywood</v>
      </c>
      <c r="H119" t="str">
        <f t="shared" si="43"/>
        <v>npc_heywood</v>
      </c>
      <c r="I119">
        <f t="shared" si="44"/>
        <v>57</v>
      </c>
    </row>
    <row r="120" spans="1:9" ht="21.6" x14ac:dyDescent="0.3">
      <c r="A120" s="20" t="s">
        <v>1641</v>
      </c>
      <c r="B120" s="52" t="s">
        <v>1642</v>
      </c>
      <c r="C120" s="53" t="str">
        <f>IF(ISNA(VLOOKUP(A120&amp;"|"&amp;B120&amp;"|"&amp;"LOOK",'NPC Dialogue'!$A:$F,6,FALSE)),VLOOKUP(A120&amp;"|"&amp;B120&amp;"|"&amp;"You see..",'NPC Dialogue'!$A:$F,6,FALSE),VLOOKUP(A120&amp;"|"&amp;B120&amp;"|"&amp;"LOOK",'NPC Dialogue'!$A:$F,6,FALSE))</f>
        <v>A shepherd.</v>
      </c>
      <c r="D120" s="50" t="s">
        <v>2515</v>
      </c>
      <c r="E120" s="19" t="str">
        <f t="shared" si="40"/>
        <v>/data merge entity @e[type=minecraft:villager,limit=1,sort=nearest] {CustomName:"Katrina"}</v>
      </c>
      <c r="F120" s="21" t="str">
        <f t="shared" si="41"/>
        <v>/tag @e[type=minecraft:villager,name="Katrina",limit=1] add npc_katrina</v>
      </c>
      <c r="G120" t="str">
        <f t="shared" si="42"/>
        <v>Katrina</v>
      </c>
      <c r="H120" t="str">
        <f t="shared" si="43"/>
        <v>npc_katrina</v>
      </c>
      <c r="I120">
        <f t="shared" si="44"/>
        <v>57</v>
      </c>
    </row>
    <row r="121" spans="1:9" ht="21.6" x14ac:dyDescent="0.3">
      <c r="A121" s="20" t="s">
        <v>1641</v>
      </c>
      <c r="B121" s="52" t="s">
        <v>1755</v>
      </c>
      <c r="C121" s="53" t="str">
        <f>IF(ISNA(VLOOKUP(A121&amp;"|"&amp;B121&amp;"|"&amp;"LOOK",'NPC Dialogue'!$A:$F,6,FALSE)),VLOOKUP(A121&amp;"|"&amp;B121&amp;"|"&amp;"You see..",'NPC Dialogue'!$A:$F,6,FALSE),VLOOKUP(A121&amp;"|"&amp;B121&amp;"|"&amp;"LOOK",'NPC Dialogue'!$A:$F,6,FALSE))</f>
        <v>A mean looking viper!</v>
      </c>
      <c r="D121" s="50" t="s">
        <v>2512</v>
      </c>
      <c r="E121" s="19" t="str">
        <f t="shared" si="40"/>
        <v>/data merge entity @e[type=minecraft:villager,limit=1,sort=nearest] {CustomName:"Nate the Snake"}</v>
      </c>
      <c r="F121" s="21" t="str">
        <f t="shared" si="41"/>
        <v>/tag @e[type=minecraft:villager,name="Nate the Snake",limit=1] add npc_nate_the_snake</v>
      </c>
      <c r="G121" t="str">
        <f t="shared" si="42"/>
        <v>Nate the Snake</v>
      </c>
      <c r="H121" t="str">
        <f t="shared" si="43"/>
        <v>npc_nate_the_snake</v>
      </c>
      <c r="I121">
        <f t="shared" si="44"/>
        <v>64</v>
      </c>
    </row>
    <row r="122" spans="1:9" ht="21.6" x14ac:dyDescent="0.3">
      <c r="A122" s="20" t="s">
        <v>1641</v>
      </c>
      <c r="B122" s="52" t="s">
        <v>1762</v>
      </c>
      <c r="C122" s="53" t="str">
        <f>IF(ISNA(VLOOKUP(A122&amp;"|"&amp;B122&amp;"|"&amp;"LOOK",'NPC Dialogue'!$A:$F,6,FALSE)),VLOOKUP(A122&amp;"|"&amp;B122&amp;"|"&amp;"You see..",'NPC Dialogue'!$A:$F,6,FALSE),VLOOKUP(A122&amp;"|"&amp;B122&amp;"|"&amp;"LOOK",'NPC Dialogue'!$A:$F,6,FALSE))</f>
        <v>A horrible ghastly devil!</v>
      </c>
      <c r="D122" s="50" t="s">
        <v>2571</v>
      </c>
      <c r="E122" s="19" t="str">
        <f t="shared" si="40"/>
        <v>/data merge entity @e[type=minecraft:villager,limit=1,sort=nearest] {CustomName:"Virtuebane"}</v>
      </c>
      <c r="F122" s="21" t="str">
        <f t="shared" si="41"/>
        <v>/tag @e[type=minecraft:villager,name="Virtuebane",limit=1] add npc_virtuebane</v>
      </c>
      <c r="G122" t="str">
        <f t="shared" si="42"/>
        <v>Virtuebane</v>
      </c>
      <c r="H122" t="str">
        <f t="shared" si="43"/>
        <v>npc_virtuebane</v>
      </c>
      <c r="I122">
        <f t="shared" si="44"/>
        <v>60</v>
      </c>
    </row>
    <row r="123" spans="1:9" ht="21.6" x14ac:dyDescent="0.3">
      <c r="A123" s="20" t="s">
        <v>277</v>
      </c>
      <c r="B123" s="52" t="s">
        <v>288</v>
      </c>
      <c r="C123" s="53" t="str">
        <f>IF(ISNA(VLOOKUP(A123&amp;"|"&amp;B123&amp;"|"&amp;"LOOK",'NPC Dialogue'!$A:$F,6,FALSE)),VLOOKUP(A123&amp;"|"&amp;B123&amp;"|"&amp;"You see..",'NPC Dialogue'!$A:$F,6,FALSE),VLOOKUP(A123&amp;"|"&amp;B123&amp;"|"&amp;"LOOK",'NPC Dialogue'!$A:$F,6,FALSE))</f>
        <v>A charming lady</v>
      </c>
      <c r="E123" s="19" t="str">
        <f t="shared" si="40"/>
        <v>/data merge entity @e[type=minecraft:villager,limit=1,sort=nearest] {CustomName:"Beth Frasier"}</v>
      </c>
      <c r="F123" s="22" t="str">
        <f t="shared" si="41"/>
        <v>/tag @e[type=minecraft:villager,name="Beth Frasier",limit=1] add npc_beth_frasier</v>
      </c>
      <c r="G123" t="str">
        <f t="shared" si="42"/>
        <v>Beth Frasier</v>
      </c>
      <c r="H123" t="str">
        <f t="shared" si="43"/>
        <v>npc_beth_frasier</v>
      </c>
      <c r="I123">
        <f t="shared" si="44"/>
        <v>62</v>
      </c>
    </row>
    <row r="124" spans="1:9" ht="21.6" x14ac:dyDescent="0.3">
      <c r="A124" s="20" t="s">
        <v>277</v>
      </c>
      <c r="B124" s="52" t="s">
        <v>316</v>
      </c>
      <c r="C124" s="53" t="str">
        <f>IF(ISNA(VLOOKUP(A124&amp;"|"&amp;B124&amp;"|"&amp;"LOOK",'NPC Dialogue'!$A:$F,6,FALSE)),VLOOKUP(A124&amp;"|"&amp;B124&amp;"|"&amp;"You see..",'NPC Dialogue'!$A:$F,6,FALSE),VLOOKUP(A124&amp;"|"&amp;B124&amp;"|"&amp;"LOOK",'NPC Dialogue'!$A:$F,6,FALSE))</f>
        <v>A short druid</v>
      </c>
      <c r="D124" s="50" t="s">
        <v>2637</v>
      </c>
      <c r="E124" s="19" t="str">
        <f t="shared" ref="E124:E133" si="45">"/data merge entity @e[type=minecraft:villager,limit=1,sort=nearest] {CustomName:"""&amp;B124&amp;"""}"</f>
        <v>/data merge entity @e[type=minecraft:villager,limit=1,sort=nearest] {CustomName:"Estro"}</v>
      </c>
      <c r="F124" s="22" t="str">
        <f t="shared" ref="F124:F133" si="46">"/tag @e[type=minecraft:villager,name="""&amp;B124&amp;""",limit=1] add npc_"&amp;SUBSTITUTE(LOWER(B124)," ","_")</f>
        <v>/tag @e[type=minecraft:villager,name="Estro",limit=1] add npc_estro</v>
      </c>
      <c r="G124" t="str">
        <f t="shared" ref="G124:G133" si="47">B124</f>
        <v>Estro</v>
      </c>
      <c r="H124" t="str">
        <f t="shared" ref="H124:H133" si="48">MID(F124,I124+4,99)</f>
        <v>npc_estro</v>
      </c>
      <c r="I124">
        <f t="shared" ref="I124:I133" si="49">FIND("add npc",F124)</f>
        <v>55</v>
      </c>
    </row>
    <row r="125" spans="1:9" ht="21.6" x14ac:dyDescent="0.3">
      <c r="A125" s="20" t="s">
        <v>277</v>
      </c>
      <c r="B125" s="52" t="s">
        <v>297</v>
      </c>
      <c r="C125" s="53" t="str">
        <f>IF(ISNA(VLOOKUP(A125&amp;"|"&amp;B125&amp;"|"&amp;"LOOK",'NPC Dialogue'!$A:$F,6,FALSE)),VLOOKUP(A125&amp;"|"&amp;B125&amp;"|"&amp;"You see..",'NPC Dialogue'!$A:$F,6,FALSE),VLOOKUP(A125&amp;"|"&amp;B125&amp;"|"&amp;"LOOK",'NPC Dialogue'!$A:$F,6,FALSE))</f>
        <v>An old druid, who looks strangely familiar.</v>
      </c>
      <c r="D125" s="50" t="s">
        <v>2632</v>
      </c>
      <c r="E125" s="19" t="str">
        <f t="shared" si="45"/>
        <v>/data merge entity @e[type=minecraft:villager,limit=1,sort=nearest] {CustomName:"Father Antos"}</v>
      </c>
      <c r="F125" s="22" t="str">
        <f t="shared" si="46"/>
        <v>/tag @e[type=minecraft:villager,name="Father Antos",limit=1] add npc_father_antos</v>
      </c>
      <c r="G125" t="str">
        <f t="shared" si="47"/>
        <v>Father Antos</v>
      </c>
      <c r="H125" t="str">
        <f t="shared" si="48"/>
        <v>npc_father_antos</v>
      </c>
      <c r="I125">
        <f t="shared" si="49"/>
        <v>62</v>
      </c>
    </row>
    <row r="126" spans="1:9" ht="21.6" x14ac:dyDescent="0.3">
      <c r="A126" s="20" t="s">
        <v>277</v>
      </c>
      <c r="B126" s="52" t="s">
        <v>400</v>
      </c>
      <c r="C126" s="53" t="str">
        <f>IF(ISNA(VLOOKUP(A126&amp;"|"&amp;B126&amp;"|"&amp;"LOOK",'NPC Dialogue'!$A:$F,6,FALSE)),VLOOKUP(A126&amp;"|"&amp;B126&amp;"|"&amp;"You see..",'NPC Dialogue'!$A:$F,6,FALSE),VLOOKUP(A126&amp;"|"&amp;B126&amp;"|"&amp;"LOOK",'NPC Dialogue'!$A:$F,6,FALSE))</f>
        <v>A tall agile man</v>
      </c>
      <c r="D126" s="50" t="s">
        <v>2636</v>
      </c>
      <c r="E126" s="19" t="str">
        <f t="shared" si="45"/>
        <v>/data merge entity @e[type=minecraft:villager,limit=1,sort=nearest] {CustomName:"Lord Terence"}</v>
      </c>
      <c r="F126" s="22" t="str">
        <f t="shared" si="46"/>
        <v>/tag @e[type=minecraft:villager,name="Lord Terence",limit=1] add npc_lord_terence</v>
      </c>
      <c r="G126" t="str">
        <f t="shared" si="47"/>
        <v>Lord Terence</v>
      </c>
      <c r="H126" t="str">
        <f t="shared" si="48"/>
        <v>npc_lord_terence</v>
      </c>
      <c r="I126">
        <f t="shared" si="49"/>
        <v>62</v>
      </c>
    </row>
    <row r="127" spans="1:9" ht="21.6" x14ac:dyDescent="0.3">
      <c r="A127" s="20" t="s">
        <v>277</v>
      </c>
      <c r="B127" s="52" t="s">
        <v>357</v>
      </c>
      <c r="C127" s="53" t="str">
        <f>IF(ISNA(VLOOKUP(A127&amp;"|"&amp;B127&amp;"|"&amp;"LOOK",'NPC Dialogue'!$A:$F,6,FALSE)),VLOOKUP(A127&amp;"|"&amp;B127&amp;"|"&amp;"You see..",'NPC Dialogue'!$A:$F,6,FALSE),VLOOKUP(A127&amp;"|"&amp;B127&amp;"|"&amp;"LOOK",'NPC Dialogue'!$A:$F,6,FALSE))</f>
        <v>A noble wizard</v>
      </c>
      <c r="E127" s="19" t="str">
        <f t="shared" si="45"/>
        <v>/data merge entity @e[type=minecraft:villager,limit=1,sort=nearest] {CustomName:"Nigel"}</v>
      </c>
      <c r="F127" s="22" t="str">
        <f t="shared" si="46"/>
        <v>/tag @e[type=minecraft:villager,name="Nigel",limit=1] add npc_nigel</v>
      </c>
      <c r="G127" t="str">
        <f t="shared" si="47"/>
        <v>Nigel</v>
      </c>
      <c r="H127" t="str">
        <f t="shared" si="48"/>
        <v>npc_nigel</v>
      </c>
      <c r="I127">
        <f t="shared" si="49"/>
        <v>55</v>
      </c>
    </row>
    <row r="128" spans="1:9" ht="21.6" x14ac:dyDescent="0.3">
      <c r="A128" s="20" t="s">
        <v>277</v>
      </c>
      <c r="B128" s="52" t="s">
        <v>278</v>
      </c>
      <c r="C128" s="53" t="str">
        <f>IF(ISNA(VLOOKUP(A128&amp;"|"&amp;B128&amp;"|"&amp;"LOOK",'NPC Dialogue'!$A:$F,6,FALSE)),VLOOKUP(A128&amp;"|"&amp;B128&amp;"|"&amp;"You see..",'NPC Dialogue'!$A:$F,6,FALSE),VLOOKUP(A128&amp;"|"&amp;B128&amp;"|"&amp;"LOOK",'NPC Dialogue'!$A:$F,6,FALSE))</f>
        <v>A stately baron</v>
      </c>
      <c r="E128" s="19" t="str">
        <f t="shared" si="45"/>
        <v>/data merge entity @e[type=minecraft:villager,limit=1,sort=nearest] {CustomName:"Robert Frasier"}</v>
      </c>
      <c r="F128" s="22" t="str">
        <f t="shared" si="46"/>
        <v>/tag @e[type=minecraft:villager,name="Robert Frasier",limit=1] add npc_robert_frasier</v>
      </c>
      <c r="G128" t="str">
        <f t="shared" si="47"/>
        <v>Robert Frasier</v>
      </c>
      <c r="H128" t="str">
        <f t="shared" si="48"/>
        <v>npc_robert_frasier</v>
      </c>
      <c r="I128">
        <f t="shared" si="49"/>
        <v>64</v>
      </c>
    </row>
    <row r="129" spans="1:9" ht="21.6" x14ac:dyDescent="0.3">
      <c r="A129" s="20" t="s">
        <v>277</v>
      </c>
      <c r="B129" s="52" t="s">
        <v>2629</v>
      </c>
      <c r="C129" s="53" t="str">
        <f>IF(ISNA(VLOOKUP(A129&amp;"|"&amp;B129&amp;"|"&amp;"LOOK",'NPC Dialogue'!$A:$F,6,FALSE)),VLOOKUP(A129&amp;"|"&amp;B129&amp;"|"&amp;"You see..",'NPC Dialogue'!$A:$F,6,FALSE),VLOOKUP(A129&amp;"|"&amp;B129&amp;"|"&amp;"LOOK",'NPC Dialogue'!$A:$F,6,FALSE))</f>
        <v>A tall mage wearing strange armour.</v>
      </c>
      <c r="D129" s="50" t="s">
        <v>2633</v>
      </c>
      <c r="E129" s="19" t="str">
        <f t="shared" si="45"/>
        <v>/data merge entity @e[type=minecraft:villager,limit=1,sort=nearest] {CustomName:"Scatuu"}</v>
      </c>
      <c r="F129" s="22" t="str">
        <f t="shared" si="46"/>
        <v>/tag @e[type=minecraft:villager,name="Scatuu",limit=1] add npc_scatuu</v>
      </c>
      <c r="G129" t="str">
        <f t="shared" si="47"/>
        <v>Scatuu</v>
      </c>
      <c r="H129" t="str">
        <f t="shared" si="48"/>
        <v>npc_scatuu</v>
      </c>
      <c r="I129">
        <f t="shared" si="49"/>
        <v>56</v>
      </c>
    </row>
    <row r="130" spans="1:9" ht="21.6" x14ac:dyDescent="0.3">
      <c r="A130" s="20" t="s">
        <v>277</v>
      </c>
      <c r="B130" s="52" t="s">
        <v>390</v>
      </c>
      <c r="C130" s="53" t="str">
        <f>IF(ISNA(VLOOKUP(A130&amp;"|"&amp;B130&amp;"|"&amp;"LOOK",'NPC Dialogue'!$A:$F,6,FALSE)),VLOOKUP(A130&amp;"|"&amp;B130&amp;"|"&amp;"You see..",'NPC Dialogue'!$A:$F,6,FALSE),VLOOKUP(A130&amp;"|"&amp;B130&amp;"|"&amp;"LOOK",'NPC Dialogue'!$A:$F,6,FALSE))</f>
        <v>A pitiful beggar</v>
      </c>
      <c r="E130" s="19" t="str">
        <f t="shared" si="45"/>
        <v>/data merge entity @e[type=minecraft:villager,limit=1,sort=nearest] {CustomName:"Shylock the Meek"}</v>
      </c>
      <c r="F130" s="22" t="str">
        <f t="shared" si="46"/>
        <v>/tag @e[type=minecraft:villager,name="Shylock the Meek",limit=1] add npc_shylock_the_meek</v>
      </c>
      <c r="G130" t="str">
        <f t="shared" si="47"/>
        <v>Shylock the Meek</v>
      </c>
      <c r="H130" t="str">
        <f t="shared" si="48"/>
        <v>npc_shylock_the_meek</v>
      </c>
      <c r="I130">
        <f t="shared" si="49"/>
        <v>66</v>
      </c>
    </row>
    <row r="131" spans="1:9" ht="21.6" x14ac:dyDescent="0.3">
      <c r="A131" s="20" t="s">
        <v>277</v>
      </c>
      <c r="B131" s="52" t="s">
        <v>2630</v>
      </c>
      <c r="C131" s="53" t="str">
        <f>IF(ISNA(VLOOKUP(A131&amp;"|"&amp;B131&amp;"|"&amp;"LOOK",'NPC Dialogue'!$A:$F,6,FALSE)),VLOOKUP(A131&amp;"|"&amp;B131&amp;"|"&amp;"You see..",'NPC Dialogue'!$A:$F,6,FALSE),VLOOKUP(A131&amp;"|"&amp;B131&amp;"|"&amp;"LOOK",'NPC Dialogue'!$A:$F,6,FALSE))</f>
        <v>Proprietor of The Truth Healer</v>
      </c>
      <c r="E131" s="19" t="str">
        <f t="shared" si="45"/>
        <v>/data merge entity @e[type=minecraft:villager,limit=1,sort=nearest] {CustomName:"Starfire"}</v>
      </c>
      <c r="F131" s="22" t="str">
        <f t="shared" si="46"/>
        <v>/tag @e[type=minecraft:villager,name="Starfire",limit=1] add npc_starfire</v>
      </c>
      <c r="G131" t="str">
        <f t="shared" si="47"/>
        <v>Starfire</v>
      </c>
      <c r="H131" t="str">
        <f t="shared" si="48"/>
        <v>npc_starfire</v>
      </c>
      <c r="I131">
        <f t="shared" si="49"/>
        <v>58</v>
      </c>
    </row>
    <row r="132" spans="1:9" ht="21.6" x14ac:dyDescent="0.3">
      <c r="A132" s="20" t="s">
        <v>277</v>
      </c>
      <c r="B132" s="52" t="s">
        <v>416</v>
      </c>
      <c r="C132" s="53" t="str">
        <f>IF(ISNA(VLOOKUP(A132&amp;"|"&amp;B132&amp;"|"&amp;"LOOK",'NPC Dialogue'!$A:$F,6,FALSE)),VLOOKUP(A132&amp;"|"&amp;B132&amp;"|"&amp;"You see..",'NPC Dialogue'!$A:$F,6,FALSE),VLOOKUP(A132&amp;"|"&amp;B132&amp;"|"&amp;"LOOK",'NPC Dialogue'!$A:$F,6,FALSE))</f>
        <v>A stately wizard</v>
      </c>
      <c r="D132" s="50" t="s">
        <v>2571</v>
      </c>
      <c r="E132" s="19" t="str">
        <f t="shared" si="45"/>
        <v>/data merge entity @e[type=minecraft:villager,limit=1,sort=nearest] {CustomName:"Tymus"}</v>
      </c>
      <c r="F132" s="22" t="str">
        <f t="shared" si="46"/>
        <v>/tag @e[type=minecraft:villager,name="Tymus",limit=1] add npc_tymus</v>
      </c>
      <c r="G132" t="str">
        <f t="shared" si="47"/>
        <v>Tymus</v>
      </c>
      <c r="H132" t="str">
        <f t="shared" si="48"/>
        <v>npc_tymus</v>
      </c>
      <c r="I132">
        <f t="shared" si="49"/>
        <v>55</v>
      </c>
    </row>
    <row r="133" spans="1:9" ht="42" x14ac:dyDescent="0.3">
      <c r="A133" s="20" t="s">
        <v>277</v>
      </c>
      <c r="B133" s="52" t="s">
        <v>2638</v>
      </c>
      <c r="C133" s="52" t="s">
        <v>2639</v>
      </c>
      <c r="D133" s="50" t="s">
        <v>2640</v>
      </c>
      <c r="E133" s="19" t="str">
        <f t="shared" si="45"/>
        <v>/data merge entity @e[type=minecraft:villager,limit=1,sort=nearest] {CustomName:"Nearly A Corpse"}</v>
      </c>
      <c r="F133" s="22" t="str">
        <f t="shared" si="46"/>
        <v>/tag @e[type=minecraft:villager,name="Nearly A Corpse",limit=1] add npc_nearly_a_corpse</v>
      </c>
      <c r="G133" t="str">
        <f t="shared" si="47"/>
        <v>Nearly A Corpse</v>
      </c>
      <c r="H133" t="str">
        <f t="shared" si="48"/>
        <v>npc_nearly_a_corpse</v>
      </c>
      <c r="I133">
        <f t="shared" si="49"/>
        <v>65</v>
      </c>
    </row>
  </sheetData>
  <autoFilter ref="A1:F123" xr:uid="{562612D2-39F9-45A4-AB64-E3ADF2A9E4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C80EF-8D97-4298-9333-5584E2654DE7}">
  <sheetPr>
    <tabColor rgb="FFFFFF00"/>
  </sheetPr>
  <dimension ref="B3:G15"/>
  <sheetViews>
    <sheetView tabSelected="1" workbookViewId="0">
      <selection activeCell="G9" sqref="G9"/>
    </sheetView>
  </sheetViews>
  <sheetFormatPr defaultRowHeight="14.4" x14ac:dyDescent="0.3"/>
  <cols>
    <col min="6" max="6" width="41" customWidth="1"/>
    <col min="7" max="7" width="35.109375" style="47" customWidth="1"/>
  </cols>
  <sheetData>
    <row r="3" spans="2:7" ht="28.8" x14ac:dyDescent="0.3">
      <c r="B3" s="2"/>
      <c r="C3" s="2" t="s">
        <v>1397</v>
      </c>
      <c r="D3" s="2" t="s">
        <v>1426</v>
      </c>
      <c r="E3" s="2" t="s">
        <v>259</v>
      </c>
      <c r="F3" s="41" t="s">
        <v>1434</v>
      </c>
      <c r="G3" s="47" t="s">
        <v>2486</v>
      </c>
    </row>
    <row r="4" spans="2:7" ht="26.4" x14ac:dyDescent="0.3">
      <c r="C4" s="2" t="s">
        <v>1397</v>
      </c>
      <c r="D4" s="2" t="s">
        <v>1471</v>
      </c>
      <c r="E4" s="2" t="s">
        <v>854</v>
      </c>
      <c r="F4" s="3" t="s">
        <v>1478</v>
      </c>
      <c r="G4" s="6" t="s">
        <v>2485</v>
      </c>
    </row>
    <row r="5" spans="2:7" ht="72" x14ac:dyDescent="0.3">
      <c r="C5" s="2" t="s">
        <v>1397</v>
      </c>
      <c r="D5" s="2" t="s">
        <v>1448</v>
      </c>
      <c r="E5" s="6" t="s">
        <v>2475</v>
      </c>
      <c r="F5" s="6" t="s">
        <v>2491</v>
      </c>
      <c r="G5" s="49" t="s">
        <v>2493</v>
      </c>
    </row>
    <row r="8" spans="2:7" x14ac:dyDescent="0.3">
      <c r="C8" s="2" t="s">
        <v>1001</v>
      </c>
      <c r="G8" s="47" t="s">
        <v>2643</v>
      </c>
    </row>
    <row r="10" spans="2:7" ht="86.4" x14ac:dyDescent="0.3">
      <c r="C10" s="62" t="s">
        <v>277</v>
      </c>
      <c r="G10" s="47" t="s">
        <v>2570</v>
      </c>
    </row>
    <row r="11" spans="2:7" x14ac:dyDescent="0.3">
      <c r="C11" s="74" t="s">
        <v>1130</v>
      </c>
      <c r="D11" s="74"/>
      <c r="F11" s="74" t="s">
        <v>2628</v>
      </c>
    </row>
    <row r="13" spans="2:7" x14ac:dyDescent="0.3">
      <c r="B13" s="73" t="s">
        <v>2626</v>
      </c>
    </row>
    <row r="14" spans="2:7" ht="26.4" x14ac:dyDescent="0.3">
      <c r="C14" s="3" t="s">
        <v>1768</v>
      </c>
      <c r="D14" s="3" t="s">
        <v>1890</v>
      </c>
      <c r="E14" s="3" t="s">
        <v>1945</v>
      </c>
      <c r="F14" s="3" t="s">
        <v>742</v>
      </c>
      <c r="G14" s="3" t="s">
        <v>1953</v>
      </c>
    </row>
    <row r="15" spans="2:7" ht="39.6" x14ac:dyDescent="0.3">
      <c r="C15" s="3" t="s">
        <v>1768</v>
      </c>
      <c r="D15" s="3" t="s">
        <v>1890</v>
      </c>
      <c r="E15" s="3" t="s">
        <v>1934</v>
      </c>
      <c r="F15" s="3" t="s">
        <v>253</v>
      </c>
      <c r="G15" s="3" t="s">
        <v>1936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45C2-8C8D-4A38-9694-9AED0BC2C885}">
  <sheetPr>
    <tabColor theme="1"/>
  </sheetPr>
  <dimension ref="A1:A13"/>
  <sheetViews>
    <sheetView workbookViewId="0">
      <selection activeCell="A16" sqref="A16"/>
    </sheetView>
  </sheetViews>
  <sheetFormatPr defaultRowHeight="14.4" x14ac:dyDescent="0.3"/>
  <sheetData>
    <row r="1" spans="1:1" x14ac:dyDescent="0.3">
      <c r="A1" s="4" t="s">
        <v>2446</v>
      </c>
    </row>
    <row r="2" spans="1:1" x14ac:dyDescent="0.3">
      <c r="A2" t="s">
        <v>2447</v>
      </c>
    </row>
    <row r="3" spans="1:1" x14ac:dyDescent="0.3">
      <c r="A3" t="s">
        <v>2448</v>
      </c>
    </row>
    <row r="4" spans="1:1" x14ac:dyDescent="0.3">
      <c r="A4" t="s">
        <v>2449</v>
      </c>
    </row>
    <row r="7" spans="1:1" x14ac:dyDescent="0.3">
      <c r="A7" s="4" t="s">
        <v>2450</v>
      </c>
    </row>
    <row r="8" spans="1:1" x14ac:dyDescent="0.3">
      <c r="A8" t="s">
        <v>2455</v>
      </c>
    </row>
    <row r="10" spans="1:1" x14ac:dyDescent="0.3">
      <c r="A10" t="s">
        <v>2451</v>
      </c>
    </row>
    <row r="11" spans="1:1" x14ac:dyDescent="0.3">
      <c r="A11" s="4" t="s">
        <v>2452</v>
      </c>
    </row>
    <row r="13" spans="1:1" x14ac:dyDescent="0.3">
      <c r="A13" t="s">
        <v>2453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5635-A5EC-4122-84D7-6A89EEE95F11}">
  <sheetPr>
    <tabColor theme="2" tint="-0.499984740745262"/>
  </sheetPr>
  <dimension ref="A1:E26"/>
  <sheetViews>
    <sheetView zoomScale="70" zoomScaleNormal="70" workbookViewId="0">
      <pane ySplit="1" topLeftCell="A17" activePane="bottomLeft" state="frozen"/>
      <selection pane="bottomLeft" activeCell="A26" sqref="A26"/>
    </sheetView>
  </sheetViews>
  <sheetFormatPr defaultRowHeight="14.4" x14ac:dyDescent="0.3"/>
  <cols>
    <col min="1" max="1" width="19.5546875" customWidth="1"/>
    <col min="2" max="2" width="22" customWidth="1"/>
    <col min="3" max="3" width="26" customWidth="1"/>
    <col min="4" max="4" width="95.33203125" customWidth="1"/>
    <col min="5" max="5" width="40" customWidth="1"/>
  </cols>
  <sheetData>
    <row r="1" spans="1:5" x14ac:dyDescent="0.3">
      <c r="A1" s="1" t="s">
        <v>2357</v>
      </c>
      <c r="B1" s="1" t="s">
        <v>2358</v>
      </c>
      <c r="C1" s="1" t="s">
        <v>2359</v>
      </c>
      <c r="D1" s="1" t="s">
        <v>2360</v>
      </c>
      <c r="E1" s="1" t="s">
        <v>2361</v>
      </c>
    </row>
    <row r="2" spans="1:5" ht="26.4" x14ac:dyDescent="0.3">
      <c r="A2" s="2" t="s">
        <v>2362</v>
      </c>
      <c r="B2" s="2" t="s">
        <v>58</v>
      </c>
      <c r="C2" s="2" t="s">
        <v>714</v>
      </c>
      <c r="D2" s="2" t="s">
        <v>2412</v>
      </c>
      <c r="E2" s="2" t="s">
        <v>2363</v>
      </c>
    </row>
    <row r="3" spans="1:5" ht="39.6" x14ac:dyDescent="0.3">
      <c r="A3" s="2" t="s">
        <v>2362</v>
      </c>
      <c r="B3" s="2" t="s">
        <v>60</v>
      </c>
      <c r="C3" s="2" t="s">
        <v>858</v>
      </c>
      <c r="D3" s="2" t="s">
        <v>2413</v>
      </c>
      <c r="E3" s="2" t="s">
        <v>2364</v>
      </c>
    </row>
    <row r="4" spans="1:5" ht="26.4" x14ac:dyDescent="0.3">
      <c r="A4" s="2" t="s">
        <v>2362</v>
      </c>
      <c r="B4" s="2" t="s">
        <v>62</v>
      </c>
      <c r="C4" s="2" t="s">
        <v>1001</v>
      </c>
      <c r="D4" s="2" t="s">
        <v>2414</v>
      </c>
      <c r="E4" s="2" t="s">
        <v>2365</v>
      </c>
    </row>
    <row r="5" spans="1:5" ht="39.6" x14ac:dyDescent="0.3">
      <c r="A5" s="2" t="s">
        <v>2362</v>
      </c>
      <c r="B5" s="2" t="s">
        <v>66</v>
      </c>
      <c r="C5" s="2" t="s">
        <v>1130</v>
      </c>
      <c r="D5" s="2" t="s">
        <v>2415</v>
      </c>
      <c r="E5" s="2" t="s">
        <v>2366</v>
      </c>
    </row>
    <row r="6" spans="1:5" ht="26.4" x14ac:dyDescent="0.3">
      <c r="A6" s="2" t="s">
        <v>2362</v>
      </c>
      <c r="B6" s="2" t="s">
        <v>64</v>
      </c>
      <c r="C6" s="2" t="s">
        <v>1263</v>
      </c>
      <c r="D6" s="2" t="s">
        <v>2416</v>
      </c>
      <c r="E6" s="2" t="s">
        <v>2367</v>
      </c>
    </row>
    <row r="7" spans="1:5" ht="39.6" x14ac:dyDescent="0.3">
      <c r="A7" s="2" t="s">
        <v>2362</v>
      </c>
      <c r="B7" s="2" t="s">
        <v>68</v>
      </c>
      <c r="C7" s="2" t="s">
        <v>1397</v>
      </c>
      <c r="D7" s="2" t="s">
        <v>2417</v>
      </c>
      <c r="E7" s="2" t="s">
        <v>2368</v>
      </c>
    </row>
    <row r="8" spans="1:5" ht="39.6" x14ac:dyDescent="0.3">
      <c r="A8" s="2" t="s">
        <v>2362</v>
      </c>
      <c r="B8" s="2" t="s">
        <v>70</v>
      </c>
      <c r="C8" s="2" t="s">
        <v>2369</v>
      </c>
      <c r="D8" s="2" t="s">
        <v>2418</v>
      </c>
      <c r="E8" s="2" t="s">
        <v>2370</v>
      </c>
    </row>
    <row r="9" spans="1:5" ht="52.8" x14ac:dyDescent="0.3">
      <c r="A9" s="2" t="s">
        <v>2362</v>
      </c>
      <c r="B9" s="2" t="s">
        <v>72</v>
      </c>
      <c r="C9" s="2" t="s">
        <v>2371</v>
      </c>
      <c r="D9" s="2" t="s">
        <v>2419</v>
      </c>
      <c r="E9" s="2" t="s">
        <v>2372</v>
      </c>
    </row>
    <row r="10" spans="1:5" x14ac:dyDescent="0.3">
      <c r="A10" s="2" t="s">
        <v>2373</v>
      </c>
      <c r="B10" s="2" t="s">
        <v>58</v>
      </c>
      <c r="C10" s="2" t="s">
        <v>714</v>
      </c>
      <c r="D10" s="2" t="s">
        <v>2374</v>
      </c>
      <c r="E10" s="2" t="s">
        <v>2375</v>
      </c>
    </row>
    <row r="11" spans="1:5" ht="26.4" x14ac:dyDescent="0.3">
      <c r="A11" s="2" t="s">
        <v>2373</v>
      </c>
      <c r="B11" s="2" t="s">
        <v>60</v>
      </c>
      <c r="C11" s="2" t="s">
        <v>858</v>
      </c>
      <c r="D11" s="2" t="s">
        <v>2420</v>
      </c>
      <c r="E11" s="2" t="s">
        <v>2376</v>
      </c>
    </row>
    <row r="12" spans="1:5" ht="26.4" x14ac:dyDescent="0.3">
      <c r="A12" s="2" t="s">
        <v>2373</v>
      </c>
      <c r="B12" s="2" t="s">
        <v>62</v>
      </c>
      <c r="C12" s="2" t="s">
        <v>1001</v>
      </c>
      <c r="D12" s="2" t="s">
        <v>2421</v>
      </c>
      <c r="E12" s="2" t="s">
        <v>2377</v>
      </c>
    </row>
    <row r="13" spans="1:5" ht="39.6" x14ac:dyDescent="0.3">
      <c r="A13" s="2" t="s">
        <v>2373</v>
      </c>
      <c r="B13" s="2" t="s">
        <v>66</v>
      </c>
      <c r="C13" s="2" t="s">
        <v>1130</v>
      </c>
      <c r="D13" s="2" t="s">
        <v>2422</v>
      </c>
      <c r="E13" s="2" t="s">
        <v>2378</v>
      </c>
    </row>
    <row r="14" spans="1:5" ht="39.6" x14ac:dyDescent="0.3">
      <c r="A14" s="2" t="s">
        <v>2373</v>
      </c>
      <c r="B14" s="2" t="s">
        <v>64</v>
      </c>
      <c r="C14" s="2" t="s">
        <v>1263</v>
      </c>
      <c r="D14" s="2" t="s">
        <v>2423</v>
      </c>
      <c r="E14" s="2" t="s">
        <v>2379</v>
      </c>
    </row>
    <row r="15" spans="1:5" x14ac:dyDescent="0.3">
      <c r="A15" s="2" t="s">
        <v>2373</v>
      </c>
      <c r="B15" s="2" t="s">
        <v>68</v>
      </c>
      <c r="C15" s="2" t="s">
        <v>1397</v>
      </c>
      <c r="D15" s="2" t="s">
        <v>2380</v>
      </c>
      <c r="E15" s="2" t="s">
        <v>2381</v>
      </c>
    </row>
    <row r="16" spans="1:5" ht="39.6" x14ac:dyDescent="0.3">
      <c r="A16" s="2" t="s">
        <v>2373</v>
      </c>
      <c r="B16" s="2" t="s">
        <v>70</v>
      </c>
      <c r="C16" s="2" t="s">
        <v>1514</v>
      </c>
      <c r="D16" s="2" t="s">
        <v>2424</v>
      </c>
      <c r="E16" s="2" t="s">
        <v>1621</v>
      </c>
    </row>
    <row r="17" spans="1:5" ht="52.8" x14ac:dyDescent="0.3">
      <c r="A17" s="2" t="s">
        <v>2373</v>
      </c>
      <c r="B17" s="2" t="s">
        <v>2382</v>
      </c>
      <c r="C17" s="2" t="s">
        <v>2383</v>
      </c>
      <c r="D17" s="2" t="s">
        <v>2425</v>
      </c>
      <c r="E17" s="2" t="s">
        <v>2384</v>
      </c>
    </row>
    <row r="18" spans="1:5" ht="26.4" x14ac:dyDescent="0.3">
      <c r="A18" s="2" t="s">
        <v>2385</v>
      </c>
      <c r="B18" s="2" t="s">
        <v>2386</v>
      </c>
      <c r="C18" s="2" t="s">
        <v>2387</v>
      </c>
      <c r="D18" s="2" t="s">
        <v>2388</v>
      </c>
      <c r="E18" s="2" t="s">
        <v>2389</v>
      </c>
    </row>
    <row r="19" spans="1:5" x14ac:dyDescent="0.3">
      <c r="A19" s="2" t="s">
        <v>2385</v>
      </c>
      <c r="B19" s="2" t="s">
        <v>2390</v>
      </c>
      <c r="C19" s="2" t="s">
        <v>2391</v>
      </c>
      <c r="D19" s="2" t="s">
        <v>2392</v>
      </c>
      <c r="E19" s="2" t="s">
        <v>2393</v>
      </c>
    </row>
    <row r="20" spans="1:5" ht="26.4" x14ac:dyDescent="0.3">
      <c r="A20" s="2" t="s">
        <v>2385</v>
      </c>
      <c r="B20" s="2" t="s">
        <v>2394</v>
      </c>
      <c r="C20" s="2" t="s">
        <v>2395</v>
      </c>
      <c r="D20" s="2" t="s">
        <v>2396</v>
      </c>
      <c r="E20" s="2" t="s">
        <v>2397</v>
      </c>
    </row>
    <row r="21" spans="1:5" ht="39.6" x14ac:dyDescent="0.3">
      <c r="A21" s="2" t="s">
        <v>2385</v>
      </c>
      <c r="B21" s="2" t="s">
        <v>2398</v>
      </c>
      <c r="C21" s="2" t="s">
        <v>1130</v>
      </c>
      <c r="D21" s="2" t="s">
        <v>2426</v>
      </c>
      <c r="E21" s="2" t="s">
        <v>2399</v>
      </c>
    </row>
    <row r="22" spans="1:5" x14ac:dyDescent="0.3">
      <c r="A22" s="2" t="s">
        <v>2385</v>
      </c>
      <c r="B22" s="2" t="s">
        <v>2400</v>
      </c>
      <c r="C22" s="2" t="s">
        <v>2401</v>
      </c>
      <c r="D22" s="2" t="s">
        <v>2402</v>
      </c>
      <c r="E22" s="2" t="s">
        <v>2403</v>
      </c>
    </row>
    <row r="23" spans="1:5" ht="39.6" x14ac:dyDescent="0.3">
      <c r="A23" s="2" t="s">
        <v>2385</v>
      </c>
      <c r="B23" s="2" t="s">
        <v>2404</v>
      </c>
      <c r="C23" s="2" t="s">
        <v>2405</v>
      </c>
      <c r="D23" s="2" t="s">
        <v>2427</v>
      </c>
      <c r="E23" s="2" t="s">
        <v>2406</v>
      </c>
    </row>
    <row r="24" spans="1:5" ht="66" x14ac:dyDescent="0.3">
      <c r="A24" s="2" t="s">
        <v>2385</v>
      </c>
      <c r="B24" s="2" t="s">
        <v>1604</v>
      </c>
      <c r="C24" s="2" t="s">
        <v>2407</v>
      </c>
      <c r="D24" s="2" t="s">
        <v>2428</v>
      </c>
      <c r="E24" s="2" t="s">
        <v>2408</v>
      </c>
    </row>
    <row r="25" spans="1:5" ht="52.8" x14ac:dyDescent="0.3">
      <c r="A25" s="2" t="s">
        <v>2385</v>
      </c>
      <c r="B25" s="2" t="s">
        <v>2409</v>
      </c>
      <c r="C25" s="2" t="s">
        <v>2410</v>
      </c>
      <c r="D25" s="2" t="s">
        <v>2429</v>
      </c>
      <c r="E25" s="2" t="s">
        <v>2411</v>
      </c>
    </row>
    <row r="26" spans="1:5" x14ac:dyDescent="0.3">
      <c r="A26" s="2" t="s">
        <v>2432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3863-610B-4E2B-A552-15E2A555CC9E}">
  <sheetPr>
    <tabColor theme="3" tint="0.39997558519241921"/>
  </sheetPr>
  <dimension ref="A1:F242"/>
  <sheetViews>
    <sheetView workbookViewId="0">
      <selection activeCell="E6" sqref="E6"/>
    </sheetView>
  </sheetViews>
  <sheetFormatPr defaultRowHeight="14.4" x14ac:dyDescent="0.3"/>
  <cols>
    <col min="1" max="1" width="46.5546875" bestFit="1" customWidth="1"/>
    <col min="2" max="2" width="11.21875" bestFit="1" customWidth="1"/>
    <col min="3" max="3" width="15.21875" bestFit="1" customWidth="1"/>
    <col min="4" max="4" width="24.109375" bestFit="1" customWidth="1"/>
    <col min="5" max="5" width="13.5546875" bestFit="1" customWidth="1"/>
    <col min="6" max="6" width="30.33203125" customWidth="1"/>
  </cols>
  <sheetData>
    <row r="1" spans="1:6" x14ac:dyDescent="0.3">
      <c r="A1" s="5" t="s">
        <v>2430</v>
      </c>
      <c r="B1" s="1" t="s">
        <v>0</v>
      </c>
      <c r="C1" s="1" t="s">
        <v>1</v>
      </c>
      <c r="D1" s="1" t="s">
        <v>2</v>
      </c>
      <c r="E1" s="1" t="s">
        <v>2353</v>
      </c>
      <c r="F1" s="1" t="s">
        <v>5</v>
      </c>
    </row>
    <row r="2" spans="1:6" x14ac:dyDescent="0.3">
      <c r="A2" t="str">
        <f>B2&amp;"|"&amp;C2&amp;"|"&amp;D2&amp;"|"&amp;E2</f>
        <v>Castles|Castle Britannia|Chuckles|JEST</v>
      </c>
      <c r="B2" s="2" t="s">
        <v>9</v>
      </c>
      <c r="C2" s="2" t="s">
        <v>10</v>
      </c>
      <c r="D2" s="2" t="s">
        <v>11</v>
      </c>
      <c r="E2" s="6" t="s">
        <v>22</v>
      </c>
      <c r="F2" s="2" t="s">
        <v>13</v>
      </c>
    </row>
    <row r="3" spans="1:6" x14ac:dyDescent="0.3">
      <c r="A3" t="str">
        <f t="shared" ref="A3:A66" si="0">B3&amp;"|"&amp;C3&amp;"|"&amp;D3&amp;"|"&amp;E3</f>
        <v>Castles|Castle Britannia|Gate Guard|CAST</v>
      </c>
      <c r="B3" s="2" t="s">
        <v>9</v>
      </c>
      <c r="C3" s="2" t="s">
        <v>10</v>
      </c>
      <c r="D3" s="2" t="s">
        <v>26</v>
      </c>
      <c r="E3" s="2" t="s">
        <v>36</v>
      </c>
      <c r="F3" s="2" t="s">
        <v>28</v>
      </c>
    </row>
    <row r="4" spans="1:6" x14ac:dyDescent="0.3">
      <c r="A4" t="str">
        <f t="shared" si="0"/>
        <v>Castles|Castle Britannia|Treasury Guard|TREA</v>
      </c>
      <c r="B4" s="2" t="s">
        <v>9</v>
      </c>
      <c r="C4" s="2" t="s">
        <v>10</v>
      </c>
      <c r="D4" s="2" t="s">
        <v>38</v>
      </c>
      <c r="E4" s="2" t="s">
        <v>45</v>
      </c>
      <c r="F4" s="2" t="s">
        <v>39</v>
      </c>
    </row>
    <row r="5" spans="1:6" x14ac:dyDescent="0.3">
      <c r="A5" t="str">
        <f t="shared" si="0"/>
        <v>Castles|Castle Britannia|Guard (2nd Floor)|GUAR</v>
      </c>
      <c r="B5" s="2" t="s">
        <v>9</v>
      </c>
      <c r="C5" s="2" t="s">
        <v>10</v>
      </c>
      <c r="D5" s="2" t="s">
        <v>47</v>
      </c>
      <c r="E5" s="6" t="s">
        <v>34</v>
      </c>
      <c r="F5" s="2" t="s">
        <v>48</v>
      </c>
    </row>
    <row r="6" spans="1:6" x14ac:dyDescent="0.3">
      <c r="A6" t="str">
        <f t="shared" si="0"/>
        <v>Castles|Castle Britannia|Jester Twins|BARD</v>
      </c>
      <c r="B6" s="2" t="s">
        <v>9</v>
      </c>
      <c r="C6" s="2" t="s">
        <v>10</v>
      </c>
      <c r="D6" s="2" t="s">
        <v>76</v>
      </c>
      <c r="E6" s="2" t="s">
        <v>85</v>
      </c>
      <c r="F6" s="2" t="s">
        <v>78</v>
      </c>
    </row>
    <row r="7" spans="1:6" x14ac:dyDescent="0.3">
      <c r="A7" t="str">
        <f t="shared" si="0"/>
        <v>Castles|Castle Britannia|Joshua|RIDD</v>
      </c>
      <c r="B7" s="2" t="s">
        <v>9</v>
      </c>
      <c r="C7" s="2" t="s">
        <v>10</v>
      </c>
      <c r="D7" s="2" t="s">
        <v>87</v>
      </c>
      <c r="E7" s="2" t="s">
        <v>96</v>
      </c>
      <c r="F7" s="2" t="s">
        <v>88</v>
      </c>
    </row>
    <row r="8" spans="1:6" x14ac:dyDescent="0.3">
      <c r="A8" t="str">
        <f t="shared" si="0"/>
        <v>Castles|Castle Britannia|Juliet|ONE</v>
      </c>
      <c r="B8" s="2" t="s">
        <v>9</v>
      </c>
      <c r="C8" s="2" t="s">
        <v>10</v>
      </c>
      <c r="D8" s="2" t="s">
        <v>98</v>
      </c>
      <c r="E8" s="2" t="s">
        <v>106</v>
      </c>
      <c r="F8" s="2" t="s">
        <v>99</v>
      </c>
    </row>
    <row r="9" spans="1:6" x14ac:dyDescent="0.3">
      <c r="A9" t="str">
        <f t="shared" si="0"/>
        <v>Castles|Castle Britannia|Landri|PERI</v>
      </c>
      <c r="B9" s="2" t="s">
        <v>9</v>
      </c>
      <c r="C9" s="2" t="s">
        <v>10</v>
      </c>
      <c r="D9" s="2" t="s">
        <v>108</v>
      </c>
      <c r="E9" s="2" t="s">
        <v>117</v>
      </c>
      <c r="F9" s="2" t="s">
        <v>109</v>
      </c>
    </row>
    <row r="10" spans="1:6" x14ac:dyDescent="0.3">
      <c r="A10" t="str">
        <f t="shared" si="0"/>
        <v>Castles|Castle Britannia|Le Chef|COOK</v>
      </c>
      <c r="B10" s="2" t="s">
        <v>9</v>
      </c>
      <c r="C10" s="2" t="s">
        <v>10</v>
      </c>
      <c r="D10" s="2" t="s">
        <v>119</v>
      </c>
      <c r="E10" s="2" t="s">
        <v>128</v>
      </c>
      <c r="F10" s="2" t="s">
        <v>120</v>
      </c>
    </row>
    <row r="11" spans="1:6" x14ac:dyDescent="0.3">
      <c r="A11" t="str">
        <f t="shared" si="0"/>
        <v>Castles|Castle Britannia|Prisoner|PRIS</v>
      </c>
      <c r="B11" s="2" t="s">
        <v>9</v>
      </c>
      <c r="C11" s="2" t="s">
        <v>10</v>
      </c>
      <c r="D11" s="2" t="s">
        <v>130</v>
      </c>
      <c r="E11" s="2" t="s">
        <v>140</v>
      </c>
      <c r="F11" s="2" t="s">
        <v>132</v>
      </c>
    </row>
    <row r="12" spans="1:6" x14ac:dyDescent="0.3">
      <c r="A12" t="str">
        <f t="shared" si="0"/>
        <v>Castles|Castle Britannia|Reaper|THIN</v>
      </c>
      <c r="B12" s="2" t="s">
        <v>9</v>
      </c>
      <c r="C12" s="2" t="s">
        <v>10</v>
      </c>
      <c r="D12" s="2" t="s">
        <v>142</v>
      </c>
      <c r="E12" s="2" t="s">
        <v>152</v>
      </c>
      <c r="F12" s="2" t="s">
        <v>144</v>
      </c>
    </row>
    <row r="13" spans="1:6" x14ac:dyDescent="0.3">
      <c r="A13" t="str">
        <f t="shared" si="0"/>
        <v>Castles|Castle Britannia|Seesha|COUN</v>
      </c>
      <c r="B13" s="2" t="s">
        <v>9</v>
      </c>
      <c r="C13" s="2" t="s">
        <v>10</v>
      </c>
      <c r="D13" s="2" t="s">
        <v>154</v>
      </c>
      <c r="E13" s="2" t="s">
        <v>163</v>
      </c>
      <c r="F13" s="2" t="s">
        <v>155</v>
      </c>
    </row>
    <row r="14" spans="1:6" x14ac:dyDescent="0.3">
      <c r="A14" t="str">
        <f t="shared" si="0"/>
        <v>Castles|Castle Britannia|Shawn|PEAC</v>
      </c>
      <c r="B14" s="2" t="s">
        <v>9</v>
      </c>
      <c r="C14" s="2" t="s">
        <v>10</v>
      </c>
      <c r="D14" s="2" t="s">
        <v>165</v>
      </c>
      <c r="E14" s="2" t="s">
        <v>173</v>
      </c>
      <c r="F14" s="2" t="s">
        <v>166</v>
      </c>
    </row>
    <row r="15" spans="1:6" x14ac:dyDescent="0.3">
      <c r="A15" t="str">
        <f t="shared" si="0"/>
        <v>Castles|Castle Britannia|Sheila|SHRI</v>
      </c>
      <c r="B15" s="2" t="s">
        <v>9</v>
      </c>
      <c r="C15" s="2" t="s">
        <v>10</v>
      </c>
      <c r="D15" s="2" t="s">
        <v>175</v>
      </c>
      <c r="E15" s="2" t="s">
        <v>184</v>
      </c>
      <c r="F15" s="2" t="s">
        <v>176</v>
      </c>
    </row>
    <row r="16" spans="1:6" x14ac:dyDescent="0.3">
      <c r="A16" t="str">
        <f t="shared" si="0"/>
        <v>Castles|Castle Britannia|Water|ALTA</v>
      </c>
      <c r="B16" s="2" t="s">
        <v>9</v>
      </c>
      <c r="C16" s="2" t="s">
        <v>10</v>
      </c>
      <c r="D16" s="2" t="s">
        <v>186</v>
      </c>
      <c r="E16" s="2" t="s">
        <v>192</v>
      </c>
      <c r="F16" s="2" t="s">
        <v>88</v>
      </c>
    </row>
    <row r="17" spans="1:6" x14ac:dyDescent="0.3">
      <c r="A17" t="str">
        <f t="shared" si="0"/>
        <v>Castles|Castle Britannia|Zorin|CAST</v>
      </c>
      <c r="B17" s="2" t="s">
        <v>9</v>
      </c>
      <c r="C17" s="2" t="s">
        <v>10</v>
      </c>
      <c r="D17" s="2" t="s">
        <v>194</v>
      </c>
      <c r="E17" s="2" t="s">
        <v>36</v>
      </c>
      <c r="F17" s="2" t="s">
        <v>195</v>
      </c>
    </row>
    <row r="18" spans="1:6" x14ac:dyDescent="0.3">
      <c r="A18" t="str">
        <f t="shared" si="0"/>
        <v>Castles|Castle Britannia|Lord British|HEAL</v>
      </c>
      <c r="B18" s="2" t="s">
        <v>9</v>
      </c>
      <c r="C18" s="2" t="s">
        <v>10</v>
      </c>
      <c r="D18" s="2" t="s">
        <v>203</v>
      </c>
      <c r="E18" s="2" t="s">
        <v>213</v>
      </c>
      <c r="F18" s="2" t="s">
        <v>205</v>
      </c>
    </row>
    <row r="19" spans="1:6" x14ac:dyDescent="0.3">
      <c r="A19" t="str">
        <f t="shared" si="0"/>
        <v>Castles|Lycaeum|Robert Frasier|WORD</v>
      </c>
      <c r="B19" s="2" t="s">
        <v>9</v>
      </c>
      <c r="C19" s="2" t="s">
        <v>277</v>
      </c>
      <c r="D19" s="2" t="s">
        <v>278</v>
      </c>
      <c r="E19" s="2" t="s">
        <v>286</v>
      </c>
      <c r="F19" s="2" t="s">
        <v>279</v>
      </c>
    </row>
    <row r="20" spans="1:6" x14ac:dyDescent="0.3">
      <c r="A20" t="str">
        <f t="shared" si="0"/>
        <v>Castles|Lycaeum|Beth Frasier|PROV</v>
      </c>
      <c r="B20" s="2" t="s">
        <v>9</v>
      </c>
      <c r="C20" s="2" t="s">
        <v>277</v>
      </c>
      <c r="D20" s="2" t="s">
        <v>288</v>
      </c>
      <c r="E20" s="2" t="s">
        <v>285</v>
      </c>
      <c r="F20" s="2" t="s">
        <v>289</v>
      </c>
    </row>
    <row r="21" spans="1:6" x14ac:dyDescent="0.3">
      <c r="A21" t="str">
        <f t="shared" si="0"/>
        <v>Castles|Lycaeum|Father Antos|BOOK</v>
      </c>
      <c r="B21" s="2" t="s">
        <v>9</v>
      </c>
      <c r="C21" s="2" t="s">
        <v>277</v>
      </c>
      <c r="D21" s="2" t="s">
        <v>297</v>
      </c>
      <c r="E21" s="2" t="s">
        <v>305</v>
      </c>
      <c r="F21" s="2" t="s">
        <v>298</v>
      </c>
    </row>
    <row r="22" spans="1:6" x14ac:dyDescent="0.3">
      <c r="A22" t="str">
        <f t="shared" si="0"/>
        <v>Castles|Lycaeum|Catriona|VALU</v>
      </c>
      <c r="B22" s="2" t="s">
        <v>9</v>
      </c>
      <c r="C22" s="2" t="s">
        <v>277</v>
      </c>
      <c r="D22" s="2" t="s">
        <v>306</v>
      </c>
      <c r="E22" s="2" t="s">
        <v>314</v>
      </c>
      <c r="F22" s="2" t="s">
        <v>307</v>
      </c>
    </row>
    <row r="23" spans="1:6" ht="26.4" x14ac:dyDescent="0.3">
      <c r="A23" t="str">
        <f t="shared" si="0"/>
        <v>Castles|Lycaeum|Estro|JUST</v>
      </c>
      <c r="B23" s="2" t="s">
        <v>9</v>
      </c>
      <c r="C23" s="2" t="s">
        <v>277</v>
      </c>
      <c r="D23" s="2" t="s">
        <v>316</v>
      </c>
      <c r="E23" s="2" t="s">
        <v>245</v>
      </c>
      <c r="F23" s="2" t="s">
        <v>317</v>
      </c>
    </row>
    <row r="24" spans="1:6" x14ac:dyDescent="0.3">
      <c r="A24" t="str">
        <f t="shared" si="0"/>
        <v>Castles|Lycaeum|Fighter|WARR</v>
      </c>
      <c r="B24" s="2" t="s">
        <v>9</v>
      </c>
      <c r="C24" s="2" t="s">
        <v>277</v>
      </c>
      <c r="D24" s="2" t="s">
        <v>326</v>
      </c>
      <c r="E24" s="2" t="s">
        <v>335</v>
      </c>
      <c r="F24" s="2" t="s">
        <v>328</v>
      </c>
    </row>
    <row r="25" spans="1:6" x14ac:dyDescent="0.3">
      <c r="A25" t="str">
        <f t="shared" si="0"/>
        <v>Castles|Lycaeum|Guard|HOUR</v>
      </c>
      <c r="B25" s="2" t="s">
        <v>9</v>
      </c>
      <c r="C25" s="2" t="s">
        <v>277</v>
      </c>
      <c r="D25" s="2" t="s">
        <v>337</v>
      </c>
      <c r="E25" s="2" t="s">
        <v>345</v>
      </c>
      <c r="F25" s="2" t="s">
        <v>338</v>
      </c>
    </row>
    <row r="26" spans="1:6" x14ac:dyDescent="0.3">
      <c r="A26" t="str">
        <f t="shared" si="0"/>
        <v>Castles|Lycaeum|Jon|TRUT</v>
      </c>
      <c r="B26" s="2" t="s">
        <v>9</v>
      </c>
      <c r="C26" s="2" t="s">
        <v>277</v>
      </c>
      <c r="D26" s="2" t="s">
        <v>347</v>
      </c>
      <c r="E26" s="2" t="s">
        <v>233</v>
      </c>
      <c r="F26" s="2" t="s">
        <v>348</v>
      </c>
    </row>
    <row r="27" spans="1:6" x14ac:dyDescent="0.3">
      <c r="A27" t="str">
        <f t="shared" si="0"/>
        <v>Castles|Lycaeum|Nigel|RECA</v>
      </c>
      <c r="B27" s="2" t="s">
        <v>9</v>
      </c>
      <c r="C27" s="2" t="s">
        <v>277</v>
      </c>
      <c r="D27" s="2" t="s">
        <v>357</v>
      </c>
      <c r="E27" s="2" t="s">
        <v>367</v>
      </c>
      <c r="F27" s="2" t="s">
        <v>359</v>
      </c>
    </row>
    <row r="28" spans="1:6" x14ac:dyDescent="0.3">
      <c r="A28" t="str">
        <f t="shared" si="0"/>
        <v>Castles|Lycaeum|Palamar|TELE</v>
      </c>
      <c r="B28" s="2" t="s">
        <v>9</v>
      </c>
      <c r="C28" s="2" t="s">
        <v>277</v>
      </c>
      <c r="D28" s="2" t="s">
        <v>369</v>
      </c>
      <c r="E28" s="2" t="s">
        <v>378</v>
      </c>
      <c r="F28" s="2" t="s">
        <v>370</v>
      </c>
    </row>
    <row r="29" spans="1:6" x14ac:dyDescent="0.3">
      <c r="A29" t="str">
        <f t="shared" si="0"/>
        <v>Castles|Lycaeum|Scatu|ARMO</v>
      </c>
      <c r="B29" s="2" t="s">
        <v>9</v>
      </c>
      <c r="C29" s="2" t="s">
        <v>277</v>
      </c>
      <c r="D29" s="2" t="s">
        <v>380</v>
      </c>
      <c r="E29" s="2" t="s">
        <v>388</v>
      </c>
      <c r="F29" s="2" t="s">
        <v>381</v>
      </c>
    </row>
    <row r="30" spans="1:6" x14ac:dyDescent="0.3">
      <c r="A30" t="str">
        <f t="shared" si="0"/>
        <v>Castles|Lycaeum|Shylock the Meek|BEG</v>
      </c>
      <c r="B30" s="2" t="s">
        <v>9</v>
      </c>
      <c r="C30" s="2" t="s">
        <v>277</v>
      </c>
      <c r="D30" s="2" t="s">
        <v>390</v>
      </c>
      <c r="E30" s="2" t="s">
        <v>398</v>
      </c>
      <c r="F30" s="2" t="s">
        <v>391</v>
      </c>
    </row>
    <row r="31" spans="1:6" ht="26.4" x14ac:dyDescent="0.3">
      <c r="A31" t="str">
        <f t="shared" si="0"/>
        <v>Castles|Lycaeum|Lord Terence|TRUT</v>
      </c>
      <c r="B31" s="2" t="s">
        <v>9</v>
      </c>
      <c r="C31" s="2" t="s">
        <v>277</v>
      </c>
      <c r="D31" s="2" t="s">
        <v>400</v>
      </c>
      <c r="E31" s="2" t="s">
        <v>233</v>
      </c>
      <c r="F31" s="2" t="s">
        <v>401</v>
      </c>
    </row>
    <row r="32" spans="1:6" ht="26.4" x14ac:dyDescent="0.3">
      <c r="A32" t="str">
        <f t="shared" si="0"/>
        <v>Castles|Lycaeum|Tymus|FOUR</v>
      </c>
      <c r="B32" s="2" t="s">
        <v>9</v>
      </c>
      <c r="C32" s="2" t="s">
        <v>277</v>
      </c>
      <c r="D32" s="2" t="s">
        <v>416</v>
      </c>
      <c r="E32" s="2" t="s">
        <v>425</v>
      </c>
      <c r="F32" s="2" t="s">
        <v>417</v>
      </c>
    </row>
    <row r="33" spans="1:6" x14ac:dyDescent="0.3">
      <c r="A33" t="str">
        <f t="shared" si="0"/>
        <v>Castles|Lycaeum|Zajac|ENTE</v>
      </c>
      <c r="B33" s="2" t="s">
        <v>9</v>
      </c>
      <c r="C33" s="2" t="s">
        <v>277</v>
      </c>
      <c r="D33" s="2" t="s">
        <v>427</v>
      </c>
      <c r="E33" s="2" t="s">
        <v>436</v>
      </c>
      <c r="F33" s="2" t="s">
        <v>428</v>
      </c>
    </row>
    <row r="34" spans="1:6" x14ac:dyDescent="0.3">
      <c r="A34" t="str">
        <f t="shared" si="0"/>
        <v>Castles|Empath Abbey|Lord Robert|WORD</v>
      </c>
      <c r="B34" s="2" t="s">
        <v>9</v>
      </c>
      <c r="C34" s="2" t="s">
        <v>438</v>
      </c>
      <c r="D34" s="2" t="s">
        <v>439</v>
      </c>
      <c r="E34" s="2" t="s">
        <v>286</v>
      </c>
      <c r="F34" s="2" t="s">
        <v>279</v>
      </c>
    </row>
    <row r="35" spans="1:6" x14ac:dyDescent="0.3">
      <c r="A35" t="str">
        <f t="shared" si="0"/>
        <v>Castles|Empath Abbey|Lady Marcy|PROV</v>
      </c>
      <c r="B35" s="2" t="s">
        <v>9</v>
      </c>
      <c r="C35" s="2" t="s">
        <v>438</v>
      </c>
      <c r="D35" s="2" t="s">
        <v>442</v>
      </c>
      <c r="E35" s="2" t="s">
        <v>285</v>
      </c>
      <c r="F35" s="2" t="s">
        <v>443</v>
      </c>
    </row>
    <row r="36" spans="1:6" x14ac:dyDescent="0.3">
      <c r="A36" t="str">
        <f t="shared" si="0"/>
        <v>Castles|Empath Abbey|Brother Antos|CAND</v>
      </c>
      <c r="B36" s="2" t="s">
        <v>9</v>
      </c>
      <c r="C36" s="2" t="s">
        <v>438</v>
      </c>
      <c r="D36" s="2" t="s">
        <v>445</v>
      </c>
      <c r="E36" s="2" t="s">
        <v>453</v>
      </c>
      <c r="F36" s="2" t="s">
        <v>446</v>
      </c>
    </row>
    <row r="37" spans="1:6" x14ac:dyDescent="0.3">
      <c r="A37" t="str">
        <f t="shared" si="0"/>
        <v>Castles|Empath Abbey|Benjamin|COMP</v>
      </c>
      <c r="B37" s="2" t="s">
        <v>9</v>
      </c>
      <c r="C37" s="2" t="s">
        <v>438</v>
      </c>
      <c r="D37" s="2" t="s">
        <v>455</v>
      </c>
      <c r="E37" s="2" t="s">
        <v>241</v>
      </c>
      <c r="F37" s="2" t="s">
        <v>205</v>
      </c>
    </row>
    <row r="38" spans="1:6" x14ac:dyDescent="0.3">
      <c r="A38" t="str">
        <f t="shared" si="0"/>
        <v>Castles|Empath Abbey|Chinup|OAK</v>
      </c>
      <c r="B38" s="2" t="s">
        <v>9</v>
      </c>
      <c r="C38" s="2" t="s">
        <v>438</v>
      </c>
      <c r="D38" s="2" t="s">
        <v>461</v>
      </c>
      <c r="E38" s="2" t="s">
        <v>470</v>
      </c>
      <c r="F38" s="2" t="s">
        <v>462</v>
      </c>
    </row>
    <row r="39" spans="1:6" x14ac:dyDescent="0.3">
      <c r="A39" t="str">
        <f t="shared" si="0"/>
        <v>Castles|Empath Abbey|Deirdre|JUST</v>
      </c>
      <c r="B39" s="2" t="s">
        <v>9</v>
      </c>
      <c r="C39" s="2" t="s">
        <v>438</v>
      </c>
      <c r="D39" s="2" t="s">
        <v>472</v>
      </c>
      <c r="E39" s="2" t="s">
        <v>245</v>
      </c>
      <c r="F39" s="2" t="s">
        <v>473</v>
      </c>
    </row>
    <row r="40" spans="1:6" x14ac:dyDescent="0.3">
      <c r="A40" t="str">
        <f t="shared" si="0"/>
        <v>Castles|Empath Abbey|Derek the Bard|CAND</v>
      </c>
      <c r="B40" s="2" t="s">
        <v>9</v>
      </c>
      <c r="C40" s="2" t="s">
        <v>438</v>
      </c>
      <c r="D40" s="2" t="s">
        <v>480</v>
      </c>
      <c r="E40" s="2" t="s">
        <v>453</v>
      </c>
      <c r="F40" s="2" t="s">
        <v>481</v>
      </c>
    </row>
    <row r="41" spans="1:6" x14ac:dyDescent="0.3">
      <c r="A41" t="str">
        <f t="shared" si="0"/>
        <v>Castles|Empath Abbey|Diane|LOVE</v>
      </c>
      <c r="B41" s="2" t="s">
        <v>9</v>
      </c>
      <c r="C41" s="2" t="s">
        <v>438</v>
      </c>
      <c r="D41" s="2" t="s">
        <v>490</v>
      </c>
      <c r="E41" s="2" t="s">
        <v>235</v>
      </c>
      <c r="F41" s="2" t="s">
        <v>491</v>
      </c>
    </row>
    <row r="42" spans="1:6" x14ac:dyDescent="0.3">
      <c r="A42" t="str">
        <f t="shared" si="0"/>
        <v>Castles|Empath Abbey|Gate Guard|ABBE</v>
      </c>
      <c r="B42" s="2" t="s">
        <v>9</v>
      </c>
      <c r="C42" s="2" t="s">
        <v>438</v>
      </c>
      <c r="D42" s="2" t="s">
        <v>26</v>
      </c>
      <c r="E42" s="2" t="s">
        <v>506</v>
      </c>
      <c r="F42" s="2" t="s">
        <v>499</v>
      </c>
    </row>
    <row r="43" spans="1:6" x14ac:dyDescent="0.3">
      <c r="A43" t="str">
        <f t="shared" si="0"/>
        <v>Castles|Empath Abbey|Guard of Passages|DANG</v>
      </c>
      <c r="B43" s="2" t="s">
        <v>9</v>
      </c>
      <c r="C43" s="2" t="s">
        <v>438</v>
      </c>
      <c r="D43" s="2" t="s">
        <v>508</v>
      </c>
      <c r="E43" s="2" t="s">
        <v>515</v>
      </c>
      <c r="F43" s="2" t="s">
        <v>510</v>
      </c>
    </row>
    <row r="44" spans="1:6" x14ac:dyDescent="0.3">
      <c r="A44" t="str">
        <f t="shared" si="0"/>
        <v>Castles|Empath Abbey|Humlock|SALV</v>
      </c>
      <c r="B44" s="2" t="s">
        <v>9</v>
      </c>
      <c r="C44" s="2" t="s">
        <v>438</v>
      </c>
      <c r="D44" s="2" t="s">
        <v>517</v>
      </c>
      <c r="E44" s="2" t="s">
        <v>526</v>
      </c>
      <c r="F44" s="2" t="s">
        <v>518</v>
      </c>
    </row>
    <row r="45" spans="1:6" x14ac:dyDescent="0.3">
      <c r="A45" t="str">
        <f t="shared" si="0"/>
        <v>Castles|Empath Abbey|Lastro|BEIN</v>
      </c>
      <c r="B45" s="2" t="s">
        <v>9</v>
      </c>
      <c r="C45" s="2" t="s">
        <v>438</v>
      </c>
      <c r="D45" s="2" t="s">
        <v>528</v>
      </c>
      <c r="E45" s="2" t="s">
        <v>535</v>
      </c>
      <c r="F45" s="2" t="s">
        <v>529</v>
      </c>
    </row>
    <row r="46" spans="1:6" x14ac:dyDescent="0.3">
      <c r="A46" t="str">
        <f t="shared" si="0"/>
        <v>Castles|Empath Abbey|Life|LOVE</v>
      </c>
      <c r="B46" s="2" t="s">
        <v>9</v>
      </c>
      <c r="C46" s="2" t="s">
        <v>438</v>
      </c>
      <c r="D46" s="2" t="s">
        <v>537</v>
      </c>
      <c r="E46" s="2" t="s">
        <v>235</v>
      </c>
      <c r="F46" s="2" t="s">
        <v>539</v>
      </c>
    </row>
    <row r="47" spans="1:6" x14ac:dyDescent="0.3">
      <c r="A47" t="str">
        <f t="shared" si="0"/>
        <v>Castles|Empath Abbey|Malchor|HORN</v>
      </c>
      <c r="B47" s="2" t="s">
        <v>9</v>
      </c>
      <c r="C47" s="2" t="s">
        <v>438</v>
      </c>
      <c r="D47" s="2" t="s">
        <v>547</v>
      </c>
      <c r="E47" s="2" t="s">
        <v>554</v>
      </c>
      <c r="F47" s="2" t="s">
        <v>548</v>
      </c>
    </row>
    <row r="48" spans="1:6" x14ac:dyDescent="0.3">
      <c r="A48" t="str">
        <f t="shared" si="0"/>
        <v>Castles|Empath Abbey|Suzanna|HORN</v>
      </c>
      <c r="B48" s="2" t="s">
        <v>9</v>
      </c>
      <c r="C48" s="2" t="s">
        <v>438</v>
      </c>
      <c r="D48" s="2" t="s">
        <v>556</v>
      </c>
      <c r="E48" s="2" t="s">
        <v>554</v>
      </c>
      <c r="F48" s="2" t="s">
        <v>557</v>
      </c>
    </row>
    <row r="49" spans="1:6" x14ac:dyDescent="0.3">
      <c r="A49" t="str">
        <f t="shared" si="0"/>
        <v>Castles|Empath Abbey|Thomas|SACR</v>
      </c>
      <c r="B49" s="2" t="s">
        <v>9</v>
      </c>
      <c r="C49" s="2" t="s">
        <v>438</v>
      </c>
      <c r="D49" s="2" t="s">
        <v>566</v>
      </c>
      <c r="E49" s="2" t="s">
        <v>247</v>
      </c>
      <c r="F49" s="2" t="s">
        <v>567</v>
      </c>
    </row>
    <row r="50" spans="1:6" ht="26.4" x14ac:dyDescent="0.3">
      <c r="A50" t="str">
        <f t="shared" si="0"/>
        <v>Castles|Serpent’s Hold|Sentri|WORD</v>
      </c>
      <c r="B50" s="2" t="s">
        <v>9</v>
      </c>
      <c r="C50" s="2" t="s">
        <v>574</v>
      </c>
      <c r="D50" s="2" t="s">
        <v>575</v>
      </c>
      <c r="E50" s="2" t="s">
        <v>286</v>
      </c>
      <c r="F50" s="2" t="s">
        <v>576</v>
      </c>
    </row>
    <row r="51" spans="1:6" x14ac:dyDescent="0.3">
      <c r="A51" t="str">
        <f t="shared" si="0"/>
        <v>Castles|Serpent’s Hold|Gate guard|GUAR</v>
      </c>
      <c r="B51" s="2" t="s">
        <v>9</v>
      </c>
      <c r="C51" s="2" t="s">
        <v>574</v>
      </c>
      <c r="D51" s="2" t="s">
        <v>580</v>
      </c>
      <c r="E51" s="2" t="s">
        <v>34</v>
      </c>
      <c r="F51" s="2" t="s">
        <v>582</v>
      </c>
    </row>
    <row r="52" spans="1:6" x14ac:dyDescent="0.3">
      <c r="A52" t="str">
        <f t="shared" si="0"/>
        <v>Castles|Serpent’s Hold|Lassorn|WHEE</v>
      </c>
      <c r="B52" s="2" t="s">
        <v>9</v>
      </c>
      <c r="C52" s="2" t="s">
        <v>574</v>
      </c>
      <c r="D52" s="2" t="s">
        <v>590</v>
      </c>
      <c r="E52" s="2" t="s">
        <v>598</v>
      </c>
      <c r="F52" s="2" t="s">
        <v>591</v>
      </c>
    </row>
    <row r="53" spans="1:6" x14ac:dyDescent="0.3">
      <c r="A53" t="str">
        <f t="shared" si="0"/>
        <v>Castles|Serpent’s Hold|Roark|CODE</v>
      </c>
      <c r="B53" s="2" t="s">
        <v>9</v>
      </c>
      <c r="C53" s="2" t="s">
        <v>574</v>
      </c>
      <c r="D53" s="2" t="s">
        <v>600</v>
      </c>
      <c r="E53" s="2" t="s">
        <v>607</v>
      </c>
      <c r="F53" s="2" t="s">
        <v>205</v>
      </c>
    </row>
    <row r="54" spans="1:6" x14ac:dyDescent="0.3">
      <c r="A54" t="str">
        <f t="shared" si="0"/>
        <v>Castles|Serpent’s Hold|Ranger|DUNG</v>
      </c>
      <c r="B54" s="2" t="s">
        <v>9</v>
      </c>
      <c r="C54" s="2" t="s">
        <v>574</v>
      </c>
      <c r="D54" s="2" t="s">
        <v>609</v>
      </c>
      <c r="E54" s="2" t="s">
        <v>619</v>
      </c>
      <c r="F54" s="2" t="s">
        <v>611</v>
      </c>
    </row>
    <row r="55" spans="1:6" x14ac:dyDescent="0.3">
      <c r="A55" t="str">
        <f t="shared" si="0"/>
        <v>Castles|Serpent’s Hold|Shyra|ROOM</v>
      </c>
      <c r="B55" s="2" t="s">
        <v>9</v>
      </c>
      <c r="C55" s="2" t="s">
        <v>574</v>
      </c>
      <c r="D55" s="2" t="s">
        <v>621</v>
      </c>
      <c r="E55" s="2" t="s">
        <v>629</v>
      </c>
      <c r="F55" s="2" t="s">
        <v>622</v>
      </c>
    </row>
    <row r="56" spans="1:6" ht="26.4" x14ac:dyDescent="0.3">
      <c r="A56" t="str">
        <f t="shared" si="0"/>
        <v>Castles|Serpent’s Hold|Baronial Guard|CAST</v>
      </c>
      <c r="B56" s="2" t="s">
        <v>9</v>
      </c>
      <c r="C56" s="2" t="s">
        <v>574</v>
      </c>
      <c r="D56" s="2" t="s">
        <v>631</v>
      </c>
      <c r="E56" s="2" t="s">
        <v>36</v>
      </c>
      <c r="F56" s="2" t="s">
        <v>633</v>
      </c>
    </row>
    <row r="57" spans="1:6" ht="26.4" x14ac:dyDescent="0.3">
      <c r="A57" t="str">
        <f t="shared" si="0"/>
        <v>Castles|Serpent’s Hold|Treasury Guard|DUNG</v>
      </c>
      <c r="B57" s="2" t="s">
        <v>9</v>
      </c>
      <c r="C57" s="2" t="s">
        <v>574</v>
      </c>
      <c r="D57" s="2" t="s">
        <v>38</v>
      </c>
      <c r="E57" s="2" t="s">
        <v>619</v>
      </c>
      <c r="F57" s="2" t="s">
        <v>642</v>
      </c>
    </row>
    <row r="58" spans="1:6" x14ac:dyDescent="0.3">
      <c r="A58" t="str">
        <f t="shared" si="0"/>
        <v>Castles|Serpent’s Hold|Garam|BELL</v>
      </c>
      <c r="B58" s="2" t="s">
        <v>9</v>
      </c>
      <c r="C58" s="2" t="s">
        <v>574</v>
      </c>
      <c r="D58" s="2" t="s">
        <v>648</v>
      </c>
      <c r="E58" s="2" t="s">
        <v>654</v>
      </c>
      <c r="F58" s="2" t="s">
        <v>611</v>
      </c>
    </row>
    <row r="59" spans="1:6" x14ac:dyDescent="0.3">
      <c r="A59" t="str">
        <f t="shared" si="0"/>
        <v>Castles|Serpent’s Hold|Durham|DUNG</v>
      </c>
      <c r="B59" s="2" t="s">
        <v>9</v>
      </c>
      <c r="C59" s="2" t="s">
        <v>574</v>
      </c>
      <c r="D59" s="2" t="s">
        <v>656</v>
      </c>
      <c r="E59" s="2" t="s">
        <v>619</v>
      </c>
      <c r="F59" s="2" t="s">
        <v>548</v>
      </c>
    </row>
    <row r="60" spans="1:6" x14ac:dyDescent="0.3">
      <c r="A60" t="str">
        <f t="shared" si="0"/>
        <v>Castles|Serpent’s Hold|Lori|DURH</v>
      </c>
      <c r="B60" s="2" t="s">
        <v>9</v>
      </c>
      <c r="C60" s="2" t="s">
        <v>574</v>
      </c>
      <c r="D60" s="2" t="s">
        <v>664</v>
      </c>
      <c r="E60" s="2" t="s">
        <v>673</v>
      </c>
      <c r="F60" s="2" t="s">
        <v>665</v>
      </c>
    </row>
    <row r="61" spans="1:6" x14ac:dyDescent="0.3">
      <c r="A61" t="str">
        <f t="shared" si="0"/>
        <v>Castles|Serpent’s Hold|Samuel|DURH</v>
      </c>
      <c r="B61" s="2" t="s">
        <v>9</v>
      </c>
      <c r="C61" s="2" t="s">
        <v>574</v>
      </c>
      <c r="D61" s="2" t="s">
        <v>675</v>
      </c>
      <c r="E61" s="2" t="s">
        <v>673</v>
      </c>
      <c r="F61" s="2" t="s">
        <v>665</v>
      </c>
    </row>
    <row r="62" spans="1:6" x14ac:dyDescent="0.3">
      <c r="A62" t="str">
        <f t="shared" si="0"/>
        <v>Castles|Serpent’s Hold|Roderick|ORBS</v>
      </c>
      <c r="B62" s="2" t="s">
        <v>9</v>
      </c>
      <c r="C62" s="2" t="s">
        <v>574</v>
      </c>
      <c r="D62" s="2" t="s">
        <v>677</v>
      </c>
      <c r="E62" s="2" t="s">
        <v>686</v>
      </c>
      <c r="F62" s="2" t="s">
        <v>678</v>
      </c>
    </row>
    <row r="63" spans="1:6" x14ac:dyDescent="0.3">
      <c r="A63" t="str">
        <f t="shared" si="0"/>
        <v>Castles|Serpent’s Hold|Sister Antos|BELL</v>
      </c>
      <c r="B63" s="2" t="s">
        <v>9</v>
      </c>
      <c r="C63" s="2" t="s">
        <v>574</v>
      </c>
      <c r="D63" s="2" t="s">
        <v>688</v>
      </c>
      <c r="E63" s="2" t="s">
        <v>654</v>
      </c>
      <c r="F63" s="2" t="s">
        <v>539</v>
      </c>
    </row>
    <row r="64" spans="1:6" ht="26.4" x14ac:dyDescent="0.3">
      <c r="A64" t="str">
        <f t="shared" si="0"/>
        <v>Castles|Serpent’s Hold|Noxum|SHIP</v>
      </c>
      <c r="B64" s="2" t="s">
        <v>9</v>
      </c>
      <c r="C64" s="2" t="s">
        <v>574</v>
      </c>
      <c r="D64" s="2" t="s">
        <v>695</v>
      </c>
      <c r="E64" s="2" t="s">
        <v>596</v>
      </c>
      <c r="F64" s="2" t="s">
        <v>696</v>
      </c>
    </row>
    <row r="65" spans="1:6" x14ac:dyDescent="0.3">
      <c r="A65" t="str">
        <f t="shared" si="0"/>
        <v>Castles|Serpent’s Hold|Michelle|HEAL</v>
      </c>
      <c r="B65" s="2" t="s">
        <v>9</v>
      </c>
      <c r="C65" s="2" t="s">
        <v>574</v>
      </c>
      <c r="D65" s="2" t="s">
        <v>705</v>
      </c>
      <c r="E65" s="2" t="s">
        <v>213</v>
      </c>
      <c r="F65" s="2" t="s">
        <v>205</v>
      </c>
    </row>
    <row r="66" spans="1:6" x14ac:dyDescent="0.3">
      <c r="A66" t="str">
        <f t="shared" si="0"/>
        <v>Towns|Moonglow|Mariah|QUES</v>
      </c>
      <c r="B66" s="2" t="s">
        <v>713</v>
      </c>
      <c r="C66" s="2" t="s">
        <v>714</v>
      </c>
      <c r="D66" s="2" t="s">
        <v>715</v>
      </c>
      <c r="E66" s="2" t="s">
        <v>259</v>
      </c>
      <c r="F66" s="2" t="s">
        <v>548</v>
      </c>
    </row>
    <row r="67" spans="1:6" x14ac:dyDescent="0.3">
      <c r="A67" t="str">
        <f t="shared" ref="A67:A130" si="1">B67&amp;"|"&amp;C67&amp;"|"&amp;D67&amp;"|"&amp;E67</f>
        <v>Towns|Moonglow|Tracie|SMOK</v>
      </c>
      <c r="B67" s="2" t="s">
        <v>713</v>
      </c>
      <c r="C67" s="2" t="s">
        <v>714</v>
      </c>
      <c r="D67" s="2" t="s">
        <v>724</v>
      </c>
      <c r="E67" s="2" t="s">
        <v>733</v>
      </c>
      <c r="F67" s="2" t="s">
        <v>725</v>
      </c>
    </row>
    <row r="68" spans="1:6" x14ac:dyDescent="0.3">
      <c r="A68" t="str">
        <f t="shared" si="1"/>
        <v>Towns|Moonglow|Cromwell|MANT</v>
      </c>
      <c r="B68" s="2" t="s">
        <v>713</v>
      </c>
      <c r="C68" s="2" t="s">
        <v>714</v>
      </c>
      <c r="D68" s="2" t="s">
        <v>735</v>
      </c>
      <c r="E68" s="2" t="s">
        <v>742</v>
      </c>
      <c r="F68" s="2" t="s">
        <v>736</v>
      </c>
    </row>
    <row r="69" spans="1:6" ht="26.4" x14ac:dyDescent="0.3">
      <c r="A69" t="str">
        <f t="shared" si="1"/>
        <v>Towns|Moonglow|Rebelias|EVIL</v>
      </c>
      <c r="B69" s="2" t="s">
        <v>713</v>
      </c>
      <c r="C69" s="2" t="s">
        <v>714</v>
      </c>
      <c r="D69" s="2" t="s">
        <v>743</v>
      </c>
      <c r="E69" s="2" t="s">
        <v>750</v>
      </c>
      <c r="F69" s="2" t="s">
        <v>744</v>
      </c>
    </row>
    <row r="70" spans="1:6" x14ac:dyDescent="0.3">
      <c r="A70" t="str">
        <f t="shared" si="1"/>
        <v>Towns|Moonglow|Christen|HONE</v>
      </c>
      <c r="B70" s="2" t="s">
        <v>713</v>
      </c>
      <c r="C70" s="2" t="s">
        <v>714</v>
      </c>
      <c r="D70" s="2" t="s">
        <v>752</v>
      </c>
      <c r="E70" s="2" t="s">
        <v>239</v>
      </c>
      <c r="F70" s="2" t="s">
        <v>753</v>
      </c>
    </row>
    <row r="71" spans="1:6" x14ac:dyDescent="0.3">
      <c r="A71" t="str">
        <f t="shared" si="1"/>
        <v>Towns|Moonglow|Patric the Humble Shepherd|HUMI</v>
      </c>
      <c r="B71" s="2" t="s">
        <v>713</v>
      </c>
      <c r="C71" s="2" t="s">
        <v>714</v>
      </c>
      <c r="D71" s="2" t="s">
        <v>759</v>
      </c>
      <c r="E71" s="2" t="s">
        <v>253</v>
      </c>
      <c r="F71" s="2" t="s">
        <v>760</v>
      </c>
    </row>
    <row r="72" spans="1:6" x14ac:dyDescent="0.3">
      <c r="A72" t="str">
        <f t="shared" si="1"/>
        <v>Towns|Moonglow|Shazom|DIE</v>
      </c>
      <c r="B72" s="2" t="s">
        <v>713</v>
      </c>
      <c r="C72" s="2" t="s">
        <v>714</v>
      </c>
      <c r="D72" s="2" t="s">
        <v>766</v>
      </c>
      <c r="E72" s="2" t="s">
        <v>775</v>
      </c>
      <c r="F72" s="2" t="s">
        <v>767</v>
      </c>
    </row>
    <row r="73" spans="1:6" x14ac:dyDescent="0.3">
      <c r="A73" t="str">
        <f t="shared" si="1"/>
        <v>Towns|Moonglow|Shakespeare|CORR</v>
      </c>
      <c r="B73" s="2" t="s">
        <v>713</v>
      </c>
      <c r="C73" s="2" t="s">
        <v>714</v>
      </c>
      <c r="D73" s="2" t="s">
        <v>776</v>
      </c>
      <c r="E73" s="2" t="s">
        <v>782</v>
      </c>
      <c r="F73" s="2" t="s">
        <v>736</v>
      </c>
    </row>
    <row r="74" spans="1:6" x14ac:dyDescent="0.3">
      <c r="A74" t="str">
        <f t="shared" si="1"/>
        <v>Towns|Moonglow|Browning|TRUT</v>
      </c>
      <c r="B74" s="2" t="s">
        <v>713</v>
      </c>
      <c r="C74" s="2" t="s">
        <v>714</v>
      </c>
      <c r="D74" s="2" t="s">
        <v>784</v>
      </c>
      <c r="E74" s="2" t="s">
        <v>233</v>
      </c>
      <c r="F74" s="2" t="s">
        <v>785</v>
      </c>
    </row>
    <row r="75" spans="1:6" ht="26.4" x14ac:dyDescent="0.3">
      <c r="A75" t="str">
        <f t="shared" si="1"/>
        <v>Towns|Moonglow|Cosima|REAG</v>
      </c>
      <c r="B75" s="2" t="s">
        <v>713</v>
      </c>
      <c r="C75" s="2" t="s">
        <v>714</v>
      </c>
      <c r="D75" s="2" t="s">
        <v>793</v>
      </c>
      <c r="E75" s="2" t="s">
        <v>801</v>
      </c>
      <c r="F75" s="2" t="s">
        <v>794</v>
      </c>
    </row>
    <row r="76" spans="1:6" x14ac:dyDescent="0.3">
      <c r="A76" t="str">
        <f t="shared" si="1"/>
        <v>Towns|Moonglow|Daranor|MOON</v>
      </c>
      <c r="B76" s="2" t="s">
        <v>713</v>
      </c>
      <c r="C76" s="2" t="s">
        <v>714</v>
      </c>
      <c r="D76" s="2" t="s">
        <v>803</v>
      </c>
      <c r="E76" s="2" t="s">
        <v>812</v>
      </c>
      <c r="F76" s="2" t="s">
        <v>804</v>
      </c>
    </row>
    <row r="77" spans="1:6" x14ac:dyDescent="0.3">
      <c r="A77" t="str">
        <f t="shared" si="1"/>
        <v>Towns|Moonglow|Inoo|FORT</v>
      </c>
      <c r="B77" s="2" t="s">
        <v>713</v>
      </c>
      <c r="C77" s="2" t="s">
        <v>714</v>
      </c>
      <c r="D77" s="2" t="s">
        <v>814</v>
      </c>
      <c r="E77" s="2" t="s">
        <v>823</v>
      </c>
      <c r="F77" s="2" t="s">
        <v>815</v>
      </c>
    </row>
    <row r="78" spans="1:6" x14ac:dyDescent="0.3">
      <c r="A78" t="str">
        <f t="shared" si="1"/>
        <v>Towns|Moonglow|Calabrini|HEAL</v>
      </c>
      <c r="B78" s="2" t="s">
        <v>713</v>
      </c>
      <c r="C78" s="2" t="s">
        <v>714</v>
      </c>
      <c r="D78" s="2" t="s">
        <v>825</v>
      </c>
      <c r="E78" s="2" t="s">
        <v>213</v>
      </c>
      <c r="F78" s="2" t="s">
        <v>826</v>
      </c>
    </row>
    <row r="79" spans="1:6" x14ac:dyDescent="0.3">
      <c r="A79" t="str">
        <f t="shared" si="1"/>
        <v>Towns|Moonglow|Dekker|JEST</v>
      </c>
      <c r="B79" s="2" t="s">
        <v>713</v>
      </c>
      <c r="C79" s="2" t="s">
        <v>714</v>
      </c>
      <c r="D79" s="2" t="s">
        <v>833</v>
      </c>
      <c r="E79" s="2" t="s">
        <v>22</v>
      </c>
      <c r="F79" s="2" t="s">
        <v>611</v>
      </c>
    </row>
    <row r="80" spans="1:6" x14ac:dyDescent="0.3">
      <c r="A80" t="str">
        <f t="shared" si="1"/>
        <v>Towns|Moonglow|William|RUNE</v>
      </c>
      <c r="B80" s="2" t="s">
        <v>713</v>
      </c>
      <c r="C80" s="2" t="s">
        <v>714</v>
      </c>
      <c r="D80" s="2" t="s">
        <v>840</v>
      </c>
      <c r="E80" s="2" t="s">
        <v>847</v>
      </c>
      <c r="F80" s="2" t="s">
        <v>841</v>
      </c>
    </row>
    <row r="81" spans="1:6" x14ac:dyDescent="0.3">
      <c r="A81" t="str">
        <f t="shared" si="1"/>
        <v>Towns|Moonglow|Tyrone|USE</v>
      </c>
      <c r="B81" s="2" t="s">
        <v>713</v>
      </c>
      <c r="C81" s="2" t="s">
        <v>714</v>
      </c>
      <c r="D81" s="2" t="s">
        <v>848</v>
      </c>
      <c r="E81" s="2" t="s">
        <v>856</v>
      </c>
      <c r="F81" s="2" t="s">
        <v>849</v>
      </c>
    </row>
    <row r="82" spans="1:6" x14ac:dyDescent="0.3">
      <c r="A82" t="str">
        <f t="shared" si="1"/>
        <v>Towns|Britain|Iolo|COMP</v>
      </c>
      <c r="B82" s="2" t="s">
        <v>713</v>
      </c>
      <c r="C82" s="2" t="s">
        <v>858</v>
      </c>
      <c r="D82" s="2" t="s">
        <v>859</v>
      </c>
      <c r="E82" s="2" t="s">
        <v>241</v>
      </c>
      <c r="F82" s="2" t="s">
        <v>860</v>
      </c>
    </row>
    <row r="83" spans="1:6" x14ac:dyDescent="0.3">
      <c r="A83" t="str">
        <f t="shared" si="1"/>
        <v>Towns|Britain|Gwenno|BEGG</v>
      </c>
      <c r="B83" s="2" t="s">
        <v>713</v>
      </c>
      <c r="C83" s="2" t="s">
        <v>858</v>
      </c>
      <c r="D83" s="2" t="s">
        <v>868</v>
      </c>
      <c r="E83" s="2" t="s">
        <v>875</v>
      </c>
      <c r="F83" s="2" t="s">
        <v>869</v>
      </c>
    </row>
    <row r="84" spans="1:6" x14ac:dyDescent="0.3">
      <c r="A84" t="str">
        <f t="shared" si="1"/>
        <v>Towns|Britain|Singing Child|HO</v>
      </c>
      <c r="B84" s="2" t="s">
        <v>713</v>
      </c>
      <c r="C84" s="2" t="s">
        <v>858</v>
      </c>
      <c r="D84" s="2" t="s">
        <v>877</v>
      </c>
      <c r="E84" s="2" t="s">
        <v>887</v>
      </c>
      <c r="F84" s="2" t="s">
        <v>879</v>
      </c>
    </row>
    <row r="85" spans="1:6" x14ac:dyDescent="0.3">
      <c r="A85" t="str">
        <f t="shared" si="1"/>
        <v>Towns|Britain|Bridge Guard|GUAR</v>
      </c>
      <c r="B85" s="2" t="s">
        <v>713</v>
      </c>
      <c r="C85" s="2" t="s">
        <v>858</v>
      </c>
      <c r="D85" s="2" t="s">
        <v>889</v>
      </c>
      <c r="E85" s="2" t="s">
        <v>34</v>
      </c>
      <c r="F85" s="2" t="s">
        <v>890</v>
      </c>
    </row>
    <row r="86" spans="1:6" x14ac:dyDescent="0.3">
      <c r="A86" t="str">
        <f t="shared" si="1"/>
        <v>Towns|Britain|Pepper|RUNE</v>
      </c>
      <c r="B86" s="2" t="s">
        <v>713</v>
      </c>
      <c r="C86" s="2" t="s">
        <v>858</v>
      </c>
      <c r="D86" s="2" t="s">
        <v>897</v>
      </c>
      <c r="E86" s="2" t="s">
        <v>847</v>
      </c>
      <c r="F86" s="2" t="s">
        <v>898</v>
      </c>
    </row>
    <row r="87" spans="1:6" x14ac:dyDescent="0.3">
      <c r="A87" t="str">
        <f t="shared" si="1"/>
        <v>Towns|Britain|Thevel|MAGI</v>
      </c>
      <c r="B87" s="2" t="s">
        <v>713</v>
      </c>
      <c r="C87" s="2" t="s">
        <v>858</v>
      </c>
      <c r="D87" s="2" t="s">
        <v>906</v>
      </c>
      <c r="E87" s="2" t="s">
        <v>912</v>
      </c>
      <c r="F87" s="2" t="s">
        <v>907</v>
      </c>
    </row>
    <row r="88" spans="1:6" x14ac:dyDescent="0.3">
      <c r="A88" t="str">
        <f t="shared" si="1"/>
        <v>Towns|Britain|Joe|RUM</v>
      </c>
      <c r="B88" s="2" t="s">
        <v>713</v>
      </c>
      <c r="C88" s="2" t="s">
        <v>858</v>
      </c>
      <c r="D88" s="2" t="s">
        <v>914</v>
      </c>
      <c r="E88" s="2" t="s">
        <v>922</v>
      </c>
      <c r="F88" s="2" t="s">
        <v>915</v>
      </c>
    </row>
    <row r="89" spans="1:6" x14ac:dyDescent="0.3">
      <c r="A89" t="str">
        <f t="shared" si="1"/>
        <v>Towns|Britain|Cricket|MANT</v>
      </c>
      <c r="B89" s="2" t="s">
        <v>713</v>
      </c>
      <c r="C89" s="2" t="s">
        <v>858</v>
      </c>
      <c r="D89" s="2" t="s">
        <v>924</v>
      </c>
      <c r="E89" s="2" t="s">
        <v>742</v>
      </c>
      <c r="F89" s="2" t="s">
        <v>925</v>
      </c>
    </row>
    <row r="90" spans="1:6" x14ac:dyDescent="0.3">
      <c r="A90" t="str">
        <f t="shared" si="1"/>
        <v>Towns|Britain|Gate Guard|COMP</v>
      </c>
      <c r="B90" s="2" t="s">
        <v>713</v>
      </c>
      <c r="C90" s="2" t="s">
        <v>858</v>
      </c>
      <c r="D90" s="2" t="s">
        <v>26</v>
      </c>
      <c r="E90" s="2" t="s">
        <v>241</v>
      </c>
      <c r="F90" s="2" t="s">
        <v>934</v>
      </c>
    </row>
    <row r="91" spans="1:6" ht="26.4" x14ac:dyDescent="0.3">
      <c r="A91" t="str">
        <f t="shared" si="1"/>
        <v>Towns|Britain|Child|COMP</v>
      </c>
      <c r="B91" s="2" t="s">
        <v>713</v>
      </c>
      <c r="C91" s="2" t="s">
        <v>858</v>
      </c>
      <c r="D91" s="2" t="s">
        <v>941</v>
      </c>
      <c r="E91" s="2" t="s">
        <v>241</v>
      </c>
      <c r="F91" s="2" t="s">
        <v>942</v>
      </c>
    </row>
    <row r="92" spans="1:6" x14ac:dyDescent="0.3">
      <c r="A92" t="str">
        <f t="shared" si="1"/>
        <v>Towns|Britain|Shalimar|COMP</v>
      </c>
      <c r="B92" s="2" t="s">
        <v>713</v>
      </c>
      <c r="C92" s="2" t="s">
        <v>858</v>
      </c>
      <c r="D92" s="2" t="s">
        <v>950</v>
      </c>
      <c r="E92" s="2" t="s">
        <v>241</v>
      </c>
      <c r="F92" s="2" t="s">
        <v>951</v>
      </c>
    </row>
    <row r="93" spans="1:6" x14ac:dyDescent="0.3">
      <c r="A93" t="str">
        <f t="shared" si="1"/>
        <v>Towns|Britain|Sebastian|MOND</v>
      </c>
      <c r="B93" s="2" t="s">
        <v>713</v>
      </c>
      <c r="C93" s="2" t="s">
        <v>858</v>
      </c>
      <c r="D93" s="2" t="s">
        <v>958</v>
      </c>
      <c r="E93" s="2" t="s">
        <v>267</v>
      </c>
      <c r="F93" s="2" t="s">
        <v>959</v>
      </c>
    </row>
    <row r="94" spans="1:6" ht="26.4" x14ac:dyDescent="0.3">
      <c r="A94" t="str">
        <f t="shared" si="1"/>
        <v>Towns|Britain|Shapero|COMP</v>
      </c>
      <c r="B94" s="2" t="s">
        <v>713</v>
      </c>
      <c r="C94" s="2" t="s">
        <v>858</v>
      </c>
      <c r="D94" s="2" t="s">
        <v>966</v>
      </c>
      <c r="E94" s="2" t="s">
        <v>241</v>
      </c>
      <c r="F94" s="2" t="s">
        <v>967</v>
      </c>
    </row>
    <row r="95" spans="1:6" ht="26.4" x14ac:dyDescent="0.3">
      <c r="A95" t="str">
        <f t="shared" si="1"/>
        <v>Towns|Britain|Julio|COMP</v>
      </c>
      <c r="B95" s="2" t="s">
        <v>713</v>
      </c>
      <c r="C95" s="2" t="s">
        <v>858</v>
      </c>
      <c r="D95" s="2" t="s">
        <v>975</v>
      </c>
      <c r="E95" s="2" t="s">
        <v>241</v>
      </c>
      <c r="F95" s="2" t="s">
        <v>976</v>
      </c>
    </row>
    <row r="96" spans="1:6" x14ac:dyDescent="0.3">
      <c r="A96" t="str">
        <f t="shared" si="1"/>
        <v>Towns|Britain|Mentor|PRID</v>
      </c>
      <c r="B96" s="2" t="s">
        <v>713</v>
      </c>
      <c r="C96" s="2" t="s">
        <v>858</v>
      </c>
      <c r="D96" s="2" t="s">
        <v>984</v>
      </c>
      <c r="E96" s="2" t="s">
        <v>255</v>
      </c>
      <c r="F96" s="2" t="s">
        <v>166</v>
      </c>
    </row>
    <row r="97" spans="1:6" x14ac:dyDescent="0.3">
      <c r="A97" t="str">
        <f t="shared" si="1"/>
        <v>Towns|Britain|Sprite|BEG</v>
      </c>
      <c r="B97" s="2" t="s">
        <v>713</v>
      </c>
      <c r="C97" s="2" t="s">
        <v>858</v>
      </c>
      <c r="D97" s="2" t="s">
        <v>991</v>
      </c>
      <c r="E97" s="2" t="s">
        <v>398</v>
      </c>
      <c r="F97" s="2" t="s">
        <v>992</v>
      </c>
    </row>
    <row r="98" spans="1:6" x14ac:dyDescent="0.3">
      <c r="A98" t="str">
        <f t="shared" si="1"/>
        <v>Towns|Jhelom|Geoffrey|BATT</v>
      </c>
      <c r="B98" s="2" t="s">
        <v>713</v>
      </c>
      <c r="C98" s="2" t="s">
        <v>1001</v>
      </c>
      <c r="D98" s="2" t="s">
        <v>1002</v>
      </c>
      <c r="E98" s="2" t="s">
        <v>1010</v>
      </c>
      <c r="F98" s="2" t="s">
        <v>1003</v>
      </c>
    </row>
    <row r="99" spans="1:6" x14ac:dyDescent="0.3">
      <c r="A99" t="str">
        <f t="shared" si="1"/>
        <v>Towns|Jhelom|Lord Robert|BATT</v>
      </c>
      <c r="B99" s="2" t="s">
        <v>713</v>
      </c>
      <c r="C99" s="2" t="s">
        <v>1001</v>
      </c>
      <c r="D99" s="2" t="s">
        <v>439</v>
      </c>
      <c r="E99" s="2" t="s">
        <v>1010</v>
      </c>
      <c r="F99" s="2" t="s">
        <v>1012</v>
      </c>
    </row>
    <row r="100" spans="1:6" x14ac:dyDescent="0.3">
      <c r="A100" t="str">
        <f t="shared" si="1"/>
        <v>Towns|Jhelom|Lady Donna|SHEE</v>
      </c>
      <c r="B100" s="2" t="s">
        <v>713</v>
      </c>
      <c r="C100" s="2" t="s">
        <v>1001</v>
      </c>
      <c r="D100" s="2" t="s">
        <v>1020</v>
      </c>
      <c r="E100" s="2" t="s">
        <v>1029</v>
      </c>
      <c r="F100" s="2" t="s">
        <v>1021</v>
      </c>
    </row>
    <row r="101" spans="1:6" x14ac:dyDescent="0.3">
      <c r="A101" t="str">
        <f t="shared" si="1"/>
        <v>Towns|Jhelom|Bengrod|ROOM</v>
      </c>
      <c r="B101" s="2" t="s">
        <v>713</v>
      </c>
      <c r="C101" s="2" t="s">
        <v>1001</v>
      </c>
      <c r="D101" s="2" t="s">
        <v>1031</v>
      </c>
      <c r="E101" s="2" t="s">
        <v>629</v>
      </c>
      <c r="F101" s="2" t="s">
        <v>1032</v>
      </c>
    </row>
    <row r="102" spans="1:6" x14ac:dyDescent="0.3">
      <c r="A102" t="str">
        <f t="shared" si="1"/>
        <v>Towns|Jhelom|Sir William|KILL</v>
      </c>
      <c r="B102" s="2" t="s">
        <v>713</v>
      </c>
      <c r="C102" s="2" t="s">
        <v>1001</v>
      </c>
      <c r="D102" s="2" t="s">
        <v>1040</v>
      </c>
      <c r="E102" s="2" t="s">
        <v>150</v>
      </c>
      <c r="F102" s="2" t="s">
        <v>1041</v>
      </c>
    </row>
    <row r="103" spans="1:6" x14ac:dyDescent="0.3">
      <c r="A103" t="str">
        <f t="shared" si="1"/>
        <v>Towns|Jhelom|Sir Hrothgar|SHRI</v>
      </c>
      <c r="B103" s="2" t="s">
        <v>713</v>
      </c>
      <c r="C103" s="2" t="s">
        <v>1001</v>
      </c>
      <c r="D103" s="2" t="s">
        <v>1046</v>
      </c>
      <c r="E103" s="2" t="s">
        <v>184</v>
      </c>
      <c r="F103" s="2" t="s">
        <v>1047</v>
      </c>
    </row>
    <row r="104" spans="1:6" x14ac:dyDescent="0.3">
      <c r="A104" t="str">
        <f t="shared" si="1"/>
        <v>Towns|Jhelom|Aesop|MANT</v>
      </c>
      <c r="B104" s="2" t="s">
        <v>713</v>
      </c>
      <c r="C104" s="2" t="s">
        <v>1001</v>
      </c>
      <c r="D104" s="2" t="s">
        <v>1056</v>
      </c>
      <c r="E104" s="2" t="s">
        <v>742</v>
      </c>
      <c r="F104" s="2" t="s">
        <v>1057</v>
      </c>
    </row>
    <row r="105" spans="1:6" x14ac:dyDescent="0.3">
      <c r="A105" t="str">
        <f t="shared" si="1"/>
        <v>Towns|Jhelom|Gravnor|STON</v>
      </c>
      <c r="B105" s="2" t="s">
        <v>713</v>
      </c>
      <c r="C105" s="2" t="s">
        <v>1001</v>
      </c>
      <c r="D105" s="2" t="s">
        <v>1063</v>
      </c>
      <c r="E105" s="2" t="s">
        <v>854</v>
      </c>
      <c r="F105" s="2" t="s">
        <v>539</v>
      </c>
    </row>
    <row r="106" spans="1:6" x14ac:dyDescent="0.3">
      <c r="A106" t="str">
        <f t="shared" si="1"/>
        <v>Towns|Jhelom|Senora|CRIM</v>
      </c>
      <c r="B106" s="2" t="s">
        <v>713</v>
      </c>
      <c r="C106" s="2" t="s">
        <v>1001</v>
      </c>
      <c r="D106" s="2" t="s">
        <v>1071</v>
      </c>
      <c r="E106" s="2" t="s">
        <v>138</v>
      </c>
      <c r="F106" s="2" t="s">
        <v>1072</v>
      </c>
    </row>
    <row r="107" spans="1:6" x14ac:dyDescent="0.3">
      <c r="A107" t="str">
        <f t="shared" si="1"/>
        <v>Towns|Jhelom|Nostro|RUNE</v>
      </c>
      <c r="B107" s="2" t="s">
        <v>713</v>
      </c>
      <c r="C107" s="2" t="s">
        <v>1001</v>
      </c>
      <c r="D107" s="2" t="s">
        <v>1079</v>
      </c>
      <c r="E107" s="2" t="s">
        <v>847</v>
      </c>
      <c r="F107" s="2" t="s">
        <v>1080</v>
      </c>
    </row>
    <row r="108" spans="1:6" x14ac:dyDescent="0.3">
      <c r="A108" t="str">
        <f t="shared" si="1"/>
        <v>Towns|Jhelom|Luke|YEW</v>
      </c>
      <c r="B108" s="2" t="s">
        <v>713</v>
      </c>
      <c r="C108" s="2" t="s">
        <v>1001</v>
      </c>
      <c r="D108" s="2" t="s">
        <v>1087</v>
      </c>
      <c r="E108" s="2" t="s">
        <v>1094</v>
      </c>
      <c r="F108" s="2" t="s">
        <v>1088</v>
      </c>
    </row>
    <row r="109" spans="1:6" ht="26.4" x14ac:dyDescent="0.3">
      <c r="A109" t="str">
        <f t="shared" si="1"/>
        <v>Towns|Jhelom|Max|ROOM</v>
      </c>
      <c r="B109" s="2" t="s">
        <v>713</v>
      </c>
      <c r="C109" s="2" t="s">
        <v>1001</v>
      </c>
      <c r="D109" s="2" t="s">
        <v>1096</v>
      </c>
      <c r="E109" s="2" t="s">
        <v>629</v>
      </c>
      <c r="F109" s="2" t="s">
        <v>1097</v>
      </c>
    </row>
    <row r="110" spans="1:6" x14ac:dyDescent="0.3">
      <c r="A110" t="str">
        <f t="shared" si="1"/>
        <v>Towns|Jhelom|X|RED</v>
      </c>
      <c r="B110" s="2" t="s">
        <v>713</v>
      </c>
      <c r="C110" s="2" t="s">
        <v>1001</v>
      </c>
      <c r="D110" s="2" t="s">
        <v>1105</v>
      </c>
      <c r="E110" s="2" t="s">
        <v>1112</v>
      </c>
      <c r="F110" s="2" t="s">
        <v>1106</v>
      </c>
    </row>
    <row r="111" spans="1:6" x14ac:dyDescent="0.3">
      <c r="A111" t="str">
        <f t="shared" si="1"/>
        <v>Towns|Jhelom|Slithe|VALO</v>
      </c>
      <c r="B111" s="2" t="s">
        <v>713</v>
      </c>
      <c r="C111" s="2" t="s">
        <v>1001</v>
      </c>
      <c r="D111" s="2" t="s">
        <v>1114</v>
      </c>
      <c r="E111" s="2" t="s">
        <v>243</v>
      </c>
      <c r="F111" s="2" t="s">
        <v>1041</v>
      </c>
    </row>
    <row r="112" spans="1:6" x14ac:dyDescent="0.3">
      <c r="A112" t="str">
        <f t="shared" si="1"/>
        <v>Towns|Jhelom|Timrod|BRAV</v>
      </c>
      <c r="B112" s="2" t="s">
        <v>713</v>
      </c>
      <c r="C112" s="2" t="s">
        <v>1001</v>
      </c>
      <c r="D112" s="2" t="s">
        <v>1122</v>
      </c>
      <c r="E112" s="2" t="s">
        <v>1128</v>
      </c>
      <c r="F112" s="2" t="s">
        <v>1123</v>
      </c>
    </row>
    <row r="113" spans="1:6" x14ac:dyDescent="0.3">
      <c r="A113" t="str">
        <f t="shared" si="1"/>
        <v>Towns|Minoc|Julia|POOR</v>
      </c>
      <c r="B113" s="2" t="s">
        <v>713</v>
      </c>
      <c r="C113" s="2" t="s">
        <v>1130</v>
      </c>
      <c r="D113" s="2" t="s">
        <v>1131</v>
      </c>
      <c r="E113" s="2" t="s">
        <v>1139</v>
      </c>
      <c r="F113" s="2" t="s">
        <v>1132</v>
      </c>
    </row>
    <row r="114" spans="1:6" x14ac:dyDescent="0.3">
      <c r="A114" t="str">
        <f t="shared" si="1"/>
        <v>Towns|Minoc|Shentis|VIRT</v>
      </c>
      <c r="B114" s="2" t="s">
        <v>713</v>
      </c>
      <c r="C114" s="2" t="s">
        <v>1130</v>
      </c>
      <c r="D114" s="2" t="s">
        <v>1141</v>
      </c>
      <c r="E114" s="2" t="s">
        <v>273</v>
      </c>
      <c r="F114" s="2" t="s">
        <v>1142</v>
      </c>
    </row>
    <row r="115" spans="1:6" x14ac:dyDescent="0.3">
      <c r="A115" t="str">
        <f t="shared" si="1"/>
        <v>Towns|Minoc|Alex|KIND</v>
      </c>
      <c r="B115" s="2" t="s">
        <v>713</v>
      </c>
      <c r="C115" s="2" t="s">
        <v>1130</v>
      </c>
      <c r="D115" s="2" t="s">
        <v>1150</v>
      </c>
      <c r="E115" s="2" t="s">
        <v>1156</v>
      </c>
      <c r="F115" s="2" t="s">
        <v>1151</v>
      </c>
    </row>
    <row r="116" spans="1:6" x14ac:dyDescent="0.3">
      <c r="A116" t="str">
        <f t="shared" si="1"/>
        <v>Towns|Minoc|Merida|MANT</v>
      </c>
      <c r="B116" s="2" t="s">
        <v>713</v>
      </c>
      <c r="C116" s="2" t="s">
        <v>1130</v>
      </c>
      <c r="D116" s="2" t="s">
        <v>1158</v>
      </c>
      <c r="E116" s="2" t="s">
        <v>742</v>
      </c>
      <c r="F116" s="2" t="s">
        <v>1159</v>
      </c>
    </row>
    <row r="117" spans="1:6" x14ac:dyDescent="0.3">
      <c r="A117" t="str">
        <f t="shared" si="1"/>
        <v>Towns|Minoc|Damon|MANT</v>
      </c>
      <c r="B117" s="2" t="s">
        <v>713</v>
      </c>
      <c r="C117" s="2" t="s">
        <v>1130</v>
      </c>
      <c r="D117" s="2" t="s">
        <v>1165</v>
      </c>
      <c r="E117" s="2" t="s">
        <v>742</v>
      </c>
      <c r="F117" s="2" t="s">
        <v>1166</v>
      </c>
    </row>
    <row r="118" spans="1:6" ht="26.4" x14ac:dyDescent="0.3">
      <c r="A118" t="str">
        <f t="shared" si="1"/>
        <v>Towns|Minoc|Gimble|CONS</v>
      </c>
      <c r="B118" s="2" t="s">
        <v>713</v>
      </c>
      <c r="C118" s="2" t="s">
        <v>1130</v>
      </c>
      <c r="D118" s="2" t="s">
        <v>1177</v>
      </c>
      <c r="E118" s="2" t="s">
        <v>1185</v>
      </c>
      <c r="F118" s="2" t="s">
        <v>1178</v>
      </c>
    </row>
    <row r="119" spans="1:6" x14ac:dyDescent="0.3">
      <c r="A119" t="str">
        <f t="shared" si="1"/>
        <v>Towns|Minoc|Azure|SACR</v>
      </c>
      <c r="B119" s="2" t="s">
        <v>713</v>
      </c>
      <c r="C119" s="2" t="s">
        <v>1130</v>
      </c>
      <c r="D119" s="2" t="s">
        <v>1187</v>
      </c>
      <c r="E119" s="2" t="s">
        <v>247</v>
      </c>
      <c r="F119" s="2" t="s">
        <v>1188</v>
      </c>
    </row>
    <row r="120" spans="1:6" x14ac:dyDescent="0.3">
      <c r="A120" t="str">
        <f t="shared" si="1"/>
        <v>Towns|Minoc|Mischief|RUNE</v>
      </c>
      <c r="B120" s="2" t="s">
        <v>713</v>
      </c>
      <c r="C120" s="2" t="s">
        <v>1130</v>
      </c>
      <c r="D120" s="2" t="s">
        <v>1193</v>
      </c>
      <c r="E120" s="2" t="s">
        <v>847</v>
      </c>
      <c r="F120" s="2" t="s">
        <v>1194</v>
      </c>
    </row>
    <row r="121" spans="1:6" x14ac:dyDescent="0.3">
      <c r="A121" t="str">
        <f t="shared" si="1"/>
        <v>Towns|Minoc|Alkerion|STON</v>
      </c>
      <c r="B121" s="2" t="s">
        <v>713</v>
      </c>
      <c r="C121" s="2" t="s">
        <v>1130</v>
      </c>
      <c r="D121" s="2" t="s">
        <v>1200</v>
      </c>
      <c r="E121" s="2" t="s">
        <v>854</v>
      </c>
      <c r="F121" s="2" t="s">
        <v>1201</v>
      </c>
    </row>
    <row r="122" spans="1:6" x14ac:dyDescent="0.3">
      <c r="A122" t="str">
        <f t="shared" si="1"/>
        <v>Towns|Minoc|Bob the Beggar|SICK</v>
      </c>
      <c r="B122" s="2" t="s">
        <v>713</v>
      </c>
      <c r="C122" s="2" t="s">
        <v>1130</v>
      </c>
      <c r="D122" s="2" t="s">
        <v>1209</v>
      </c>
      <c r="E122" s="2" t="s">
        <v>396</v>
      </c>
      <c r="F122" s="2" t="s">
        <v>1210</v>
      </c>
    </row>
    <row r="123" spans="1:6" x14ac:dyDescent="0.3">
      <c r="A123" t="str">
        <f t="shared" si="1"/>
        <v>Towns|Minoc|Linda Sue|FOOD</v>
      </c>
      <c r="B123" s="2" t="s">
        <v>713</v>
      </c>
      <c r="C123" s="2" t="s">
        <v>1130</v>
      </c>
      <c r="D123" s="2" t="s">
        <v>1218</v>
      </c>
      <c r="E123" s="2" t="s">
        <v>126</v>
      </c>
      <c r="F123" s="2" t="s">
        <v>1219</v>
      </c>
    </row>
    <row r="124" spans="1:6" x14ac:dyDescent="0.3">
      <c r="A124" t="str">
        <f t="shared" si="1"/>
        <v>Towns|Minoc|Zircon|MYST</v>
      </c>
      <c r="B124" s="2" t="s">
        <v>713</v>
      </c>
      <c r="C124" s="2" t="s">
        <v>1130</v>
      </c>
      <c r="D124" s="2" t="s">
        <v>1228</v>
      </c>
      <c r="E124" s="2" t="s">
        <v>1235</v>
      </c>
      <c r="F124" s="2" t="s">
        <v>1229</v>
      </c>
    </row>
    <row r="125" spans="1:6" ht="39.6" x14ac:dyDescent="0.3">
      <c r="A125" t="str">
        <f t="shared" si="1"/>
        <v>Towns|Minoc|Jude|SKUL</v>
      </c>
      <c r="B125" s="2" t="s">
        <v>713</v>
      </c>
      <c r="C125" s="2" t="s">
        <v>1130</v>
      </c>
      <c r="D125" s="2" t="s">
        <v>1237</v>
      </c>
      <c r="E125" s="2" t="s">
        <v>1244</v>
      </c>
      <c r="F125" s="2" t="s">
        <v>1238</v>
      </c>
    </row>
    <row r="126" spans="1:6" x14ac:dyDescent="0.3">
      <c r="A126" t="str">
        <f t="shared" si="1"/>
        <v>Towns|Minoc|Mike Ward|SKAR</v>
      </c>
      <c r="B126" s="2" t="s">
        <v>713</v>
      </c>
      <c r="C126" s="2" t="s">
        <v>1130</v>
      </c>
      <c r="D126" s="2" t="s">
        <v>1246</v>
      </c>
      <c r="E126" s="2" t="s">
        <v>1253</v>
      </c>
      <c r="F126" s="2" t="s">
        <v>1247</v>
      </c>
    </row>
    <row r="127" spans="1:6" x14ac:dyDescent="0.3">
      <c r="A127" t="str">
        <f t="shared" si="1"/>
        <v>Towns|Minoc|Gate Guard|LIFE</v>
      </c>
      <c r="B127" s="2" t="s">
        <v>713</v>
      </c>
      <c r="C127" s="2" t="s">
        <v>1130</v>
      </c>
      <c r="D127" s="2" t="s">
        <v>26</v>
      </c>
      <c r="E127" s="2" t="s">
        <v>1261</v>
      </c>
      <c r="F127" s="2" t="s">
        <v>1255</v>
      </c>
    </row>
    <row r="128" spans="1:6" x14ac:dyDescent="0.3">
      <c r="A128" t="str">
        <f t="shared" si="1"/>
        <v>Towns|Yew|Jaana|UNDE</v>
      </c>
      <c r="B128" s="2" t="s">
        <v>713</v>
      </c>
      <c r="C128" s="2" t="s">
        <v>1263</v>
      </c>
      <c r="D128" s="2" t="s">
        <v>1264</v>
      </c>
      <c r="E128" s="2" t="s">
        <v>1270</v>
      </c>
      <c r="F128" s="2" t="s">
        <v>1265</v>
      </c>
    </row>
    <row r="129" spans="1:6" x14ac:dyDescent="0.3">
      <c r="A129" t="str">
        <f t="shared" si="1"/>
        <v>Towns|Yew|Dwp|YEW</v>
      </c>
      <c r="B129" s="2" t="s">
        <v>713</v>
      </c>
      <c r="C129" s="2" t="s">
        <v>1263</v>
      </c>
      <c r="D129" s="2" t="s">
        <v>1272</v>
      </c>
      <c r="E129" s="2" t="s">
        <v>1094</v>
      </c>
      <c r="F129" s="2" t="s">
        <v>1273</v>
      </c>
    </row>
    <row r="130" spans="1:6" x14ac:dyDescent="0.3">
      <c r="A130" t="str">
        <f t="shared" si="1"/>
        <v>Towns|Yew|Flamis|FABR</v>
      </c>
      <c r="B130" s="2" t="s">
        <v>713</v>
      </c>
      <c r="C130" s="2" t="s">
        <v>1263</v>
      </c>
      <c r="D130" s="2" t="s">
        <v>1279</v>
      </c>
      <c r="E130" s="2" t="s">
        <v>1287</v>
      </c>
      <c r="F130" s="2" t="s">
        <v>1280</v>
      </c>
    </row>
    <row r="131" spans="1:6" x14ac:dyDescent="0.3">
      <c r="A131" t="str">
        <f t="shared" ref="A131:A194" si="2">B131&amp;"|"&amp;C131&amp;"|"&amp;D131&amp;"|"&amp;E131</f>
        <v>Towns|Yew|Pinrod|JUST</v>
      </c>
      <c r="B131" s="2" t="s">
        <v>713</v>
      </c>
      <c r="C131" s="2" t="s">
        <v>1263</v>
      </c>
      <c r="D131" s="2" t="s">
        <v>1289</v>
      </c>
      <c r="E131" s="2" t="s">
        <v>245</v>
      </c>
      <c r="F131" s="2" t="s">
        <v>1290</v>
      </c>
    </row>
    <row r="132" spans="1:6" x14ac:dyDescent="0.3">
      <c r="A132" t="str">
        <f t="shared" si="2"/>
        <v>Towns|Yew|Druid|SHRI</v>
      </c>
      <c r="B132" s="2" t="s">
        <v>713</v>
      </c>
      <c r="C132" s="2" t="s">
        <v>1263</v>
      </c>
      <c r="D132" s="2" t="s">
        <v>1303</v>
      </c>
      <c r="E132" s="2" t="s">
        <v>184</v>
      </c>
      <c r="F132" s="2" t="s">
        <v>1304</v>
      </c>
    </row>
    <row r="133" spans="1:6" ht="26.4" x14ac:dyDescent="0.3">
      <c r="A133" t="str">
        <f t="shared" si="2"/>
        <v>Towns|Yew|Talfourd|RUNE</v>
      </c>
      <c r="B133" s="2" t="s">
        <v>713</v>
      </c>
      <c r="C133" s="2" t="s">
        <v>1263</v>
      </c>
      <c r="D133" s="2" t="s">
        <v>1311</v>
      </c>
      <c r="E133" s="2" t="s">
        <v>847</v>
      </c>
      <c r="F133" s="2" t="s">
        <v>1312</v>
      </c>
    </row>
    <row r="134" spans="1:6" x14ac:dyDescent="0.3">
      <c r="A134" t="str">
        <f t="shared" si="2"/>
        <v>Towns|Yew|Beggar|FELO</v>
      </c>
      <c r="B134" s="2" t="s">
        <v>713</v>
      </c>
      <c r="C134" s="2" t="s">
        <v>1263</v>
      </c>
      <c r="D134" s="2" t="s">
        <v>1318</v>
      </c>
      <c r="E134" s="2" t="s">
        <v>1324</v>
      </c>
      <c r="F134" s="2" t="s">
        <v>1320</v>
      </c>
    </row>
    <row r="135" spans="1:6" x14ac:dyDescent="0.3">
      <c r="A135" t="str">
        <f t="shared" si="2"/>
        <v>Towns|Yew|Vorpal|PEOP</v>
      </c>
      <c r="B135" s="2" t="s">
        <v>713</v>
      </c>
      <c r="C135" s="2" t="s">
        <v>1263</v>
      </c>
      <c r="D135" s="2" t="s">
        <v>1325</v>
      </c>
      <c r="E135" s="2" t="s">
        <v>1334</v>
      </c>
      <c r="F135" s="2" t="s">
        <v>1326</v>
      </c>
    </row>
    <row r="136" spans="1:6" ht="26.4" x14ac:dyDescent="0.3">
      <c r="A136" t="str">
        <f t="shared" si="2"/>
        <v>Towns|Yew|Frida|JUST</v>
      </c>
      <c r="B136" s="2" t="s">
        <v>713</v>
      </c>
      <c r="C136" s="2" t="s">
        <v>1263</v>
      </c>
      <c r="D136" s="2" t="s">
        <v>1336</v>
      </c>
      <c r="E136" s="2" t="s">
        <v>245</v>
      </c>
      <c r="F136" s="2" t="s">
        <v>1337</v>
      </c>
    </row>
    <row r="137" spans="1:6" x14ac:dyDescent="0.3">
      <c r="A137" t="str">
        <f t="shared" si="2"/>
        <v>Towns|Yew|Calumny|MAND</v>
      </c>
      <c r="B137" s="2" t="s">
        <v>713</v>
      </c>
      <c r="C137" s="2" t="s">
        <v>1263</v>
      </c>
      <c r="D137" s="2" t="s">
        <v>1345</v>
      </c>
      <c r="E137" s="2" t="s">
        <v>1352</v>
      </c>
      <c r="F137" s="2" t="s">
        <v>1346</v>
      </c>
    </row>
    <row r="138" spans="1:6" x14ac:dyDescent="0.3">
      <c r="A138" t="str">
        <f t="shared" si="2"/>
        <v>Towns|Yew|Ranger|RANG</v>
      </c>
      <c r="B138" s="2" t="s">
        <v>713</v>
      </c>
      <c r="C138" s="2" t="s">
        <v>1263</v>
      </c>
      <c r="D138" s="2" t="s">
        <v>609</v>
      </c>
      <c r="E138" s="2" t="s">
        <v>1362</v>
      </c>
      <c r="F138" s="2" t="s">
        <v>1355</v>
      </c>
    </row>
    <row r="139" spans="1:6" x14ac:dyDescent="0.3">
      <c r="A139" t="str">
        <f t="shared" si="2"/>
        <v>Towns|Yew|Short Round|QUES</v>
      </c>
      <c r="B139" s="2" t="s">
        <v>713</v>
      </c>
      <c r="C139" s="2" t="s">
        <v>1263</v>
      </c>
      <c r="D139" s="2" t="s">
        <v>1364</v>
      </c>
      <c r="E139" s="2" t="s">
        <v>259</v>
      </c>
      <c r="F139" s="2" t="s">
        <v>1365</v>
      </c>
    </row>
    <row r="140" spans="1:6" x14ac:dyDescent="0.3">
      <c r="A140" t="str">
        <f t="shared" si="2"/>
        <v>Towns|Yew|Guard|JUST</v>
      </c>
      <c r="B140" s="2" t="s">
        <v>713</v>
      </c>
      <c r="C140" s="2" t="s">
        <v>1263</v>
      </c>
      <c r="D140" s="2" t="s">
        <v>337</v>
      </c>
      <c r="E140" s="2" t="s">
        <v>245</v>
      </c>
      <c r="F140" s="2" t="s">
        <v>1373</v>
      </c>
    </row>
    <row r="141" spans="1:6" ht="26.4" x14ac:dyDescent="0.3">
      <c r="A141" t="str">
        <f t="shared" si="2"/>
        <v>Towns|Yew|Court Guard|COUR</v>
      </c>
      <c r="B141" s="2" t="s">
        <v>713</v>
      </c>
      <c r="C141" s="2" t="s">
        <v>1263</v>
      </c>
      <c r="D141" s="2" t="s">
        <v>1380</v>
      </c>
      <c r="E141" s="2" t="s">
        <v>237</v>
      </c>
      <c r="F141" s="2" t="s">
        <v>1381</v>
      </c>
    </row>
    <row r="142" spans="1:6" x14ac:dyDescent="0.3">
      <c r="A142" t="str">
        <f t="shared" si="2"/>
        <v>Towns|Yew|Jail Guard|FELO</v>
      </c>
      <c r="B142" s="2" t="s">
        <v>713</v>
      </c>
      <c r="C142" s="2" t="s">
        <v>1263</v>
      </c>
      <c r="D142" s="2" t="s">
        <v>1389</v>
      </c>
      <c r="E142" s="2" t="s">
        <v>1324</v>
      </c>
      <c r="F142" s="2" t="s">
        <v>1390</v>
      </c>
    </row>
    <row r="143" spans="1:6" x14ac:dyDescent="0.3">
      <c r="A143" t="str">
        <f t="shared" si="2"/>
        <v>Towns|Trinsic|Dupre|HONO</v>
      </c>
      <c r="B143" s="2" t="s">
        <v>713</v>
      </c>
      <c r="C143" s="2" t="s">
        <v>1397</v>
      </c>
      <c r="D143" s="2" t="s">
        <v>1398</v>
      </c>
      <c r="E143" s="2" t="s">
        <v>249</v>
      </c>
      <c r="F143" s="2" t="s">
        <v>1399</v>
      </c>
    </row>
    <row r="144" spans="1:6" x14ac:dyDescent="0.3">
      <c r="A144" t="str">
        <f t="shared" si="2"/>
        <v>Towns|Trinsic|Rigmore|HONO</v>
      </c>
      <c r="B144" s="2" t="s">
        <v>713</v>
      </c>
      <c r="C144" s="2" t="s">
        <v>1397</v>
      </c>
      <c r="D144" s="2" t="s">
        <v>1402</v>
      </c>
      <c r="E144" s="2" t="s">
        <v>249</v>
      </c>
      <c r="F144" s="2" t="s">
        <v>1403</v>
      </c>
    </row>
    <row r="145" spans="1:6" ht="26.4" x14ac:dyDescent="0.3">
      <c r="A145" t="str">
        <f t="shared" si="2"/>
        <v>Towns|Trinsic|Publius|NOTH</v>
      </c>
      <c r="B145" s="2" t="s">
        <v>713</v>
      </c>
      <c r="C145" s="2" t="s">
        <v>1397</v>
      </c>
      <c r="D145" s="2" t="s">
        <v>1409</v>
      </c>
      <c r="E145" s="2" t="s">
        <v>2354</v>
      </c>
      <c r="F145" s="2" t="s">
        <v>1410</v>
      </c>
    </row>
    <row r="146" spans="1:6" x14ac:dyDescent="0.3">
      <c r="A146" t="str">
        <f t="shared" si="2"/>
        <v>Towns|Trinsic|Aristotle|DIGN</v>
      </c>
      <c r="B146" s="2" t="s">
        <v>713</v>
      </c>
      <c r="C146" s="2" t="s">
        <v>1397</v>
      </c>
      <c r="D146" s="2" t="s">
        <v>1417</v>
      </c>
      <c r="E146" s="2" t="s">
        <v>1424</v>
      </c>
      <c r="F146" s="2" t="s">
        <v>1418</v>
      </c>
    </row>
    <row r="147" spans="1:6" x14ac:dyDescent="0.3">
      <c r="A147" t="str">
        <f t="shared" si="2"/>
        <v>Towns|Trinsic|Lexington|QUES</v>
      </c>
      <c r="B147" s="2" t="s">
        <v>713</v>
      </c>
      <c r="C147" s="2" t="s">
        <v>1397</v>
      </c>
      <c r="D147" s="2" t="s">
        <v>1426</v>
      </c>
      <c r="E147" s="2" t="s">
        <v>259</v>
      </c>
      <c r="F147" s="2" t="s">
        <v>1427</v>
      </c>
    </row>
    <row r="148" spans="1:6" ht="26.4" x14ac:dyDescent="0.3">
      <c r="A148" t="str">
        <f t="shared" si="2"/>
        <v>Towns|Trinsic|Kline|RUNE</v>
      </c>
      <c r="B148" s="2" t="s">
        <v>713</v>
      </c>
      <c r="C148" s="2" t="s">
        <v>1397</v>
      </c>
      <c r="D148" s="2" t="s">
        <v>1435</v>
      </c>
      <c r="E148" s="2" t="s">
        <v>847</v>
      </c>
      <c r="F148" s="2" t="s">
        <v>1436</v>
      </c>
    </row>
    <row r="149" spans="1:6" x14ac:dyDescent="0.3">
      <c r="A149" t="str">
        <f t="shared" si="2"/>
        <v>Towns|Trinsic|Winthrop|RUNE</v>
      </c>
      <c r="B149" s="2" t="s">
        <v>713</v>
      </c>
      <c r="C149" s="2" t="s">
        <v>1397</v>
      </c>
      <c r="D149" s="2" t="s">
        <v>1441</v>
      </c>
      <c r="E149" s="2" t="s">
        <v>847</v>
      </c>
      <c r="F149" s="2" t="s">
        <v>1442</v>
      </c>
    </row>
    <row r="150" spans="1:6" x14ac:dyDescent="0.3">
      <c r="A150" t="str">
        <f t="shared" si="2"/>
        <v>Towns|Trinsic|Terrin|RUNE</v>
      </c>
      <c r="B150" s="2" t="s">
        <v>713</v>
      </c>
      <c r="C150" s="2" t="s">
        <v>1397</v>
      </c>
      <c r="D150" s="2" t="s">
        <v>1448</v>
      </c>
      <c r="E150" s="2" t="s">
        <v>847</v>
      </c>
      <c r="F150" s="2" t="s">
        <v>1449</v>
      </c>
    </row>
    <row r="151" spans="1:6" x14ac:dyDescent="0.3">
      <c r="A151" t="str">
        <f t="shared" si="2"/>
        <v>Towns|Trinsic|Dergin|QUES</v>
      </c>
      <c r="B151" s="2" t="s">
        <v>713</v>
      </c>
      <c r="C151" s="2" t="s">
        <v>1397</v>
      </c>
      <c r="D151" s="2" t="s">
        <v>1453</v>
      </c>
      <c r="E151" s="2" t="s">
        <v>259</v>
      </c>
      <c r="F151" s="2" t="s">
        <v>1454</v>
      </c>
    </row>
    <row r="152" spans="1:6" x14ac:dyDescent="0.3">
      <c r="A152" t="str">
        <f t="shared" si="2"/>
        <v>Towns|Trinsic|Quix|SECR</v>
      </c>
      <c r="B152" s="2" t="s">
        <v>713</v>
      </c>
      <c r="C152" s="2" t="s">
        <v>1397</v>
      </c>
      <c r="D152" s="2" t="s">
        <v>1461</v>
      </c>
      <c r="E152" s="2" t="s">
        <v>190</v>
      </c>
      <c r="F152" s="2" t="s">
        <v>1462</v>
      </c>
    </row>
    <row r="153" spans="1:6" x14ac:dyDescent="0.3">
      <c r="A153" t="str">
        <f t="shared" si="2"/>
        <v>Towns|Trinsic|Skitle|STON</v>
      </c>
      <c r="B153" s="2" t="s">
        <v>713</v>
      </c>
      <c r="C153" s="2" t="s">
        <v>1397</v>
      </c>
      <c r="D153" s="2" t="s">
        <v>1471</v>
      </c>
      <c r="E153" s="2" t="s">
        <v>854</v>
      </c>
      <c r="F153" s="2" t="s">
        <v>1472</v>
      </c>
    </row>
    <row r="154" spans="1:6" x14ac:dyDescent="0.3">
      <c r="A154" t="str">
        <f t="shared" si="2"/>
        <v>Towns|Trinsic|Sailor Sam|SEXT</v>
      </c>
      <c r="B154" s="2" t="s">
        <v>713</v>
      </c>
      <c r="C154" s="2" t="s">
        <v>1397</v>
      </c>
      <c r="D154" s="2" t="s">
        <v>1479</v>
      </c>
      <c r="E154" s="2" t="s">
        <v>1487</v>
      </c>
      <c r="F154" s="2" t="s">
        <v>1480</v>
      </c>
    </row>
    <row r="155" spans="1:6" x14ac:dyDescent="0.3">
      <c r="A155" t="str">
        <f t="shared" si="2"/>
        <v>Towns|Trinsic|Virgil|NIGH</v>
      </c>
      <c r="B155" s="2" t="s">
        <v>713</v>
      </c>
      <c r="C155" s="2" t="s">
        <v>1397</v>
      </c>
      <c r="D155" s="2" t="s">
        <v>1489</v>
      </c>
      <c r="E155" s="2" t="s">
        <v>1495</v>
      </c>
      <c r="F155" s="2" t="s">
        <v>1490</v>
      </c>
    </row>
    <row r="156" spans="1:6" ht="26.4" x14ac:dyDescent="0.3">
      <c r="A156" t="str">
        <f t="shared" si="2"/>
        <v>Towns|Trinsic|Swindrik|MAND</v>
      </c>
      <c r="B156" s="2" t="s">
        <v>713</v>
      </c>
      <c r="C156" s="2" t="s">
        <v>1397</v>
      </c>
      <c r="D156" s="2" t="s">
        <v>1497</v>
      </c>
      <c r="E156" s="2" t="s">
        <v>1352</v>
      </c>
      <c r="F156" s="2" t="s">
        <v>1498</v>
      </c>
    </row>
    <row r="157" spans="1:6" ht="26.4" x14ac:dyDescent="0.3">
      <c r="A157" t="str">
        <f t="shared" si="2"/>
        <v>Towns|Trinsic|Gate Guard|GUAR</v>
      </c>
      <c r="B157" s="2" t="s">
        <v>713</v>
      </c>
      <c r="C157" s="2" t="s">
        <v>1397</v>
      </c>
      <c r="D157" s="2" t="s">
        <v>26</v>
      </c>
      <c r="E157" s="2" t="s">
        <v>34</v>
      </c>
      <c r="F157" s="2" t="s">
        <v>1504</v>
      </c>
    </row>
    <row r="158" spans="1:6" x14ac:dyDescent="0.3">
      <c r="A158" t="str">
        <f t="shared" si="2"/>
        <v>Towns|Skara Brae|Shamino|TRUT</v>
      </c>
      <c r="B158" s="2" t="s">
        <v>713</v>
      </c>
      <c r="C158" s="2" t="s">
        <v>1514</v>
      </c>
      <c r="D158" s="2" t="s">
        <v>1515</v>
      </c>
      <c r="E158" s="2" t="s">
        <v>233</v>
      </c>
      <c r="F158" s="2" t="s">
        <v>1516</v>
      </c>
    </row>
    <row r="159" spans="1:6" x14ac:dyDescent="0.3">
      <c r="A159" t="str">
        <f t="shared" si="2"/>
        <v>Towns|Skara Brae|Emerson|WOUN</v>
      </c>
      <c r="B159" s="2" t="s">
        <v>713</v>
      </c>
      <c r="C159" s="2" t="s">
        <v>1514</v>
      </c>
      <c r="D159" s="2" t="s">
        <v>1521</v>
      </c>
      <c r="E159" s="2" t="s">
        <v>161</v>
      </c>
      <c r="F159" s="2" t="s">
        <v>1522</v>
      </c>
    </row>
    <row r="160" spans="1:6" ht="26.4" x14ac:dyDescent="0.3">
      <c r="A160" t="str">
        <f t="shared" si="2"/>
        <v>Towns|Skara Brae|Santayana|PHIL</v>
      </c>
      <c r="B160" s="2" t="s">
        <v>713</v>
      </c>
      <c r="C160" s="2" t="s">
        <v>1514</v>
      </c>
      <c r="D160" s="2" t="s">
        <v>1530</v>
      </c>
      <c r="E160" s="2" t="s">
        <v>1537</v>
      </c>
      <c r="F160" s="2" t="s">
        <v>1531</v>
      </c>
    </row>
    <row r="161" spans="1:6" ht="26.4" x14ac:dyDescent="0.3">
      <c r="A161" t="str">
        <f t="shared" si="2"/>
        <v>Towns|Skara Brae|Presto|NIGH</v>
      </c>
      <c r="B161" s="2" t="s">
        <v>713</v>
      </c>
      <c r="C161" s="2" t="s">
        <v>1514</v>
      </c>
      <c r="D161" s="2" t="s">
        <v>1539</v>
      </c>
      <c r="E161" s="2" t="s">
        <v>1495</v>
      </c>
      <c r="F161" s="2" t="s">
        <v>1540</v>
      </c>
    </row>
    <row r="162" spans="1:6" x14ac:dyDescent="0.3">
      <c r="A162" t="str">
        <f t="shared" si="2"/>
        <v>Towns|Skara Brae|Granted|MONE</v>
      </c>
      <c r="B162" s="2" t="s">
        <v>713</v>
      </c>
      <c r="C162" s="2" t="s">
        <v>1514</v>
      </c>
      <c r="D162" s="2" t="s">
        <v>1548</v>
      </c>
      <c r="E162" s="2" t="s">
        <v>1556</v>
      </c>
      <c r="F162" s="2" t="s">
        <v>1549</v>
      </c>
    </row>
    <row r="163" spans="1:6" x14ac:dyDescent="0.3">
      <c r="A163" t="str">
        <f t="shared" si="2"/>
        <v>Towns|Skara Brae|Mitre|STON</v>
      </c>
      <c r="B163" s="2" t="s">
        <v>713</v>
      </c>
      <c r="C163" s="2" t="s">
        <v>1514</v>
      </c>
      <c r="D163" s="2" t="s">
        <v>1558</v>
      </c>
      <c r="E163" s="2" t="s">
        <v>854</v>
      </c>
      <c r="F163" s="2" t="s">
        <v>1559</v>
      </c>
    </row>
    <row r="164" spans="1:6" x14ac:dyDescent="0.3">
      <c r="A164" t="str">
        <f t="shared" si="2"/>
        <v>Towns|Skara Brae|Michaelangelo|JOUR</v>
      </c>
      <c r="B164" s="2" t="s">
        <v>713</v>
      </c>
      <c r="C164" s="2" t="s">
        <v>1514</v>
      </c>
      <c r="D164" s="2" t="s">
        <v>1572</v>
      </c>
      <c r="E164" s="2" t="s">
        <v>1563</v>
      </c>
      <c r="F164" s="2" t="s">
        <v>1573</v>
      </c>
    </row>
    <row r="165" spans="1:6" x14ac:dyDescent="0.3">
      <c r="A165" t="str">
        <f t="shared" si="2"/>
        <v>Towns|Skara Brae|Romasco|WORD</v>
      </c>
      <c r="B165" s="2" t="s">
        <v>713</v>
      </c>
      <c r="C165" s="2" t="s">
        <v>1514</v>
      </c>
      <c r="D165" s="2" t="s">
        <v>1581</v>
      </c>
      <c r="E165" s="2" t="s">
        <v>286</v>
      </c>
      <c r="F165" s="2" t="s">
        <v>1582</v>
      </c>
    </row>
    <row r="166" spans="1:6" x14ac:dyDescent="0.3">
      <c r="A166" t="str">
        <f t="shared" si="2"/>
        <v>Towns|Skara Brae|Carlyle|BELI</v>
      </c>
      <c r="B166" s="2" t="s">
        <v>713</v>
      </c>
      <c r="C166" s="2" t="s">
        <v>1514</v>
      </c>
      <c r="D166" s="2" t="s">
        <v>1589</v>
      </c>
      <c r="E166" s="2" t="s">
        <v>1594</v>
      </c>
      <c r="F166" s="2" t="s">
        <v>1590</v>
      </c>
    </row>
    <row r="167" spans="1:6" x14ac:dyDescent="0.3">
      <c r="A167" t="str">
        <f t="shared" si="2"/>
        <v>Towns|Skara Brae|Dickens|SPIR</v>
      </c>
      <c r="B167" s="2" t="s">
        <v>713</v>
      </c>
      <c r="C167" s="2" t="s">
        <v>1514</v>
      </c>
      <c r="D167" s="2" t="s">
        <v>1596</v>
      </c>
      <c r="E167" s="2" t="s">
        <v>251</v>
      </c>
      <c r="F167" s="2" t="s">
        <v>1597</v>
      </c>
    </row>
    <row r="168" spans="1:6" x14ac:dyDescent="0.3">
      <c r="A168" t="str">
        <f t="shared" si="2"/>
        <v>Towns|Skara Brae|White|DANG</v>
      </c>
      <c r="B168" s="2" t="s">
        <v>713</v>
      </c>
      <c r="C168" s="2" t="s">
        <v>1514</v>
      </c>
      <c r="D168" s="2" t="s">
        <v>1604</v>
      </c>
      <c r="E168" s="2" t="s">
        <v>515</v>
      </c>
      <c r="F168" s="2" t="s">
        <v>1605</v>
      </c>
    </row>
    <row r="169" spans="1:6" x14ac:dyDescent="0.3">
      <c r="A169" t="str">
        <f t="shared" si="2"/>
        <v>Towns|Skara Brae|Ankh of Spirituality|OM</v>
      </c>
      <c r="B169" s="2" t="s">
        <v>713</v>
      </c>
      <c r="C169" s="2" t="s">
        <v>1514</v>
      </c>
      <c r="D169" s="2" t="s">
        <v>1613</v>
      </c>
      <c r="E169" s="2" t="s">
        <v>1621</v>
      </c>
      <c r="F169" s="2" t="s">
        <v>1615</v>
      </c>
    </row>
    <row r="170" spans="1:6" ht="26.4" x14ac:dyDescent="0.3">
      <c r="A170" t="str">
        <f t="shared" si="2"/>
        <v>Towns|Skara Brae|Ambule|MANT</v>
      </c>
      <c r="B170" s="2" t="s">
        <v>713</v>
      </c>
      <c r="C170" s="2" t="s">
        <v>1514</v>
      </c>
      <c r="D170" s="2" t="s">
        <v>1623</v>
      </c>
      <c r="E170" s="2" t="s">
        <v>742</v>
      </c>
      <c r="F170" s="2" t="s">
        <v>1624</v>
      </c>
    </row>
    <row r="171" spans="1:6" x14ac:dyDescent="0.3">
      <c r="A171" t="str">
        <f t="shared" si="2"/>
        <v>Towns|Skara Brae|Isaac|STON</v>
      </c>
      <c r="B171" s="2" t="s">
        <v>713</v>
      </c>
      <c r="C171" s="2" t="s">
        <v>1514</v>
      </c>
      <c r="D171" s="2" t="s">
        <v>1633</v>
      </c>
      <c r="E171" s="2" t="s">
        <v>854</v>
      </c>
      <c r="F171" s="2" t="s">
        <v>298</v>
      </c>
    </row>
    <row r="172" spans="1:6" x14ac:dyDescent="0.3">
      <c r="A172" t="str">
        <f t="shared" si="2"/>
        <v>Towns|Magincia|Katrina|PRID</v>
      </c>
      <c r="B172" s="2" t="s">
        <v>713</v>
      </c>
      <c r="C172" s="2" t="s">
        <v>1641</v>
      </c>
      <c r="D172" s="2" t="s">
        <v>1642</v>
      </c>
      <c r="E172" s="2" t="s">
        <v>255</v>
      </c>
      <c r="F172" s="2" t="s">
        <v>166</v>
      </c>
    </row>
    <row r="173" spans="1:6" ht="26.4" x14ac:dyDescent="0.3">
      <c r="A173" t="str">
        <f t="shared" si="2"/>
        <v>Towns|Magincia|Skullface|NOBL</v>
      </c>
      <c r="B173" s="2" t="s">
        <v>713</v>
      </c>
      <c r="C173" s="2" t="s">
        <v>1641</v>
      </c>
      <c r="D173" s="2" t="s">
        <v>1656</v>
      </c>
      <c r="E173" s="2" t="s">
        <v>2355</v>
      </c>
      <c r="F173" s="2" t="s">
        <v>1657</v>
      </c>
    </row>
    <row r="174" spans="1:6" x14ac:dyDescent="0.3">
      <c r="A174" t="str">
        <f t="shared" si="2"/>
        <v>Towns|Magincia|Casperin|PRID</v>
      </c>
      <c r="B174" s="2" t="s">
        <v>713</v>
      </c>
      <c r="C174" s="2" t="s">
        <v>1641</v>
      </c>
      <c r="D174" s="2" t="s">
        <v>1663</v>
      </c>
      <c r="E174" s="2" t="s">
        <v>255</v>
      </c>
      <c r="F174" s="2" t="s">
        <v>1664</v>
      </c>
    </row>
    <row r="175" spans="1:6" x14ac:dyDescent="0.3">
      <c r="A175" t="str">
        <f t="shared" si="2"/>
        <v>Towns|Magincia|Faultless|MANT</v>
      </c>
      <c r="B175" s="2" t="s">
        <v>713</v>
      </c>
      <c r="C175" s="2" t="s">
        <v>1641</v>
      </c>
      <c r="D175" s="2" t="s">
        <v>1672</v>
      </c>
      <c r="E175" s="2" t="s">
        <v>742</v>
      </c>
      <c r="F175" s="2" t="s">
        <v>166</v>
      </c>
    </row>
    <row r="176" spans="1:6" x14ac:dyDescent="0.3">
      <c r="A176" t="str">
        <f t="shared" si="2"/>
        <v>Towns|Magincia|Heywood|MANT</v>
      </c>
      <c r="B176" s="2" t="s">
        <v>713</v>
      </c>
      <c r="C176" s="2" t="s">
        <v>1641</v>
      </c>
      <c r="D176" s="2" t="s">
        <v>1680</v>
      </c>
      <c r="E176" s="2" t="s">
        <v>742</v>
      </c>
      <c r="F176" s="2" t="s">
        <v>166</v>
      </c>
    </row>
    <row r="177" spans="1:6" x14ac:dyDescent="0.3">
      <c r="A177" t="str">
        <f t="shared" si="2"/>
        <v>Towns|Magincia|Slim|PRID</v>
      </c>
      <c r="B177" s="2" t="s">
        <v>713</v>
      </c>
      <c r="C177" s="2" t="s">
        <v>1641</v>
      </c>
      <c r="D177" s="2" t="s">
        <v>1687</v>
      </c>
      <c r="E177" s="2" t="s">
        <v>255</v>
      </c>
      <c r="F177" s="2" t="s">
        <v>1688</v>
      </c>
    </row>
    <row r="178" spans="1:6" x14ac:dyDescent="0.3">
      <c r="A178" t="str">
        <f t="shared" si="2"/>
        <v>Towns|Magincia|Banter|SHRI</v>
      </c>
      <c r="B178" s="2" t="s">
        <v>713</v>
      </c>
      <c r="C178" s="2" t="s">
        <v>1641</v>
      </c>
      <c r="D178" s="2" t="s">
        <v>1696</v>
      </c>
      <c r="E178" s="2" t="s">
        <v>184</v>
      </c>
      <c r="F178" s="2" t="s">
        <v>1697</v>
      </c>
    </row>
    <row r="179" spans="1:6" x14ac:dyDescent="0.3">
      <c r="A179" t="str">
        <f t="shared" si="2"/>
        <v>Towns|Magincia|Demitry|HORN</v>
      </c>
      <c r="B179" s="2" t="s">
        <v>713</v>
      </c>
      <c r="C179" s="2" t="s">
        <v>1641</v>
      </c>
      <c r="D179" s="2" t="s">
        <v>1704</v>
      </c>
      <c r="E179" s="2" t="s">
        <v>554</v>
      </c>
      <c r="F179" s="2" t="s">
        <v>1705</v>
      </c>
    </row>
    <row r="180" spans="1:6" x14ac:dyDescent="0.3">
      <c r="A180" t="str">
        <f t="shared" si="2"/>
        <v>Towns|Magincia|Boozer|POWE</v>
      </c>
      <c r="B180" s="2" t="s">
        <v>713</v>
      </c>
      <c r="C180" s="2" t="s">
        <v>1641</v>
      </c>
      <c r="D180" s="2" t="s">
        <v>1718</v>
      </c>
      <c r="E180" s="2" t="s">
        <v>1726</v>
      </c>
      <c r="F180" s="2" t="s">
        <v>1719</v>
      </c>
    </row>
    <row r="181" spans="1:6" x14ac:dyDescent="0.3">
      <c r="A181" t="str">
        <f t="shared" si="2"/>
        <v>Towns|Magincia|Bulbous|SPOI</v>
      </c>
      <c r="B181" s="2" t="s">
        <v>713</v>
      </c>
      <c r="C181" s="2" t="s">
        <v>1641</v>
      </c>
      <c r="D181" s="2" t="s">
        <v>1728</v>
      </c>
      <c r="E181" s="2" t="s">
        <v>1737</v>
      </c>
      <c r="F181" s="2" t="s">
        <v>1729</v>
      </c>
    </row>
    <row r="182" spans="1:6" x14ac:dyDescent="0.3">
      <c r="A182" t="str">
        <f t="shared" si="2"/>
        <v>Towns|Magincia|Splot|HUMB</v>
      </c>
      <c r="B182" s="2" t="s">
        <v>713</v>
      </c>
      <c r="C182" s="2" t="s">
        <v>1641</v>
      </c>
      <c r="D182" s="2" t="s">
        <v>1739</v>
      </c>
      <c r="E182" s="2" t="s">
        <v>763</v>
      </c>
      <c r="F182" s="2" t="s">
        <v>1740</v>
      </c>
    </row>
    <row r="183" spans="1:6" x14ac:dyDescent="0.3">
      <c r="A183" t="str">
        <f t="shared" si="2"/>
        <v>Towns|Magincia|Ruskin|RUNE</v>
      </c>
      <c r="B183" s="2" t="s">
        <v>713</v>
      </c>
      <c r="C183" s="2" t="s">
        <v>1641</v>
      </c>
      <c r="D183" s="2" t="s">
        <v>1747</v>
      </c>
      <c r="E183" s="2" t="s">
        <v>847</v>
      </c>
      <c r="F183" s="2" t="s">
        <v>1748</v>
      </c>
    </row>
    <row r="184" spans="1:6" x14ac:dyDescent="0.3">
      <c r="A184" t="str">
        <f t="shared" si="2"/>
        <v>Towns|Magincia|Virtuebane|MAGI</v>
      </c>
      <c r="B184" s="2" t="s">
        <v>713</v>
      </c>
      <c r="C184" s="2" t="s">
        <v>1641</v>
      </c>
      <c r="D184" s="2" t="s">
        <v>1762</v>
      </c>
      <c r="E184" s="2" t="s">
        <v>912</v>
      </c>
      <c r="F184" s="2" t="s">
        <v>166</v>
      </c>
    </row>
    <row r="185" spans="1:6" x14ac:dyDescent="0.3">
      <c r="A185" t="str">
        <f t="shared" si="2"/>
        <v>Villages|Paws|Wilmoore|TROU</v>
      </c>
      <c r="B185" s="2" t="s">
        <v>1768</v>
      </c>
      <c r="C185" s="2" t="s">
        <v>1769</v>
      </c>
      <c r="D185" s="2" t="s">
        <v>1770</v>
      </c>
      <c r="E185" s="2" t="s">
        <v>1775</v>
      </c>
      <c r="F185" s="2" t="s">
        <v>1771</v>
      </c>
    </row>
    <row r="186" spans="1:6" ht="26.4" x14ac:dyDescent="0.3">
      <c r="A186" t="str">
        <f t="shared" si="2"/>
        <v>Villages|Paws|Francesca|SMIT</v>
      </c>
      <c r="B186" s="2" t="s">
        <v>1768</v>
      </c>
      <c r="C186" s="2" t="s">
        <v>1769</v>
      </c>
      <c r="D186" s="2" t="s">
        <v>1777</v>
      </c>
      <c r="E186" s="2" t="s">
        <v>1786</v>
      </c>
      <c r="F186" s="2" t="s">
        <v>1778</v>
      </c>
    </row>
    <row r="187" spans="1:6" x14ac:dyDescent="0.3">
      <c r="A187" t="str">
        <f t="shared" si="2"/>
        <v>Villages|Paws|Sven|AXE</v>
      </c>
      <c r="B187" s="2" t="s">
        <v>1768</v>
      </c>
      <c r="C187" s="2" t="s">
        <v>1769</v>
      </c>
      <c r="D187" s="2" t="s">
        <v>1788</v>
      </c>
      <c r="E187" s="2" t="s">
        <v>1796</v>
      </c>
      <c r="F187" s="2" t="s">
        <v>1789</v>
      </c>
    </row>
    <row r="188" spans="1:6" x14ac:dyDescent="0.3">
      <c r="A188" t="str">
        <f t="shared" si="2"/>
        <v>Villages|Paws|Zair the Wise|WORD</v>
      </c>
      <c r="B188" s="2" t="s">
        <v>1768</v>
      </c>
      <c r="C188" s="2" t="s">
        <v>1769</v>
      </c>
      <c r="D188" s="2" t="s">
        <v>1798</v>
      </c>
      <c r="E188" s="2" t="s">
        <v>286</v>
      </c>
      <c r="F188" s="2" t="s">
        <v>1799</v>
      </c>
    </row>
    <row r="189" spans="1:6" x14ac:dyDescent="0.3">
      <c r="A189" t="str">
        <f t="shared" si="2"/>
        <v>Villages|Paws|Sal|BREW</v>
      </c>
      <c r="B189" s="2" t="s">
        <v>1768</v>
      </c>
      <c r="C189" s="2" t="s">
        <v>1769</v>
      </c>
      <c r="D189" s="2" t="s">
        <v>1804</v>
      </c>
      <c r="E189" s="2" t="s">
        <v>1813</v>
      </c>
      <c r="F189" s="2" t="s">
        <v>1805</v>
      </c>
    </row>
    <row r="190" spans="1:6" x14ac:dyDescent="0.3">
      <c r="A190" t="str">
        <f t="shared" si="2"/>
        <v>Villages|Paws|Jingles|MAST</v>
      </c>
      <c r="B190" s="2" t="s">
        <v>1768</v>
      </c>
      <c r="C190" s="2" t="s">
        <v>1769</v>
      </c>
      <c r="D190" s="2" t="s">
        <v>1815</v>
      </c>
      <c r="E190" s="2" t="s">
        <v>1820</v>
      </c>
      <c r="F190" s="2" t="s">
        <v>1442</v>
      </c>
    </row>
    <row r="191" spans="1:6" x14ac:dyDescent="0.3">
      <c r="A191" t="str">
        <f t="shared" si="2"/>
        <v>Villages|Paws|Sir Hobie|QUES</v>
      </c>
      <c r="B191" s="2" t="s">
        <v>1768</v>
      </c>
      <c r="C191" s="2" t="s">
        <v>1769</v>
      </c>
      <c r="D191" s="2" t="s">
        <v>1822</v>
      </c>
      <c r="E191" s="2" t="s">
        <v>259</v>
      </c>
      <c r="F191" s="2" t="s">
        <v>1823</v>
      </c>
    </row>
    <row r="192" spans="1:6" x14ac:dyDescent="0.3">
      <c r="A192" t="str">
        <f t="shared" si="2"/>
        <v>Villages|Paws|Damsel|RATI</v>
      </c>
      <c r="B192" s="2" t="s">
        <v>1768</v>
      </c>
      <c r="C192" s="2" t="s">
        <v>1769</v>
      </c>
      <c r="D192" s="2" t="s">
        <v>1832</v>
      </c>
      <c r="E192" s="2" t="s">
        <v>1840</v>
      </c>
      <c r="F192" s="2" t="s">
        <v>1833</v>
      </c>
    </row>
    <row r="193" spans="1:6" x14ac:dyDescent="0.3">
      <c r="A193" t="str">
        <f t="shared" si="2"/>
        <v>Villages|Paws|Wheatpin|RUNE</v>
      </c>
      <c r="B193" s="2" t="s">
        <v>1768</v>
      </c>
      <c r="C193" s="2" t="s">
        <v>1769</v>
      </c>
      <c r="D193" s="2" t="s">
        <v>1842</v>
      </c>
      <c r="E193" s="2" t="s">
        <v>847</v>
      </c>
      <c r="F193" s="2" t="s">
        <v>1843</v>
      </c>
    </row>
    <row r="194" spans="1:6" x14ac:dyDescent="0.3">
      <c r="A194" t="str">
        <f t="shared" si="2"/>
        <v>Villages|Paws|Barren|RUNE</v>
      </c>
      <c r="B194" s="2" t="s">
        <v>1768</v>
      </c>
      <c r="C194" s="2" t="s">
        <v>1769</v>
      </c>
      <c r="D194" s="2" t="s">
        <v>1631</v>
      </c>
      <c r="E194" s="2" t="s">
        <v>847</v>
      </c>
      <c r="F194" s="2" t="s">
        <v>1846</v>
      </c>
    </row>
    <row r="195" spans="1:6" x14ac:dyDescent="0.3">
      <c r="A195" t="str">
        <f t="shared" ref="A195:A242" si="3">B195&amp;"|"&amp;C195&amp;"|"&amp;D195&amp;"|"&amp;E195</f>
        <v>Villages|Paws|Pix|HEALTH</v>
      </c>
      <c r="B195" s="2" t="s">
        <v>1768</v>
      </c>
      <c r="C195" s="2" t="s">
        <v>1769</v>
      </c>
      <c r="D195" s="2" t="s">
        <v>1852</v>
      </c>
      <c r="E195" s="2" t="s">
        <v>20</v>
      </c>
      <c r="F195" s="2" t="s">
        <v>529</v>
      </c>
    </row>
    <row r="196" spans="1:6" ht="26.4" x14ac:dyDescent="0.3">
      <c r="A196" t="str">
        <f t="shared" si="3"/>
        <v>Villages|Paws|Sir Simon|MYST</v>
      </c>
      <c r="B196" s="2" t="s">
        <v>1768</v>
      </c>
      <c r="C196" s="2" t="s">
        <v>1769</v>
      </c>
      <c r="D196" s="2" t="s">
        <v>1855</v>
      </c>
      <c r="E196" s="2" t="s">
        <v>1235</v>
      </c>
      <c r="F196" s="2" t="s">
        <v>1856</v>
      </c>
    </row>
    <row r="197" spans="1:6" ht="26.4" x14ac:dyDescent="0.3">
      <c r="A197" t="str">
        <f t="shared" si="3"/>
        <v>Villages|Paws|Lady Tessa|MYST</v>
      </c>
      <c r="B197" s="2" t="s">
        <v>1768</v>
      </c>
      <c r="C197" s="2" t="s">
        <v>1769</v>
      </c>
      <c r="D197" s="2" t="s">
        <v>1863</v>
      </c>
      <c r="E197" s="2" t="s">
        <v>1235</v>
      </c>
      <c r="F197" s="2" t="s">
        <v>1856</v>
      </c>
    </row>
    <row r="198" spans="1:6" x14ac:dyDescent="0.3">
      <c r="A198" t="str">
        <f t="shared" si="3"/>
        <v>Villages|Paws|Asemly|DANC</v>
      </c>
      <c r="B198" s="2" t="s">
        <v>1768</v>
      </c>
      <c r="C198" s="2" t="s">
        <v>1769</v>
      </c>
      <c r="D198" s="2" t="s">
        <v>1867</v>
      </c>
      <c r="E198" s="2" t="s">
        <v>873</v>
      </c>
      <c r="F198" s="2" t="s">
        <v>1868</v>
      </c>
    </row>
    <row r="199" spans="1:6" ht="26.4" x14ac:dyDescent="0.3">
      <c r="A199" t="str">
        <f t="shared" si="3"/>
        <v>Villages|Paws|Little Jon|EART</v>
      </c>
      <c r="B199" s="2" t="s">
        <v>1768</v>
      </c>
      <c r="C199" s="2" t="s">
        <v>1769</v>
      </c>
      <c r="D199" s="2" t="s">
        <v>1876</v>
      </c>
      <c r="E199" s="2" t="s">
        <v>1884</v>
      </c>
      <c r="F199" s="2" t="s">
        <v>1877</v>
      </c>
    </row>
    <row r="200" spans="1:6" x14ac:dyDescent="0.3">
      <c r="A200" t="str">
        <f t="shared" si="3"/>
        <v>Villages|Vesper|Twin Gates|WELC</v>
      </c>
      <c r="B200" s="2" t="s">
        <v>1768</v>
      </c>
      <c r="C200" s="2" t="s">
        <v>1890</v>
      </c>
      <c r="D200" s="2" t="s">
        <v>1891</v>
      </c>
      <c r="E200" s="2" t="s">
        <v>423</v>
      </c>
      <c r="F200" s="2" t="s">
        <v>1892</v>
      </c>
    </row>
    <row r="201" spans="1:6" x14ac:dyDescent="0.3">
      <c r="A201" t="str">
        <f t="shared" si="3"/>
        <v>Villages|Vesper|Gate Guard|UG</v>
      </c>
      <c r="B201" s="2" t="s">
        <v>1768</v>
      </c>
      <c r="C201" s="2" t="s">
        <v>1890</v>
      </c>
      <c r="D201" s="2" t="s">
        <v>26</v>
      </c>
      <c r="E201" s="2" t="s">
        <v>1903</v>
      </c>
      <c r="F201" s="2" t="s">
        <v>1898</v>
      </c>
    </row>
    <row r="202" spans="1:6" x14ac:dyDescent="0.3">
      <c r="A202" t="str">
        <f t="shared" si="3"/>
        <v>Villages|Vesper|Servile|SKUL</v>
      </c>
      <c r="B202" s="2" t="s">
        <v>1768</v>
      </c>
      <c r="C202" s="2" t="s">
        <v>1890</v>
      </c>
      <c r="D202" s="2" t="s">
        <v>1905</v>
      </c>
      <c r="E202" s="2" t="s">
        <v>1244</v>
      </c>
      <c r="F202" s="2" t="s">
        <v>1906</v>
      </c>
    </row>
    <row r="203" spans="1:6" x14ac:dyDescent="0.3">
      <c r="A203" t="str">
        <f t="shared" si="3"/>
        <v>Villages|Vesper|Traveling Dan|TRAV</v>
      </c>
      <c r="B203" s="2" t="s">
        <v>1768</v>
      </c>
      <c r="C203" s="2" t="s">
        <v>1890</v>
      </c>
      <c r="D203" s="2" t="s">
        <v>1912</v>
      </c>
      <c r="E203" s="2" t="s">
        <v>1921</v>
      </c>
      <c r="F203" s="2" t="s">
        <v>1913</v>
      </c>
    </row>
    <row r="204" spans="1:6" x14ac:dyDescent="0.3">
      <c r="A204" t="str">
        <f t="shared" si="3"/>
        <v>Villages|Vesper|Balthasar|WORK</v>
      </c>
      <c r="B204" s="2" t="s">
        <v>1768</v>
      </c>
      <c r="C204" s="2" t="s">
        <v>1890</v>
      </c>
      <c r="D204" s="2" t="s">
        <v>1923</v>
      </c>
      <c r="E204" s="2" t="s">
        <v>1932</v>
      </c>
      <c r="F204" s="2" t="s">
        <v>1924</v>
      </c>
    </row>
    <row r="205" spans="1:6" x14ac:dyDescent="0.3">
      <c r="A205" t="str">
        <f t="shared" si="3"/>
        <v>Villages|Vesper|Simple|HUMI</v>
      </c>
      <c r="B205" s="2" t="s">
        <v>1768</v>
      </c>
      <c r="C205" s="2" t="s">
        <v>1890</v>
      </c>
      <c r="D205" s="2" t="s">
        <v>1938</v>
      </c>
      <c r="E205" s="2" t="s">
        <v>253</v>
      </c>
      <c r="F205" s="2" t="s">
        <v>1939</v>
      </c>
    </row>
    <row r="206" spans="1:6" x14ac:dyDescent="0.3">
      <c r="A206" t="str">
        <f t="shared" si="3"/>
        <v>Villages|Vesper|Gem|MANT</v>
      </c>
      <c r="B206" s="2" t="s">
        <v>1768</v>
      </c>
      <c r="C206" s="2" t="s">
        <v>1890</v>
      </c>
      <c r="D206" s="2" t="s">
        <v>1945</v>
      </c>
      <c r="E206" s="2" t="s">
        <v>742</v>
      </c>
      <c r="F206" s="2" t="s">
        <v>1946</v>
      </c>
    </row>
    <row r="207" spans="1:6" ht="26.4" x14ac:dyDescent="0.3">
      <c r="A207" t="str">
        <f t="shared" si="3"/>
        <v>Villages|Vesper|Joseph|SHRI</v>
      </c>
      <c r="B207" s="2" t="s">
        <v>1768</v>
      </c>
      <c r="C207" s="2" t="s">
        <v>1890</v>
      </c>
      <c r="D207" s="2" t="s">
        <v>1954</v>
      </c>
      <c r="E207" s="2" t="s">
        <v>184</v>
      </c>
      <c r="F207" s="2" t="s">
        <v>1955</v>
      </c>
    </row>
    <row r="208" spans="1:6" x14ac:dyDescent="0.3">
      <c r="A208" t="str">
        <f t="shared" si="3"/>
        <v>Villages|Vesper|Friday|WARN</v>
      </c>
      <c r="B208" s="2" t="s">
        <v>1768</v>
      </c>
      <c r="C208" s="2" t="s">
        <v>1890</v>
      </c>
      <c r="D208" s="2" t="s">
        <v>1961</v>
      </c>
      <c r="E208" s="2" t="s">
        <v>115</v>
      </c>
      <c r="F208" s="2" t="s">
        <v>1962</v>
      </c>
    </row>
    <row r="209" spans="1:6" x14ac:dyDescent="0.3">
      <c r="A209" t="str">
        <f t="shared" si="3"/>
        <v>Villages|Vesper|Randal|SHRI</v>
      </c>
      <c r="B209" s="2" t="s">
        <v>1768</v>
      </c>
      <c r="C209" s="2" t="s">
        <v>1890</v>
      </c>
      <c r="D209" s="2" t="s">
        <v>1969</v>
      </c>
      <c r="E209" s="2" t="s">
        <v>184</v>
      </c>
      <c r="F209" s="2" t="s">
        <v>1970</v>
      </c>
    </row>
    <row r="210" spans="1:6" x14ac:dyDescent="0.3">
      <c r="A210" t="str">
        <f t="shared" si="3"/>
        <v>Villages|Vesper|Dirgen|VIRT</v>
      </c>
      <c r="B210" s="2" t="s">
        <v>1768</v>
      </c>
      <c r="C210" s="2" t="s">
        <v>1890</v>
      </c>
      <c r="D210" s="2" t="s">
        <v>1974</v>
      </c>
      <c r="E210" s="2" t="s">
        <v>273</v>
      </c>
      <c r="F210" s="2" t="s">
        <v>611</v>
      </c>
    </row>
    <row r="211" spans="1:6" x14ac:dyDescent="0.3">
      <c r="A211" t="str">
        <f t="shared" si="3"/>
        <v>Villages|Vesper|Shazbot|NATE</v>
      </c>
      <c r="B211" s="2" t="s">
        <v>1768</v>
      </c>
      <c r="C211" s="2" t="s">
        <v>1890</v>
      </c>
      <c r="D211" s="2" t="s">
        <v>1980</v>
      </c>
      <c r="E211" s="2" t="s">
        <v>1989</v>
      </c>
      <c r="F211" s="2" t="s">
        <v>1981</v>
      </c>
    </row>
    <row r="212" spans="1:6" x14ac:dyDescent="0.3">
      <c r="A212" t="str">
        <f t="shared" si="3"/>
        <v>Villages|Vesper|Flatbush|CALU</v>
      </c>
      <c r="B212" s="2" t="s">
        <v>1768</v>
      </c>
      <c r="C212" s="2" t="s">
        <v>1890</v>
      </c>
      <c r="D212" s="2" t="s">
        <v>1991</v>
      </c>
      <c r="E212" s="2" t="s">
        <v>2000</v>
      </c>
      <c r="F212" s="2" t="s">
        <v>1992</v>
      </c>
    </row>
    <row r="213" spans="1:6" x14ac:dyDescent="0.3">
      <c r="A213" t="str">
        <f t="shared" si="3"/>
        <v>Villages|Vesper|Corkrin|VIRT</v>
      </c>
      <c r="B213" s="2" t="s">
        <v>1768</v>
      </c>
      <c r="C213" s="2" t="s">
        <v>1890</v>
      </c>
      <c r="D213" s="2" t="s">
        <v>2002</v>
      </c>
      <c r="E213" s="2" t="s">
        <v>273</v>
      </c>
      <c r="F213" s="2" t="s">
        <v>2003</v>
      </c>
    </row>
    <row r="214" spans="1:6" x14ac:dyDescent="0.3">
      <c r="A214" t="str">
        <f t="shared" si="3"/>
        <v>Villages|Vesper|Dyka|HORS</v>
      </c>
      <c r="B214" s="2" t="s">
        <v>1768</v>
      </c>
      <c r="C214" s="2" t="s">
        <v>1890</v>
      </c>
      <c r="D214" s="2" t="s">
        <v>2008</v>
      </c>
      <c r="E214" s="2" t="s">
        <v>2017</v>
      </c>
      <c r="F214" s="2" t="s">
        <v>2009</v>
      </c>
    </row>
    <row r="215" spans="1:6" x14ac:dyDescent="0.3">
      <c r="A215" t="str">
        <f t="shared" si="3"/>
        <v>Villages|Buccaneer’s Den|Roofus|BRID</v>
      </c>
      <c r="B215" s="2" t="s">
        <v>1768</v>
      </c>
      <c r="C215" s="2" t="s">
        <v>2019</v>
      </c>
      <c r="D215" s="2" t="s">
        <v>2020</v>
      </c>
      <c r="E215" s="2" t="s">
        <v>894</v>
      </c>
      <c r="F215" s="2" t="s">
        <v>2021</v>
      </c>
    </row>
    <row r="216" spans="1:6" x14ac:dyDescent="0.3">
      <c r="A216" t="str">
        <f t="shared" si="3"/>
        <v>Villages|Buccaneer’s Den|Rankbreath|HUNG</v>
      </c>
      <c r="B216" s="2" t="s">
        <v>1768</v>
      </c>
      <c r="C216" s="2" t="s">
        <v>2019</v>
      </c>
      <c r="D216" s="2" t="s">
        <v>2028</v>
      </c>
      <c r="E216" s="2" t="s">
        <v>1225</v>
      </c>
      <c r="F216" s="2" t="s">
        <v>2029</v>
      </c>
    </row>
    <row r="217" spans="1:6" x14ac:dyDescent="0.3">
      <c r="A217" t="str">
        <f t="shared" si="3"/>
        <v>Villages|Buccaneer’s Den|Sailor|LIFE</v>
      </c>
      <c r="B217" s="2" t="s">
        <v>1768</v>
      </c>
      <c r="C217" s="2" t="s">
        <v>2019</v>
      </c>
      <c r="D217" s="2" t="s">
        <v>2037</v>
      </c>
      <c r="E217" s="2" t="s">
        <v>1261</v>
      </c>
      <c r="F217" s="2" t="s">
        <v>2038</v>
      </c>
    </row>
    <row r="218" spans="1:6" x14ac:dyDescent="0.3">
      <c r="A218" t="str">
        <f t="shared" si="3"/>
        <v>Villages|Buccaneer’s Den|Silver John|RAID</v>
      </c>
      <c r="B218" s="2" t="s">
        <v>1768</v>
      </c>
      <c r="C218" s="2" t="s">
        <v>2019</v>
      </c>
      <c r="D218" s="2" t="s">
        <v>2046</v>
      </c>
      <c r="E218" s="2" t="s">
        <v>2055</v>
      </c>
      <c r="F218" s="2" t="s">
        <v>2047</v>
      </c>
    </row>
    <row r="219" spans="1:6" x14ac:dyDescent="0.3">
      <c r="A219" t="str">
        <f t="shared" si="3"/>
        <v>Villages|Buccaneer’s Den|Slysam|CLEV</v>
      </c>
      <c r="B219" s="2" t="s">
        <v>1768</v>
      </c>
      <c r="C219" s="2" t="s">
        <v>2019</v>
      </c>
      <c r="D219" s="2" t="s">
        <v>2057</v>
      </c>
      <c r="E219" s="2" t="s">
        <v>2065</v>
      </c>
      <c r="F219" s="2" t="s">
        <v>2009</v>
      </c>
    </row>
    <row r="220" spans="1:6" ht="26.4" x14ac:dyDescent="0.3">
      <c r="A220" t="str">
        <f t="shared" si="3"/>
        <v>Villages|Buccaneer’s Den|Ragnar|SKUL</v>
      </c>
      <c r="B220" s="2" t="s">
        <v>1768</v>
      </c>
      <c r="C220" s="2" t="s">
        <v>2019</v>
      </c>
      <c r="D220" s="2" t="s">
        <v>2067</v>
      </c>
      <c r="E220" s="2" t="s">
        <v>1244</v>
      </c>
      <c r="F220" s="2" t="s">
        <v>2068</v>
      </c>
    </row>
    <row r="221" spans="1:6" x14ac:dyDescent="0.3">
      <c r="A221" t="str">
        <f t="shared" si="3"/>
        <v>Villages|Buccaneer’s Den|Seanna|SLEE</v>
      </c>
      <c r="B221" s="2" t="s">
        <v>1768</v>
      </c>
      <c r="C221" s="2" t="s">
        <v>2019</v>
      </c>
      <c r="D221" s="2" t="s">
        <v>2074</v>
      </c>
      <c r="E221" s="2" t="s">
        <v>2081</v>
      </c>
      <c r="F221" s="2" t="s">
        <v>2075</v>
      </c>
    </row>
    <row r="222" spans="1:6" x14ac:dyDescent="0.3">
      <c r="A222" t="str">
        <f t="shared" si="3"/>
        <v>Villages|Buccaneer’s Den|Jeremy James Scirlock|HYTH</v>
      </c>
      <c r="B222" s="2" t="s">
        <v>1768</v>
      </c>
      <c r="C222" s="2" t="s">
        <v>2019</v>
      </c>
      <c r="D222" s="2" t="s">
        <v>2083</v>
      </c>
      <c r="E222" s="2" t="s">
        <v>2090</v>
      </c>
      <c r="F222" s="2" t="s">
        <v>2084</v>
      </c>
    </row>
    <row r="223" spans="1:6" x14ac:dyDescent="0.3">
      <c r="A223" t="str">
        <f t="shared" si="3"/>
        <v>Villages|Buccaneer’s Den|Starlight|MIX</v>
      </c>
      <c r="B223" s="2" t="s">
        <v>1768</v>
      </c>
      <c r="C223" s="2" t="s">
        <v>2019</v>
      </c>
      <c r="D223" s="2" t="s">
        <v>2092</v>
      </c>
      <c r="E223" s="2" t="s">
        <v>2098</v>
      </c>
      <c r="F223" s="2" t="s">
        <v>611</v>
      </c>
    </row>
    <row r="224" spans="1:6" x14ac:dyDescent="0.3">
      <c r="A224" t="str">
        <f t="shared" si="3"/>
        <v>Villages|Buccaneer’s Den|Brigant|IT</v>
      </c>
      <c r="B224" s="2" t="s">
        <v>1768</v>
      </c>
      <c r="C224" s="2" t="s">
        <v>2019</v>
      </c>
      <c r="D224" s="2" t="s">
        <v>2100</v>
      </c>
      <c r="E224" s="2" t="s">
        <v>2107</v>
      </c>
      <c r="F224" s="2" t="s">
        <v>2101</v>
      </c>
    </row>
    <row r="225" spans="1:6" x14ac:dyDescent="0.3">
      <c r="A225" t="str">
        <f t="shared" si="3"/>
        <v>Villages|Buccaneer’s Den|Boris|ITEM</v>
      </c>
      <c r="B225" s="2" t="s">
        <v>1768</v>
      </c>
      <c r="C225" s="2" t="s">
        <v>2019</v>
      </c>
      <c r="D225" s="2" t="s">
        <v>2109</v>
      </c>
      <c r="E225" s="2" t="s">
        <v>2116</v>
      </c>
      <c r="F225" s="2" t="s">
        <v>2110</v>
      </c>
    </row>
    <row r="226" spans="1:6" x14ac:dyDescent="0.3">
      <c r="A226" t="str">
        <f t="shared" si="3"/>
        <v>Villages|Buccaneer’s Den|Ignap|DOOM</v>
      </c>
      <c r="B226" s="2" t="s">
        <v>1768</v>
      </c>
      <c r="C226" s="2" t="s">
        <v>2019</v>
      </c>
      <c r="D226" s="2" t="s">
        <v>2118</v>
      </c>
      <c r="E226" s="2" t="s">
        <v>2125</v>
      </c>
      <c r="F226" s="2" t="s">
        <v>2119</v>
      </c>
    </row>
    <row r="227" spans="1:6" x14ac:dyDescent="0.3">
      <c r="A227" t="str">
        <f t="shared" si="3"/>
        <v>Villages|Buccaneer’s Den|Green Beard|NOWH</v>
      </c>
      <c r="B227" s="2" t="s">
        <v>1768</v>
      </c>
      <c r="C227" s="2" t="s">
        <v>2019</v>
      </c>
      <c r="D227" s="2" t="s">
        <v>2127</v>
      </c>
      <c r="E227" s="2" t="s">
        <v>2356</v>
      </c>
      <c r="F227" s="2" t="s">
        <v>2128</v>
      </c>
    </row>
    <row r="228" spans="1:6" x14ac:dyDescent="0.3">
      <c r="A228" t="str">
        <f t="shared" si="3"/>
        <v>Villages|Buccaneer’s Den|Marsor|VINT</v>
      </c>
      <c r="B228" s="2" t="s">
        <v>1768</v>
      </c>
      <c r="C228" s="2" t="s">
        <v>2019</v>
      </c>
      <c r="D228" s="2" t="s">
        <v>2135</v>
      </c>
      <c r="E228" s="2" t="s">
        <v>2143</v>
      </c>
      <c r="F228" s="2" t="s">
        <v>2136</v>
      </c>
    </row>
    <row r="229" spans="1:6" x14ac:dyDescent="0.3">
      <c r="A229" t="str">
        <f t="shared" si="3"/>
        <v>Villages|Buccaneer’s Den|Dancek|MACH</v>
      </c>
      <c r="B229" s="2" t="s">
        <v>1768</v>
      </c>
      <c r="C229" s="2" t="s">
        <v>2019</v>
      </c>
      <c r="D229" s="2" t="s">
        <v>2145</v>
      </c>
      <c r="E229" s="2" t="s">
        <v>2153</v>
      </c>
      <c r="F229" s="2" t="s">
        <v>2146</v>
      </c>
    </row>
    <row r="230" spans="1:6" ht="26.4" x14ac:dyDescent="0.3">
      <c r="A230" t="str">
        <f t="shared" si="3"/>
        <v>Villages|Buccaneer’s Den|Sniflet|SOME</v>
      </c>
      <c r="B230" s="2" t="s">
        <v>1768</v>
      </c>
      <c r="C230" s="2" t="s">
        <v>2019</v>
      </c>
      <c r="D230" s="2" t="s">
        <v>2155</v>
      </c>
      <c r="E230" s="2" t="s">
        <v>2164</v>
      </c>
      <c r="F230" s="2" t="s">
        <v>2156</v>
      </c>
    </row>
    <row r="231" spans="1:6" x14ac:dyDescent="0.3">
      <c r="A231" t="str">
        <f t="shared" si="3"/>
        <v>Villages|Cove|Allen|SHIP</v>
      </c>
      <c r="B231" s="2" t="s">
        <v>1768</v>
      </c>
      <c r="C231" s="2" t="s">
        <v>2166</v>
      </c>
      <c r="D231" s="2" t="s">
        <v>2167</v>
      </c>
      <c r="E231" s="2" t="s">
        <v>596</v>
      </c>
      <c r="F231" s="2" t="s">
        <v>2168</v>
      </c>
    </row>
    <row r="232" spans="1:6" x14ac:dyDescent="0.3">
      <c r="A232" t="str">
        <f t="shared" si="3"/>
        <v>Villages|Cove|Frontis|PEAC</v>
      </c>
      <c r="B232" s="2" t="s">
        <v>1768</v>
      </c>
      <c r="C232" s="2" t="s">
        <v>2166</v>
      </c>
      <c r="D232" s="2" t="s">
        <v>2174</v>
      </c>
      <c r="E232" s="2" t="s">
        <v>173</v>
      </c>
      <c r="F232" s="2" t="s">
        <v>205</v>
      </c>
    </row>
    <row r="233" spans="1:6" x14ac:dyDescent="0.3">
      <c r="A233" t="str">
        <f t="shared" si="3"/>
        <v>Villages|Cove|Sloven|STON</v>
      </c>
      <c r="B233" s="2" t="s">
        <v>1768</v>
      </c>
      <c r="C233" s="2" t="s">
        <v>2166</v>
      </c>
      <c r="D233" s="2" t="s">
        <v>2179</v>
      </c>
      <c r="E233" s="2" t="s">
        <v>854</v>
      </c>
      <c r="F233" s="2" t="s">
        <v>907</v>
      </c>
    </row>
    <row r="234" spans="1:6" x14ac:dyDescent="0.3">
      <c r="A234" t="str">
        <f t="shared" si="3"/>
        <v>Villages|Cove|Mentorian|GATE</v>
      </c>
      <c r="B234" s="2" t="s">
        <v>1768</v>
      </c>
      <c r="C234" s="2" t="s">
        <v>2166</v>
      </c>
      <c r="D234" s="2" t="s">
        <v>2187</v>
      </c>
      <c r="E234" s="2" t="s">
        <v>504</v>
      </c>
      <c r="F234" s="2" t="s">
        <v>2188</v>
      </c>
    </row>
    <row r="235" spans="1:6" x14ac:dyDescent="0.3">
      <c r="A235" t="str">
        <f t="shared" si="3"/>
        <v>Villages|Cove|Ankh|CHAM</v>
      </c>
      <c r="B235" s="2" t="s">
        <v>1768</v>
      </c>
      <c r="C235" s="2" t="s">
        <v>2166</v>
      </c>
      <c r="D235" s="2" t="s">
        <v>2194</v>
      </c>
      <c r="E235" s="2" t="s">
        <v>2200</v>
      </c>
      <c r="F235" s="2" t="s">
        <v>2196</v>
      </c>
    </row>
    <row r="236" spans="1:6" x14ac:dyDescent="0.3">
      <c r="A236" t="str">
        <f t="shared" si="3"/>
        <v>Villages|Cove|Paul|PROB</v>
      </c>
      <c r="B236" s="2" t="s">
        <v>1768</v>
      </c>
      <c r="C236" s="2" t="s">
        <v>2166</v>
      </c>
      <c r="D236" s="2" t="s">
        <v>2202</v>
      </c>
      <c r="E236" s="2" t="s">
        <v>2208</v>
      </c>
      <c r="F236" s="2" t="s">
        <v>2203</v>
      </c>
    </row>
    <row r="237" spans="1:6" x14ac:dyDescent="0.3">
      <c r="A237" t="str">
        <f t="shared" si="3"/>
        <v>Villages|Cove|Linda|WORL</v>
      </c>
      <c r="B237" s="2" t="s">
        <v>1768</v>
      </c>
      <c r="C237" s="2" t="s">
        <v>2166</v>
      </c>
      <c r="D237" s="2" t="s">
        <v>2210</v>
      </c>
      <c r="E237" s="2" t="s">
        <v>2215</v>
      </c>
      <c r="F237" s="2" t="s">
        <v>1132</v>
      </c>
    </row>
    <row r="238" spans="1:6" x14ac:dyDescent="0.3">
      <c r="A238" t="str">
        <f t="shared" si="3"/>
        <v>Villages|Cove|Merlin|GATE</v>
      </c>
      <c r="B238" s="2" t="s">
        <v>1768</v>
      </c>
      <c r="C238" s="2" t="s">
        <v>2166</v>
      </c>
      <c r="D238" s="2" t="s">
        <v>2217</v>
      </c>
      <c r="E238" s="2" t="s">
        <v>504</v>
      </c>
      <c r="F238" s="2" t="s">
        <v>2218</v>
      </c>
    </row>
    <row r="239" spans="1:6" x14ac:dyDescent="0.3">
      <c r="A239" t="str">
        <f t="shared" si="3"/>
        <v>Villages|Cove|Draconian|RELA</v>
      </c>
      <c r="B239" s="2" t="s">
        <v>1768</v>
      </c>
      <c r="C239" s="2" t="s">
        <v>2166</v>
      </c>
      <c r="D239" s="2" t="s">
        <v>2224</v>
      </c>
      <c r="E239" s="2" t="s">
        <v>2230</v>
      </c>
      <c r="F239" s="2" t="s">
        <v>2225</v>
      </c>
    </row>
    <row r="240" spans="1:6" ht="26.4" x14ac:dyDescent="0.3">
      <c r="A240" t="str">
        <f t="shared" si="3"/>
        <v>Villages|Cove|Rabindranath Tagore|HEAR</v>
      </c>
      <c r="B240" s="2" t="s">
        <v>1768</v>
      </c>
      <c r="C240" s="2" t="s">
        <v>2166</v>
      </c>
      <c r="D240" s="2" t="s">
        <v>2237</v>
      </c>
      <c r="E240" s="2" t="s">
        <v>1206</v>
      </c>
      <c r="F240" s="2" t="s">
        <v>2238</v>
      </c>
    </row>
    <row r="241" spans="1:6" x14ac:dyDescent="0.3">
      <c r="A241" t="str">
        <f t="shared" si="3"/>
        <v>Villages|Cove|Brother Zair|WORD</v>
      </c>
      <c r="B241" s="2" t="s">
        <v>1768</v>
      </c>
      <c r="C241" s="2" t="s">
        <v>2166</v>
      </c>
      <c r="D241" s="2" t="s">
        <v>2245</v>
      </c>
      <c r="E241" s="2" t="s">
        <v>286</v>
      </c>
      <c r="F241" s="2" t="s">
        <v>2246</v>
      </c>
    </row>
    <row r="242" spans="1:6" x14ac:dyDescent="0.3">
      <c r="A242" t="str">
        <f t="shared" si="3"/>
        <v>Villages|Cove|Charm|AXIO</v>
      </c>
      <c r="B242" s="2" t="s">
        <v>1768</v>
      </c>
      <c r="C242" s="2" t="s">
        <v>2166</v>
      </c>
      <c r="D242" s="2" t="s">
        <v>2263</v>
      </c>
      <c r="E242" s="2" t="s">
        <v>2270</v>
      </c>
      <c r="F242" s="2" t="s">
        <v>2264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EE1F-1C82-4E27-8E4C-F37AA3691D63}">
  <dimension ref="A1:F2"/>
  <sheetViews>
    <sheetView workbookViewId="0">
      <selection activeCell="F2" sqref="F2"/>
    </sheetView>
  </sheetViews>
  <sheetFormatPr defaultRowHeight="14.4" x14ac:dyDescent="0.3"/>
  <cols>
    <col min="1" max="6" width="21.6640625" customWidth="1"/>
  </cols>
  <sheetData>
    <row r="1" spans="1:6" x14ac:dyDescent="0.3">
      <c r="A1" s="10" t="s">
        <v>2433</v>
      </c>
      <c r="B1" s="10" t="s">
        <v>2434</v>
      </c>
      <c r="C1" s="10" t="s">
        <v>2437</v>
      </c>
      <c r="D1" s="11" t="s">
        <v>2433</v>
      </c>
      <c r="E1" s="11" t="s">
        <v>2435</v>
      </c>
      <c r="F1" s="11" t="s">
        <v>2437</v>
      </c>
    </row>
    <row r="2" spans="1:6" x14ac:dyDescent="0.3">
      <c r="A2" t="s">
        <v>1263</v>
      </c>
      <c r="B2" t="s">
        <v>2436</v>
      </c>
      <c r="C2" t="s">
        <v>2438</v>
      </c>
      <c r="D2" t="s">
        <v>2439</v>
      </c>
      <c r="E2" t="s">
        <v>2440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8808-B224-4412-8ADD-D4E58CA88804}">
  <sheetPr>
    <tabColor theme="1"/>
  </sheetPr>
  <dimension ref="A1:I30"/>
  <sheetViews>
    <sheetView workbookViewId="0">
      <selection activeCell="K6" sqref="K6"/>
    </sheetView>
  </sheetViews>
  <sheetFormatPr defaultRowHeight="14.4" x14ac:dyDescent="0.3"/>
  <cols>
    <col min="1" max="1" width="11.21875" bestFit="1" customWidth="1"/>
    <col min="2" max="2" width="12.33203125" bestFit="1" customWidth="1"/>
    <col min="3" max="3" width="11.109375" bestFit="1" customWidth="1"/>
    <col min="4" max="4" width="9.44140625" bestFit="1" customWidth="1"/>
    <col min="5" max="5" width="48.21875" customWidth="1"/>
  </cols>
  <sheetData>
    <row r="1" spans="1:9" x14ac:dyDescent="0.3">
      <c r="A1" s="1" t="s">
        <v>0</v>
      </c>
      <c r="B1" s="1" t="s">
        <v>1</v>
      </c>
      <c r="C1" s="1" t="s">
        <v>2</v>
      </c>
      <c r="D1" s="1" t="s">
        <v>3</v>
      </c>
      <c r="E1" s="1" t="s">
        <v>4</v>
      </c>
    </row>
    <row r="2" spans="1:9" ht="26.4" x14ac:dyDescent="0.3">
      <c r="A2" s="2" t="s">
        <v>2292</v>
      </c>
      <c r="B2" s="2" t="s">
        <v>2293</v>
      </c>
      <c r="C2" s="2" t="s">
        <v>2293</v>
      </c>
      <c r="D2" s="2" t="s">
        <v>2278</v>
      </c>
      <c r="E2" s="2" t="s">
        <v>2294</v>
      </c>
      <c r="F2" s="2"/>
      <c r="G2" s="2"/>
      <c r="H2" s="2"/>
      <c r="I2" s="2"/>
    </row>
    <row r="3" spans="1:9" ht="66" x14ac:dyDescent="0.3">
      <c r="A3" s="2" t="s">
        <v>2292</v>
      </c>
      <c r="B3" s="2" t="s">
        <v>2293</v>
      </c>
      <c r="C3" s="2" t="s">
        <v>2293</v>
      </c>
      <c r="D3" s="2" t="s">
        <v>2295</v>
      </c>
      <c r="E3" s="2" t="s">
        <v>2296</v>
      </c>
      <c r="F3" s="2"/>
      <c r="G3" s="2"/>
      <c r="H3" s="2"/>
      <c r="I3" s="2"/>
    </row>
    <row r="4" spans="1:9" ht="66" x14ac:dyDescent="0.3">
      <c r="A4" s="2" t="s">
        <v>2292</v>
      </c>
      <c r="B4" s="2" t="s">
        <v>2293</v>
      </c>
      <c r="C4" s="2" t="s">
        <v>2293</v>
      </c>
      <c r="D4" s="2" t="s">
        <v>2297</v>
      </c>
      <c r="E4" s="2" t="s">
        <v>2298</v>
      </c>
      <c r="F4" s="2"/>
      <c r="G4" s="2"/>
      <c r="H4" s="2"/>
      <c r="I4" s="2"/>
    </row>
    <row r="5" spans="1:9" ht="52.8" x14ac:dyDescent="0.3">
      <c r="A5" s="2" t="s">
        <v>2292</v>
      </c>
      <c r="B5" s="2" t="s">
        <v>2293</v>
      </c>
      <c r="C5" s="2" t="s">
        <v>2293</v>
      </c>
      <c r="D5" s="2" t="s">
        <v>2299</v>
      </c>
      <c r="E5" s="2" t="s">
        <v>2300</v>
      </c>
      <c r="F5" s="2"/>
      <c r="G5" s="2"/>
      <c r="H5" s="2"/>
      <c r="I5" s="2"/>
    </row>
    <row r="6" spans="1:9" ht="66" x14ac:dyDescent="0.3">
      <c r="A6" s="2" t="s">
        <v>2292</v>
      </c>
      <c r="B6" s="2" t="s">
        <v>2293</v>
      </c>
      <c r="C6" s="2" t="s">
        <v>2293</v>
      </c>
      <c r="D6" s="2" t="s">
        <v>2301</v>
      </c>
      <c r="E6" s="2" t="s">
        <v>2302</v>
      </c>
      <c r="F6" s="2"/>
      <c r="G6" s="2"/>
      <c r="H6" s="2"/>
      <c r="I6" s="2"/>
    </row>
    <row r="7" spans="1:9" ht="66" x14ac:dyDescent="0.3">
      <c r="A7" s="2" t="s">
        <v>2292</v>
      </c>
      <c r="B7" s="2" t="s">
        <v>2293</v>
      </c>
      <c r="C7" s="2" t="s">
        <v>2293</v>
      </c>
      <c r="D7" s="2" t="s">
        <v>2303</v>
      </c>
      <c r="E7" s="2" t="s">
        <v>2304</v>
      </c>
      <c r="F7" s="2"/>
      <c r="G7" s="2"/>
      <c r="H7" s="2"/>
      <c r="I7" s="2"/>
    </row>
    <row r="8" spans="1:9" ht="52.8" x14ac:dyDescent="0.3">
      <c r="A8" s="2" t="s">
        <v>2292</v>
      </c>
      <c r="B8" s="2" t="s">
        <v>2293</v>
      </c>
      <c r="C8" s="2" t="s">
        <v>2293</v>
      </c>
      <c r="D8" s="2" t="s">
        <v>2305</v>
      </c>
      <c r="E8" s="2" t="s">
        <v>2306</v>
      </c>
      <c r="F8" s="2"/>
      <c r="G8" s="2"/>
      <c r="H8" s="2"/>
      <c r="I8" s="2"/>
    </row>
    <row r="9" spans="1:9" ht="52.8" x14ac:dyDescent="0.3">
      <c r="A9" s="2" t="s">
        <v>2292</v>
      </c>
      <c r="B9" s="2" t="s">
        <v>2293</v>
      </c>
      <c r="C9" s="2" t="s">
        <v>2293</v>
      </c>
      <c r="D9" s="2" t="s">
        <v>2307</v>
      </c>
      <c r="E9" s="2" t="s">
        <v>2308</v>
      </c>
      <c r="F9" s="2"/>
      <c r="G9" s="2"/>
      <c r="H9" s="2"/>
      <c r="I9" s="2"/>
    </row>
    <row r="10" spans="1:9" ht="52.8" x14ac:dyDescent="0.3">
      <c r="A10" s="2" t="s">
        <v>2292</v>
      </c>
      <c r="B10" s="2" t="s">
        <v>2293</v>
      </c>
      <c r="C10" s="2" t="s">
        <v>2293</v>
      </c>
      <c r="D10" s="2" t="s">
        <v>2309</v>
      </c>
      <c r="E10" s="2" t="s">
        <v>2310</v>
      </c>
      <c r="F10" s="2"/>
      <c r="G10" s="2"/>
      <c r="H10" s="2"/>
      <c r="I10" s="2"/>
    </row>
    <row r="11" spans="1:9" ht="66" x14ac:dyDescent="0.3">
      <c r="A11" s="2" t="s">
        <v>2292</v>
      </c>
      <c r="B11" s="2" t="s">
        <v>2293</v>
      </c>
      <c r="C11" s="2" t="s">
        <v>2293</v>
      </c>
      <c r="D11" s="2" t="s">
        <v>2311</v>
      </c>
      <c r="E11" s="2" t="s">
        <v>2312</v>
      </c>
      <c r="F11" s="2"/>
      <c r="G11" s="2"/>
      <c r="H11" s="2"/>
      <c r="I11" s="2"/>
    </row>
    <row r="12" spans="1:9" ht="66" x14ac:dyDescent="0.3">
      <c r="A12" s="2" t="s">
        <v>2292</v>
      </c>
      <c r="B12" s="2" t="s">
        <v>2293</v>
      </c>
      <c r="C12" s="2" t="s">
        <v>2293</v>
      </c>
      <c r="D12" s="2" t="s">
        <v>2313</v>
      </c>
      <c r="E12" s="2" t="s">
        <v>2314</v>
      </c>
      <c r="F12" s="2"/>
      <c r="G12" s="2"/>
      <c r="H12" s="2"/>
      <c r="I12" s="2"/>
    </row>
    <row r="13" spans="1:9" ht="66" x14ac:dyDescent="0.3">
      <c r="A13" s="2" t="s">
        <v>2292</v>
      </c>
      <c r="B13" s="2" t="s">
        <v>2293</v>
      </c>
      <c r="C13" s="2" t="s">
        <v>2293</v>
      </c>
      <c r="D13" s="2" t="s">
        <v>2315</v>
      </c>
      <c r="E13" s="2" t="s">
        <v>2316</v>
      </c>
      <c r="F13" s="2"/>
      <c r="G13" s="2"/>
      <c r="H13" s="2"/>
      <c r="I13" s="2"/>
    </row>
    <row r="14" spans="1:9" ht="52.8" x14ac:dyDescent="0.3">
      <c r="A14" s="2" t="s">
        <v>2292</v>
      </c>
      <c r="B14" s="2" t="s">
        <v>2293</v>
      </c>
      <c r="C14" s="2" t="s">
        <v>2293</v>
      </c>
      <c r="D14" s="2" t="s">
        <v>2317</v>
      </c>
      <c r="E14" s="2" t="s">
        <v>2318</v>
      </c>
      <c r="F14" s="2"/>
      <c r="G14" s="2"/>
      <c r="H14" s="2"/>
      <c r="I14" s="2"/>
    </row>
    <row r="15" spans="1:9" ht="66" x14ac:dyDescent="0.3">
      <c r="A15" s="2" t="s">
        <v>2292</v>
      </c>
      <c r="B15" s="2" t="s">
        <v>2293</v>
      </c>
      <c r="C15" s="2" t="s">
        <v>2293</v>
      </c>
      <c r="D15" s="2" t="s">
        <v>2319</v>
      </c>
      <c r="E15" s="2" t="s">
        <v>2320</v>
      </c>
      <c r="F15" s="2"/>
      <c r="G15" s="2"/>
      <c r="H15" s="2"/>
      <c r="I15" s="2"/>
    </row>
    <row r="16" spans="1:9" ht="52.8" x14ac:dyDescent="0.3">
      <c r="A16" s="2" t="s">
        <v>2292</v>
      </c>
      <c r="B16" s="2" t="s">
        <v>2293</v>
      </c>
      <c r="C16" s="2" t="s">
        <v>2293</v>
      </c>
      <c r="D16" s="2" t="s">
        <v>2321</v>
      </c>
      <c r="E16" s="2" t="s">
        <v>2322</v>
      </c>
      <c r="F16" s="2"/>
      <c r="G16" s="2"/>
      <c r="H16" s="2"/>
      <c r="I16" s="2"/>
    </row>
    <row r="17" spans="1:9" ht="39.6" x14ac:dyDescent="0.3">
      <c r="A17" s="2" t="s">
        <v>2292</v>
      </c>
      <c r="B17" s="2" t="s">
        <v>2293</v>
      </c>
      <c r="C17" s="2" t="s">
        <v>2293</v>
      </c>
      <c r="D17" s="2" t="s">
        <v>2323</v>
      </c>
      <c r="E17" s="2" t="s">
        <v>2324</v>
      </c>
      <c r="F17" s="2"/>
      <c r="G17" s="2"/>
      <c r="H17" s="2"/>
      <c r="I17" s="2"/>
    </row>
    <row r="18" spans="1:9" ht="52.8" x14ac:dyDescent="0.3">
      <c r="A18" s="2" t="s">
        <v>2292</v>
      </c>
      <c r="B18" s="2" t="s">
        <v>2293</v>
      </c>
      <c r="C18" s="2" t="s">
        <v>2293</v>
      </c>
      <c r="D18" s="2" t="s">
        <v>2325</v>
      </c>
      <c r="E18" s="2" t="s">
        <v>2326</v>
      </c>
      <c r="F18" s="2"/>
      <c r="G18" s="2"/>
      <c r="H18" s="2"/>
      <c r="I18" s="2"/>
    </row>
    <row r="19" spans="1:9" ht="39.6" x14ac:dyDescent="0.3">
      <c r="A19" s="2" t="s">
        <v>2292</v>
      </c>
      <c r="B19" s="2" t="s">
        <v>2293</v>
      </c>
      <c r="C19" s="2" t="s">
        <v>2293</v>
      </c>
      <c r="D19" s="2" t="s">
        <v>2327</v>
      </c>
      <c r="E19" s="2" t="s">
        <v>2328</v>
      </c>
      <c r="F19" s="2"/>
      <c r="G19" s="2"/>
      <c r="H19" s="2"/>
      <c r="I19" s="2"/>
    </row>
    <row r="20" spans="1:9" ht="52.8" x14ac:dyDescent="0.3">
      <c r="A20" s="2" t="s">
        <v>2292</v>
      </c>
      <c r="B20" s="2" t="s">
        <v>2293</v>
      </c>
      <c r="C20" s="2" t="s">
        <v>2293</v>
      </c>
      <c r="D20" s="2" t="s">
        <v>2329</v>
      </c>
      <c r="E20" s="2" t="s">
        <v>2330</v>
      </c>
      <c r="F20" s="2"/>
      <c r="G20" s="2"/>
      <c r="H20" s="2"/>
      <c r="I20" s="2"/>
    </row>
    <row r="21" spans="1:9" ht="52.8" x14ac:dyDescent="0.3">
      <c r="A21" s="2" t="s">
        <v>2292</v>
      </c>
      <c r="B21" s="2" t="s">
        <v>2293</v>
      </c>
      <c r="C21" s="2" t="s">
        <v>2293</v>
      </c>
      <c r="D21" s="2" t="s">
        <v>2331</v>
      </c>
      <c r="E21" s="2" t="s">
        <v>2332</v>
      </c>
      <c r="F21" s="2"/>
      <c r="G21" s="2"/>
      <c r="H21" s="2"/>
      <c r="I21" s="2"/>
    </row>
    <row r="22" spans="1:9" ht="52.8" x14ac:dyDescent="0.3">
      <c r="A22" s="2" t="s">
        <v>2292</v>
      </c>
      <c r="B22" s="2" t="s">
        <v>2293</v>
      </c>
      <c r="C22" s="2" t="s">
        <v>2293</v>
      </c>
      <c r="D22" s="2" t="s">
        <v>2333</v>
      </c>
      <c r="E22" s="2" t="s">
        <v>2334</v>
      </c>
      <c r="F22" s="2"/>
      <c r="G22" s="2"/>
      <c r="H22" s="2"/>
      <c r="I22" s="2"/>
    </row>
    <row r="23" spans="1:9" ht="52.8" x14ac:dyDescent="0.3">
      <c r="A23" s="2" t="s">
        <v>2292</v>
      </c>
      <c r="B23" s="2" t="s">
        <v>2293</v>
      </c>
      <c r="C23" s="2" t="s">
        <v>2293</v>
      </c>
      <c r="D23" s="2" t="s">
        <v>2335</v>
      </c>
      <c r="E23" s="2" t="s">
        <v>2336</v>
      </c>
      <c r="F23" s="2"/>
      <c r="G23" s="2"/>
      <c r="H23" s="2"/>
      <c r="I23" s="2"/>
    </row>
    <row r="24" spans="1:9" ht="52.8" x14ac:dyDescent="0.3">
      <c r="A24" s="2" t="s">
        <v>2292</v>
      </c>
      <c r="B24" s="2" t="s">
        <v>2293</v>
      </c>
      <c r="C24" s="2" t="s">
        <v>2293</v>
      </c>
      <c r="D24" s="2" t="s">
        <v>2337</v>
      </c>
      <c r="E24" s="2" t="s">
        <v>2338</v>
      </c>
      <c r="F24" s="2"/>
      <c r="G24" s="2"/>
      <c r="H24" s="2"/>
      <c r="I24" s="2"/>
    </row>
    <row r="25" spans="1:9" ht="66" x14ac:dyDescent="0.3">
      <c r="A25" s="2" t="s">
        <v>2292</v>
      </c>
      <c r="B25" s="2" t="s">
        <v>2293</v>
      </c>
      <c r="C25" s="2" t="s">
        <v>2293</v>
      </c>
      <c r="D25" s="2" t="s">
        <v>2339</v>
      </c>
      <c r="E25" s="2" t="s">
        <v>2340</v>
      </c>
      <c r="F25" s="2"/>
      <c r="G25" s="2"/>
      <c r="H25" s="2"/>
      <c r="I25" s="2"/>
    </row>
    <row r="26" spans="1:9" ht="52.8" x14ac:dyDescent="0.3">
      <c r="A26" s="2" t="s">
        <v>2292</v>
      </c>
      <c r="B26" s="2" t="s">
        <v>2293</v>
      </c>
      <c r="C26" s="2" t="s">
        <v>2293</v>
      </c>
      <c r="D26" s="2" t="s">
        <v>2341</v>
      </c>
      <c r="E26" s="2" t="s">
        <v>2342</v>
      </c>
      <c r="F26" s="2"/>
      <c r="G26" s="2"/>
      <c r="H26" s="2"/>
      <c r="I26" s="2"/>
    </row>
    <row r="27" spans="1:9" ht="52.8" x14ac:dyDescent="0.3">
      <c r="A27" s="2" t="s">
        <v>2292</v>
      </c>
      <c r="B27" s="2" t="s">
        <v>2293</v>
      </c>
      <c r="C27" s="2" t="s">
        <v>2293</v>
      </c>
      <c r="D27" s="2" t="s">
        <v>2343</v>
      </c>
      <c r="E27" s="2" t="s">
        <v>2344</v>
      </c>
      <c r="F27" s="2"/>
      <c r="G27" s="2"/>
      <c r="H27" s="2"/>
      <c r="I27" s="2"/>
    </row>
    <row r="28" spans="1:9" ht="66" x14ac:dyDescent="0.3">
      <c r="A28" s="2" t="s">
        <v>2292</v>
      </c>
      <c r="B28" s="2" t="s">
        <v>2293</v>
      </c>
      <c r="C28" s="2" t="s">
        <v>2293</v>
      </c>
      <c r="D28" s="2" t="s">
        <v>2345</v>
      </c>
      <c r="E28" s="2" t="s">
        <v>2346</v>
      </c>
      <c r="F28" s="2"/>
      <c r="G28" s="2"/>
      <c r="H28" s="2"/>
      <c r="I28" s="2"/>
    </row>
    <row r="29" spans="1:9" ht="52.8" x14ac:dyDescent="0.3">
      <c r="A29" s="2" t="s">
        <v>2292</v>
      </c>
      <c r="B29" s="2" t="s">
        <v>2293</v>
      </c>
      <c r="C29" s="2" t="s">
        <v>2293</v>
      </c>
      <c r="D29" s="2" t="s">
        <v>2347</v>
      </c>
      <c r="E29" s="2" t="s">
        <v>2348</v>
      </c>
      <c r="F29" s="2"/>
      <c r="G29" s="2"/>
      <c r="H29" s="2"/>
      <c r="I29" s="2"/>
    </row>
    <row r="30" spans="1:9" ht="52.8" x14ac:dyDescent="0.3">
      <c r="A30" s="2" t="s">
        <v>2292</v>
      </c>
      <c r="B30" s="2" t="s">
        <v>2293</v>
      </c>
      <c r="C30" s="2" t="s">
        <v>2293</v>
      </c>
      <c r="D30" s="2" t="s">
        <v>2349</v>
      </c>
      <c r="E30" s="2" t="s">
        <v>2350</v>
      </c>
      <c r="F30" s="2"/>
      <c r="G30" s="2"/>
      <c r="H30" s="2"/>
      <c r="I3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45335-4D2B-4772-B0DD-9F9A6B658097}">
  <sheetPr>
    <tabColor theme="1"/>
  </sheetPr>
  <dimension ref="A1:I8"/>
  <sheetViews>
    <sheetView workbookViewId="0">
      <selection activeCell="A3" sqref="A3:E8"/>
    </sheetView>
  </sheetViews>
  <sheetFormatPr defaultRowHeight="14.4" x14ac:dyDescent="0.3"/>
  <cols>
    <col min="1" max="1" width="11.21875" bestFit="1" customWidth="1"/>
    <col min="2" max="2" width="18" customWidth="1"/>
    <col min="3" max="3" width="11.109375" bestFit="1" customWidth="1"/>
    <col min="4" max="4" width="21.5546875" customWidth="1"/>
    <col min="5" max="5" width="44.88671875" bestFit="1" customWidth="1"/>
  </cols>
  <sheetData>
    <row r="1" spans="1:9" x14ac:dyDescent="0.3">
      <c r="A1" s="1" t="s">
        <v>0</v>
      </c>
      <c r="B1" s="1" t="s">
        <v>1</v>
      </c>
      <c r="C1" s="1" t="s">
        <v>2</v>
      </c>
      <c r="D1" s="1" t="s">
        <v>3</v>
      </c>
      <c r="E1" s="1" t="s">
        <v>4</v>
      </c>
    </row>
    <row r="2" spans="1:9" ht="26.4" x14ac:dyDescent="0.3">
      <c r="A2" s="2" t="s">
        <v>713</v>
      </c>
      <c r="B2" s="2" t="s">
        <v>2351</v>
      </c>
      <c r="C2" s="2" t="s">
        <v>2277</v>
      </c>
      <c r="D2" s="2" t="s">
        <v>2278</v>
      </c>
      <c r="E2" s="2" t="s">
        <v>2279</v>
      </c>
      <c r="F2" s="2"/>
      <c r="G2" s="2"/>
      <c r="H2" s="2"/>
      <c r="I2" s="2"/>
    </row>
    <row r="3" spans="1:9" ht="26.4" x14ac:dyDescent="0.3">
      <c r="A3" s="2" t="s">
        <v>713</v>
      </c>
      <c r="B3" s="2" t="s">
        <v>858</v>
      </c>
      <c r="C3" s="2" t="s">
        <v>2277</v>
      </c>
      <c r="D3" s="2" t="s">
        <v>2280</v>
      </c>
      <c r="E3" s="2" t="s">
        <v>2281</v>
      </c>
      <c r="F3" s="2"/>
      <c r="G3" s="2"/>
      <c r="H3" s="2"/>
      <c r="I3" s="2"/>
    </row>
    <row r="4" spans="1:9" ht="26.4" x14ac:dyDescent="0.3">
      <c r="A4" s="2" t="s">
        <v>713</v>
      </c>
      <c r="B4" s="2" t="s">
        <v>1001</v>
      </c>
      <c r="C4" s="2" t="s">
        <v>2277</v>
      </c>
      <c r="D4" s="2" t="s">
        <v>2282</v>
      </c>
      <c r="E4" s="2" t="s">
        <v>2283</v>
      </c>
      <c r="F4" s="2"/>
      <c r="G4" s="2"/>
      <c r="H4" s="2"/>
      <c r="I4" s="2"/>
    </row>
    <row r="5" spans="1:9" ht="26.4" x14ac:dyDescent="0.3">
      <c r="A5" s="2" t="s">
        <v>713</v>
      </c>
      <c r="B5" s="2" t="s">
        <v>1397</v>
      </c>
      <c r="C5" s="2" t="s">
        <v>2277</v>
      </c>
      <c r="D5" s="2" t="s">
        <v>2284</v>
      </c>
      <c r="E5" s="2" t="s">
        <v>2285</v>
      </c>
      <c r="F5" s="2"/>
      <c r="G5" s="2"/>
      <c r="H5" s="2"/>
      <c r="I5" s="2"/>
    </row>
    <row r="6" spans="1:9" ht="26.4" x14ac:dyDescent="0.3">
      <c r="A6" s="2" t="s">
        <v>1768</v>
      </c>
      <c r="B6" s="2" t="s">
        <v>1769</v>
      </c>
      <c r="C6" s="2" t="s">
        <v>2277</v>
      </c>
      <c r="D6" s="2" t="s">
        <v>2286</v>
      </c>
      <c r="E6" s="2" t="s">
        <v>2287</v>
      </c>
      <c r="F6" s="2"/>
      <c r="G6" s="2"/>
      <c r="H6" s="2"/>
      <c r="I6" s="2"/>
    </row>
    <row r="7" spans="1:9" ht="26.4" x14ac:dyDescent="0.3">
      <c r="A7" s="2" t="s">
        <v>1768</v>
      </c>
      <c r="B7" s="2" t="s">
        <v>2352</v>
      </c>
      <c r="C7" s="2" t="s">
        <v>2277</v>
      </c>
      <c r="D7" s="2" t="s">
        <v>2288</v>
      </c>
      <c r="E7" s="2" t="s">
        <v>2289</v>
      </c>
      <c r="F7" s="2"/>
      <c r="G7" s="2"/>
      <c r="H7" s="2"/>
      <c r="I7" s="2"/>
    </row>
    <row r="8" spans="1:9" ht="26.4" x14ac:dyDescent="0.3">
      <c r="A8" s="2" t="s">
        <v>1768</v>
      </c>
      <c r="B8" s="2" t="s">
        <v>1890</v>
      </c>
      <c r="C8" s="2" t="s">
        <v>2277</v>
      </c>
      <c r="D8" s="2" t="s">
        <v>2290</v>
      </c>
      <c r="E8" s="2" t="s">
        <v>2291</v>
      </c>
      <c r="F8" s="2"/>
      <c r="G8" s="2"/>
      <c r="H8" s="2"/>
      <c r="I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NPC Dialogue</vt:lpstr>
      <vt:lpstr>MC-NPC_TAGS</vt:lpstr>
      <vt:lpstr>gameDesignMisc</vt:lpstr>
      <vt:lpstr>UsefulTagCmds</vt:lpstr>
      <vt:lpstr>Runes_Stones_Mantras</vt:lpstr>
      <vt:lpstr>QuestionTriggers</vt:lpstr>
      <vt:lpstr>MC-InterTownDependencies</vt:lpstr>
      <vt:lpstr>TheGypsy</vt:lpstr>
      <vt:lpstr>Barkeeps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Blair Nicolle</cp:lastModifiedBy>
  <dcterms:created xsi:type="dcterms:W3CDTF">2026-08-12T22:54:54Z</dcterms:created>
  <dcterms:modified xsi:type="dcterms:W3CDTF">2026-09-06T18:35:57Z</dcterms:modified>
</cp:coreProperties>
</file>